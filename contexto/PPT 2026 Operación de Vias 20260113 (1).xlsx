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cesionsisga-my.sharepoint.com/personal/e_ruiz_concesiondelsisga_com_co/Documents/Equipos/25. PRESUPUESTO/2026/PPT 2026/"/>
    </mc:Choice>
  </mc:AlternateContent>
  <xr:revisionPtr revIDLastSave="0" documentId="8_{E2ECC5F7-908D-44CE-9107-FF66E2851C3D}" xr6:coauthVersionLast="47" xr6:coauthVersionMax="47" xr10:uidLastSave="{00000000-0000-0000-0000-000000000000}"/>
  <bookViews>
    <workbookView xWindow="28680" yWindow="-120" windowWidth="29040" windowHeight="15720" tabRatio="694" firstSheet="5" activeTab="5" xr2:uid="{00000000-000D-0000-FFFF-FFFF00000000}"/>
  </bookViews>
  <sheets>
    <sheet name="Maestro de Insumos " sheetId="2" state="hidden" r:id="rId1"/>
    <sheet name="Capítulos" sheetId="3" state="hidden" r:id="rId2"/>
    <sheet name="Presupuesto 2026" sheetId="5" state="hidden" r:id="rId3"/>
    <sheet name="Mto Rutinario" sheetId="9" state="hidden" r:id="rId4"/>
    <sheet name="Mto Periódico" sheetId="11" state="hidden" r:id="rId5"/>
    <sheet name="Operación Vías" sheetId="10" r:id="rId6"/>
    <sheet name="Polca" sheetId="12" r:id="rId7"/>
    <sheet name="Inversion Activos" sheetId="13" r:id="rId8"/>
    <sheet name="Gestión Ambiental" sheetId="16" state="hidden" r:id="rId9"/>
    <sheet name="Gestión Social" sheetId="14" state="hidden" r:id="rId10"/>
    <sheet name="Gestión Predial" sheetId="15" state="hidden" r:id="rId11"/>
    <sheet name="Jurídica" sheetId="17" state="hidden" r:id="rId12"/>
    <sheet name="SST" sheetId="8" state="hidden" r:id="rId13"/>
    <sheet name="Pólizas" sheetId="18" state="hidden" r:id="rId14"/>
    <sheet name="Administración" sheetId="6" state="hidden" r:id="rId15"/>
    <sheet name="Financiera" sheetId="19" state="hidden" r:id="rId16"/>
    <sheet name="Fondeos" sheetId="20" state="hidden" r:id="rId17"/>
    <sheet name="Impuestos " sheetId="21" state="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9" i="10" l="1"/>
  <c r="I239" i="10" s="1"/>
  <c r="H231" i="10"/>
  <c r="H240" i="10"/>
  <c r="F240" i="10" s="1"/>
  <c r="I240" i="10" s="1"/>
  <c r="M239" i="10"/>
  <c r="M240" i="10"/>
  <c r="T237" i="10"/>
  <c r="Q237" i="10"/>
  <c r="W237" i="10" s="1"/>
  <c r="Q236" i="10"/>
  <c r="W236" i="10" s="1"/>
  <c r="Q234" i="10"/>
  <c r="W234" i="10"/>
  <c r="Q235" i="10"/>
  <c r="W235" i="10"/>
  <c r="X237" i="10"/>
  <c r="X233" i="10"/>
  <c r="W233" i="10"/>
  <c r="T233" i="10"/>
  <c r="Q233" i="10"/>
  <c r="M238" i="10"/>
  <c r="H238" i="10"/>
  <c r="I238" i="10" s="1"/>
  <c r="H237" i="10"/>
  <c r="I237" i="10" s="1"/>
  <c r="H236" i="10"/>
  <c r="I236" i="10" s="1"/>
  <c r="H235" i="10"/>
  <c r="I235" i="10" s="1"/>
  <c r="H234" i="10"/>
  <c r="T234" i="10" s="1"/>
  <c r="X234" i="10" s="1"/>
  <c r="H233" i="10"/>
  <c r="I233" i="10" s="1"/>
  <c r="M231" i="10"/>
  <c r="Q228" i="10"/>
  <c r="Q218" i="10"/>
  <c r="I228" i="10"/>
  <c r="Q224" i="10"/>
  <c r="T224" i="10" s="1"/>
  <c r="W224" i="10" s="1"/>
  <c r="Q225" i="10"/>
  <c r="T225" i="10"/>
  <c r="W225" i="10"/>
  <c r="M225" i="10" s="1"/>
  <c r="Q226" i="10"/>
  <c r="M226" i="10" s="1"/>
  <c r="T226" i="10"/>
  <c r="W226" i="10"/>
  <c r="T228" i="10"/>
  <c r="W228" i="10" s="1"/>
  <c r="W223" i="10"/>
  <c r="T223" i="10"/>
  <c r="Q223" i="10"/>
  <c r="M230" i="10"/>
  <c r="H230" i="10"/>
  <c r="I230" i="10" s="1"/>
  <c r="M229" i="10"/>
  <c r="H229" i="10"/>
  <c r="I229" i="10" s="1"/>
  <c r="H228" i="10"/>
  <c r="H227" i="10"/>
  <c r="I227" i="10" s="1"/>
  <c r="H226" i="10"/>
  <c r="I226" i="10" s="1"/>
  <c r="H225" i="10"/>
  <c r="I225" i="10" s="1"/>
  <c r="H224" i="10"/>
  <c r="I224" i="10" s="1"/>
  <c r="M223" i="10"/>
  <c r="H223" i="10"/>
  <c r="I223" i="10" s="1"/>
  <c r="M222" i="10"/>
  <c r="I222" i="10"/>
  <c r="H213" i="10"/>
  <c r="Q213" i="10" s="1"/>
  <c r="H214" i="10"/>
  <c r="Q214" i="10" s="1"/>
  <c r="I214" i="10"/>
  <c r="H215" i="10"/>
  <c r="I215" i="10" s="1"/>
  <c r="H216" i="10"/>
  <c r="I216" i="10"/>
  <c r="H217" i="10"/>
  <c r="Q217" i="10" s="1"/>
  <c r="H218" i="10"/>
  <c r="I218" i="10"/>
  <c r="H219" i="10"/>
  <c r="I219" i="10" s="1"/>
  <c r="M219" i="10"/>
  <c r="H220" i="10"/>
  <c r="I220" i="10"/>
  <c r="M220" i="10"/>
  <c r="H221" i="10"/>
  <c r="I221" i="10" s="1"/>
  <c r="M221" i="10"/>
  <c r="V220" i="10"/>
  <c r="F221" i="10"/>
  <c r="Q216" i="10"/>
  <c r="M212" i="10"/>
  <c r="I212" i="10"/>
  <c r="I202" i="10"/>
  <c r="M202" i="10"/>
  <c r="M211" i="10"/>
  <c r="H211" i="10"/>
  <c r="I211" i="10" s="1"/>
  <c r="H210" i="10"/>
  <c r="I210" i="10" s="1"/>
  <c r="M210" i="10"/>
  <c r="H209" i="10"/>
  <c r="I209" i="10" s="1"/>
  <c r="M208" i="10"/>
  <c r="F208" i="10" s="1"/>
  <c r="I208" i="10" s="1"/>
  <c r="H208" i="10"/>
  <c r="H207" i="10"/>
  <c r="I207" i="10" s="1"/>
  <c r="H206" i="10"/>
  <c r="I206" i="10" s="1"/>
  <c r="H205" i="10"/>
  <c r="P205" i="10" s="1"/>
  <c r="Q205" i="10" s="1"/>
  <c r="V205" i="10" s="1"/>
  <c r="W205" i="10" s="1"/>
  <c r="M209" i="10"/>
  <c r="H204" i="10"/>
  <c r="I204" i="10" s="1"/>
  <c r="H203" i="10"/>
  <c r="I203" i="10" s="1"/>
  <c r="H135" i="10"/>
  <c r="I135" i="10" s="1"/>
  <c r="M136" i="10"/>
  <c r="H201" i="10"/>
  <c r="I201" i="10" s="1"/>
  <c r="Q201" i="10"/>
  <c r="M201" i="10" s="1"/>
  <c r="M133" i="10"/>
  <c r="M134" i="10"/>
  <c r="M135" i="10"/>
  <c r="H136" i="10"/>
  <c r="I136" i="10" s="1"/>
  <c r="H197" i="10"/>
  <c r="I197" i="10" s="1"/>
  <c r="H134" i="10"/>
  <c r="I134" i="10" s="1"/>
  <c r="H132" i="10"/>
  <c r="Q132" i="10" s="1"/>
  <c r="S132" i="10" s="1"/>
  <c r="W132" i="10" s="1"/>
  <c r="Y132" i="10" s="1"/>
  <c r="U132" i="10"/>
  <c r="H131" i="10"/>
  <c r="Q131" i="10" s="1"/>
  <c r="H130" i="10"/>
  <c r="I130" i="10" s="1"/>
  <c r="M192" i="10"/>
  <c r="H129" i="10"/>
  <c r="I129" i="10" s="1"/>
  <c r="M129" i="10"/>
  <c r="N184" i="10"/>
  <c r="P184" i="10" s="1"/>
  <c r="Q184" i="10" s="1"/>
  <c r="M183" i="10"/>
  <c r="H183" i="10"/>
  <c r="G182" i="10"/>
  <c r="H182" i="10" s="1"/>
  <c r="T181" i="10"/>
  <c r="M181" i="10" s="1"/>
  <c r="H128" i="10"/>
  <c r="I128" i="10" s="1"/>
  <c r="M200" i="10"/>
  <c r="H200" i="10"/>
  <c r="I200" i="10" s="1"/>
  <c r="M199" i="10"/>
  <c r="H199" i="10"/>
  <c r="I199" i="10" s="1"/>
  <c r="M198" i="10"/>
  <c r="H198" i="10"/>
  <c r="I198" i="10" s="1"/>
  <c r="M197" i="10"/>
  <c r="H196" i="10"/>
  <c r="I196" i="10" s="1"/>
  <c r="X196" i="10" s="1"/>
  <c r="M196" i="10" s="1"/>
  <c r="H195" i="10"/>
  <c r="I195" i="10" s="1"/>
  <c r="X195" i="10" s="1"/>
  <c r="M195" i="10" s="1"/>
  <c r="H194" i="10"/>
  <c r="I194" i="10" s="1"/>
  <c r="M193" i="10"/>
  <c r="H193" i="10"/>
  <c r="I193" i="10" s="1"/>
  <c r="H192" i="10"/>
  <c r="I192" i="10" s="1"/>
  <c r="M191" i="10"/>
  <c r="H191" i="10"/>
  <c r="I191" i="10" s="1"/>
  <c r="H190" i="10"/>
  <c r="I190" i="10" s="1"/>
  <c r="H189" i="10"/>
  <c r="I189" i="10" s="1"/>
  <c r="H188" i="10"/>
  <c r="I188" i="10" s="1"/>
  <c r="H187" i="10"/>
  <c r="I187" i="10" s="1"/>
  <c r="H186" i="10"/>
  <c r="I186" i="10" s="1"/>
  <c r="H185" i="10"/>
  <c r="I185" i="10" s="1"/>
  <c r="H184" i="10"/>
  <c r="I184" i="10" s="1"/>
  <c r="H181" i="10"/>
  <c r="I181" i="10" s="1"/>
  <c r="H180" i="10"/>
  <c r="I180" i="10" s="1"/>
  <c r="H179" i="10"/>
  <c r="I179" i="10" s="1"/>
  <c r="T175" i="10"/>
  <c r="M175" i="10" s="1"/>
  <c r="N127" i="10"/>
  <c r="M174" i="10"/>
  <c r="M176" i="10"/>
  <c r="O127" i="10"/>
  <c r="P127" i="10"/>
  <c r="Q127" i="10"/>
  <c r="R127" i="10"/>
  <c r="S127" i="10"/>
  <c r="T127" i="10"/>
  <c r="U127" i="10"/>
  <c r="V127" i="10"/>
  <c r="W127" i="10"/>
  <c r="X127" i="10"/>
  <c r="Y127" i="10"/>
  <c r="H127" i="10"/>
  <c r="I127" i="10" s="1"/>
  <c r="T236" i="10" l="1"/>
  <c r="T235" i="10"/>
  <c r="I234" i="10"/>
  <c r="M234" i="10"/>
  <c r="M237" i="10"/>
  <c r="M233" i="10"/>
  <c r="F231" i="10"/>
  <c r="I231" i="10" s="1"/>
  <c r="Q227" i="10"/>
  <c r="M224" i="10"/>
  <c r="M228" i="10"/>
  <c r="W218" i="10"/>
  <c r="M218" i="10" s="1"/>
  <c r="M214" i="10"/>
  <c r="W217" i="10"/>
  <c r="M217" i="10"/>
  <c r="W213" i="10"/>
  <c r="M213" i="10" s="1"/>
  <c r="I217" i="10"/>
  <c r="I213" i="10"/>
  <c r="I205" i="10"/>
  <c r="P203" i="10"/>
  <c r="Q203" i="10" s="1"/>
  <c r="V203" i="10" s="1"/>
  <c r="W203" i="10" s="1"/>
  <c r="W216" i="10"/>
  <c r="M216" i="10" s="1"/>
  <c r="Q215" i="10"/>
  <c r="W214" i="10"/>
  <c r="W215" i="10"/>
  <c r="P206" i="10"/>
  <c r="Q206" i="10" s="1"/>
  <c r="V206" i="10" s="1"/>
  <c r="W206" i="10" s="1"/>
  <c r="P204" i="10"/>
  <c r="P207" i="10"/>
  <c r="Q207" i="10" s="1"/>
  <c r="V207" i="10" s="1"/>
  <c r="W207" i="10" s="1"/>
  <c r="M205" i="10"/>
  <c r="N188" i="10"/>
  <c r="P188" i="10" s="1"/>
  <c r="Q188" i="10" s="1"/>
  <c r="S188" i="10" s="1"/>
  <c r="T188" i="10" s="1"/>
  <c r="V188" i="10" s="1"/>
  <c r="W188" i="10" s="1"/>
  <c r="Y188" i="10" s="1"/>
  <c r="N185" i="10"/>
  <c r="P185" i="10" s="1"/>
  <c r="Q185" i="10" s="1"/>
  <c r="S185" i="10" s="1"/>
  <c r="T185" i="10" s="1"/>
  <c r="V185" i="10" s="1"/>
  <c r="W185" i="10" s="1"/>
  <c r="Y185" i="10" s="1"/>
  <c r="N186" i="10"/>
  <c r="P186" i="10" s="1"/>
  <c r="Q186" i="10" s="1"/>
  <c r="S186" i="10" s="1"/>
  <c r="T186" i="10" s="1"/>
  <c r="V186" i="10" s="1"/>
  <c r="W186" i="10" s="1"/>
  <c r="Y186" i="10" s="1"/>
  <c r="I131" i="10"/>
  <c r="F183" i="10"/>
  <c r="I183" i="10" s="1"/>
  <c r="X194" i="10"/>
  <c r="M194" i="10" s="1"/>
  <c r="S131" i="10"/>
  <c r="W131" i="10" s="1"/>
  <c r="Y131" i="10" s="1"/>
  <c r="M131" i="10" s="1"/>
  <c r="V132" i="10"/>
  <c r="Q130" i="10"/>
  <c r="S130" i="10" s="1"/>
  <c r="W130" i="10" s="1"/>
  <c r="Y130" i="10" s="1"/>
  <c r="N189" i="10"/>
  <c r="P189" i="10" s="1"/>
  <c r="Q189" i="10" s="1"/>
  <c r="S189" i="10" s="1"/>
  <c r="T189" i="10" s="1"/>
  <c r="V189" i="10" s="1"/>
  <c r="W189" i="10" s="1"/>
  <c r="I132" i="10"/>
  <c r="N190" i="10"/>
  <c r="N187" i="10"/>
  <c r="P187" i="10" s="1"/>
  <c r="Q187" i="10" s="1"/>
  <c r="S187" i="10" s="1"/>
  <c r="T187" i="10" s="1"/>
  <c r="V187" i="10" s="1"/>
  <c r="W187" i="10" s="1"/>
  <c r="Y187" i="10" s="1"/>
  <c r="S184" i="10"/>
  <c r="T184" i="10" s="1"/>
  <c r="V184" i="10" s="1"/>
  <c r="W184" i="10" s="1"/>
  <c r="Y184" i="10" s="1"/>
  <c r="N182" i="10"/>
  <c r="I182" i="10"/>
  <c r="W179" i="10"/>
  <c r="Q180" i="10"/>
  <c r="T180" i="10" s="1"/>
  <c r="T179" i="10"/>
  <c r="O126" i="10"/>
  <c r="P126" i="10"/>
  <c r="Q126" i="10"/>
  <c r="R126" i="10"/>
  <c r="S126" i="10"/>
  <c r="T126" i="10"/>
  <c r="U126" i="10"/>
  <c r="V126" i="10"/>
  <c r="W126" i="10"/>
  <c r="X126" i="10"/>
  <c r="Y126" i="10"/>
  <c r="N126" i="10"/>
  <c r="H126" i="10"/>
  <c r="I126" i="10" s="1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H9" i="10"/>
  <c r="O124" i="10"/>
  <c r="P124" i="10"/>
  <c r="Q124" i="10"/>
  <c r="R124" i="10"/>
  <c r="S124" i="10"/>
  <c r="T124" i="10"/>
  <c r="U124" i="10"/>
  <c r="V124" i="10"/>
  <c r="W124" i="10"/>
  <c r="X124" i="10"/>
  <c r="Y124" i="10"/>
  <c r="N124" i="10"/>
  <c r="N123" i="10"/>
  <c r="X236" i="10" l="1"/>
  <c r="M236" i="10" s="1"/>
  <c r="X235" i="10"/>
  <c r="M235" i="10" s="1"/>
  <c r="T227" i="10"/>
  <c r="W227" i="10" s="1"/>
  <c r="M215" i="10"/>
  <c r="Q204" i="10"/>
  <c r="V204" i="10" s="1"/>
  <c r="W204" i="10" s="1"/>
  <c r="M203" i="10"/>
  <c r="M207" i="10"/>
  <c r="M188" i="10"/>
  <c r="M186" i="10"/>
  <c r="M185" i="10"/>
  <c r="M184" i="10"/>
  <c r="X132" i="10"/>
  <c r="M132" i="10" s="1"/>
  <c r="M187" i="10"/>
  <c r="M130" i="10"/>
  <c r="P190" i="10"/>
  <c r="Q190" i="10" s="1"/>
  <c r="S190" i="10" s="1"/>
  <c r="T190" i="10" s="1"/>
  <c r="V190" i="10" s="1"/>
  <c r="W190" i="10" s="1"/>
  <c r="Y190" i="10" s="1"/>
  <c r="Y189" i="10"/>
  <c r="M189" i="10" s="1"/>
  <c r="O182" i="10"/>
  <c r="P182" i="10" s="1"/>
  <c r="Q182" i="10" s="1"/>
  <c r="R182" i="10" s="1"/>
  <c r="S182" i="10" s="1"/>
  <c r="T182" i="10" s="1"/>
  <c r="U182" i="10" s="1"/>
  <c r="V182" i="10" s="1"/>
  <c r="W182" i="10" s="1"/>
  <c r="X182" i="10" s="1"/>
  <c r="Y182" i="10" s="1"/>
  <c r="M180" i="10"/>
  <c r="M179" i="10"/>
  <c r="M161" i="10"/>
  <c r="H161" i="10"/>
  <c r="G160" i="10"/>
  <c r="H160" i="10" s="1"/>
  <c r="N160" i="10" s="1"/>
  <c r="H176" i="10"/>
  <c r="I176" i="10" s="1"/>
  <c r="H175" i="10"/>
  <c r="I175" i="10" s="1"/>
  <c r="H174" i="10"/>
  <c r="I174" i="10" s="1"/>
  <c r="H173" i="10"/>
  <c r="I173" i="10" s="1"/>
  <c r="W173" i="10" s="1"/>
  <c r="M173" i="10" s="1"/>
  <c r="H172" i="10"/>
  <c r="I172" i="10" s="1"/>
  <c r="Q172" i="10" s="1"/>
  <c r="M172" i="10" s="1"/>
  <c r="H171" i="10"/>
  <c r="I171" i="10" s="1"/>
  <c r="Q171" i="10" s="1"/>
  <c r="W171" i="10" s="1"/>
  <c r="H170" i="10"/>
  <c r="I170" i="10" s="1"/>
  <c r="Q170" i="10" s="1"/>
  <c r="W170" i="10" s="1"/>
  <c r="H169" i="10"/>
  <c r="I169" i="10" s="1"/>
  <c r="Q169" i="10" s="1"/>
  <c r="W169" i="10" s="1"/>
  <c r="H168" i="10"/>
  <c r="I168" i="10" s="1"/>
  <c r="H167" i="10"/>
  <c r="I167" i="10" s="1"/>
  <c r="H166" i="10"/>
  <c r="I166" i="10" s="1"/>
  <c r="H165" i="10"/>
  <c r="I165" i="10" s="1"/>
  <c r="H164" i="10"/>
  <c r="I164" i="10" s="1"/>
  <c r="H163" i="10"/>
  <c r="I163" i="10" s="1"/>
  <c r="H162" i="10"/>
  <c r="I162" i="10" s="1"/>
  <c r="H159" i="10"/>
  <c r="Q159" i="10" s="1"/>
  <c r="M227" i="10" l="1"/>
  <c r="M204" i="10"/>
  <c r="M206" i="10"/>
  <c r="M190" i="10"/>
  <c r="M182" i="10"/>
  <c r="F161" i="10"/>
  <c r="I161" i="10" s="1"/>
  <c r="N167" i="10"/>
  <c r="O167" i="10" s="1"/>
  <c r="P167" i="10" s="1"/>
  <c r="Q167" i="10" s="1"/>
  <c r="R167" i="10" s="1"/>
  <c r="S167" i="10" s="1"/>
  <c r="T167" i="10" s="1"/>
  <c r="U167" i="10" s="1"/>
  <c r="V167" i="10" s="1"/>
  <c r="W167" i="10" s="1"/>
  <c r="X167" i="10" s="1"/>
  <c r="Y167" i="10" s="1"/>
  <c r="I159" i="10"/>
  <c r="O160" i="10"/>
  <c r="P160" i="10" s="1"/>
  <c r="Q160" i="10" s="1"/>
  <c r="R160" i="10" s="1"/>
  <c r="S160" i="10" s="1"/>
  <c r="T160" i="10" s="1"/>
  <c r="U160" i="10" s="1"/>
  <c r="V160" i="10" s="1"/>
  <c r="W160" i="10" s="1"/>
  <c r="X160" i="10" s="1"/>
  <c r="Y160" i="10" s="1"/>
  <c r="I160" i="10"/>
  <c r="H158" i="10"/>
  <c r="I158" i="10" s="1"/>
  <c r="M156" i="10"/>
  <c r="M157" i="10"/>
  <c r="M159" i="10"/>
  <c r="M162" i="10"/>
  <c r="M163" i="10"/>
  <c r="M164" i="10"/>
  <c r="M165" i="10"/>
  <c r="M166" i="10"/>
  <c r="M168" i="10"/>
  <c r="M169" i="10"/>
  <c r="M170" i="10"/>
  <c r="M171" i="10"/>
  <c r="I157" i="10"/>
  <c r="I156" i="10"/>
  <c r="H98" i="10"/>
  <c r="F93" i="10"/>
  <c r="H93" i="10"/>
  <c r="H92" i="10"/>
  <c r="G91" i="10"/>
  <c r="H91" i="10" s="1"/>
  <c r="N91" i="10" s="1"/>
  <c r="H154" i="10"/>
  <c r="I154" i="10" s="1"/>
  <c r="H153" i="10"/>
  <c r="I153" i="10" s="1"/>
  <c r="H152" i="10"/>
  <c r="I152" i="10" s="1"/>
  <c r="M155" i="10"/>
  <c r="H155" i="10"/>
  <c r="I155" i="10" s="1"/>
  <c r="H151" i="10"/>
  <c r="I151" i="10" s="1"/>
  <c r="H150" i="10"/>
  <c r="I150" i="10" s="1"/>
  <c r="O123" i="10"/>
  <c r="P123" i="10"/>
  <c r="Q123" i="10"/>
  <c r="R123" i="10"/>
  <c r="S123" i="10"/>
  <c r="T123" i="10"/>
  <c r="U123" i="10"/>
  <c r="V123" i="10"/>
  <c r="W123" i="10"/>
  <c r="X123" i="10"/>
  <c r="Y123" i="10"/>
  <c r="Y149" i="10"/>
  <c r="V149" i="10"/>
  <c r="S149" i="10"/>
  <c r="P149" i="10"/>
  <c r="M148" i="10"/>
  <c r="N149" i="10"/>
  <c r="H149" i="10"/>
  <c r="I149" i="10" s="1"/>
  <c r="H148" i="10"/>
  <c r="I148" i="10" s="1"/>
  <c r="H147" i="10"/>
  <c r="I147" i="10" s="1"/>
  <c r="M124" i="10"/>
  <c r="M125" i="10"/>
  <c r="M126" i="10"/>
  <c r="M127" i="10"/>
  <c r="M128" i="10"/>
  <c r="O122" i="10"/>
  <c r="P122" i="10"/>
  <c r="Q122" i="10"/>
  <c r="R122" i="10"/>
  <c r="S122" i="10"/>
  <c r="T122" i="10"/>
  <c r="U122" i="10"/>
  <c r="V122" i="10"/>
  <c r="W122" i="10"/>
  <c r="X122" i="10"/>
  <c r="Y122" i="10"/>
  <c r="N122" i="10"/>
  <c r="H146" i="10"/>
  <c r="I146" i="10" s="1"/>
  <c r="H145" i="10"/>
  <c r="I145" i="10" s="1"/>
  <c r="H144" i="10"/>
  <c r="I144" i="10" s="1"/>
  <c r="H143" i="10"/>
  <c r="H142" i="10"/>
  <c r="I142" i="10" s="1"/>
  <c r="M120" i="10"/>
  <c r="M138" i="10"/>
  <c r="M144" i="10"/>
  <c r="M145" i="10"/>
  <c r="M146" i="10"/>
  <c r="M147" i="10"/>
  <c r="M150" i="10"/>
  <c r="M151" i="10"/>
  <c r="M152" i="10"/>
  <c r="M153" i="10"/>
  <c r="M154" i="10"/>
  <c r="M137" i="10"/>
  <c r="H118" i="10"/>
  <c r="I118" i="10" s="1"/>
  <c r="H141" i="10"/>
  <c r="I141" i="10" s="1"/>
  <c r="O141" i="10" s="1"/>
  <c r="M141" i="10" s="1"/>
  <c r="H140" i="10"/>
  <c r="I140" i="10" s="1"/>
  <c r="Y140" i="10" s="1"/>
  <c r="H139" i="10"/>
  <c r="I139" i="10" s="1"/>
  <c r="Y139" i="10" s="1"/>
  <c r="M139" i="10" s="1"/>
  <c r="H138" i="10"/>
  <c r="I138" i="10" s="1"/>
  <c r="H137" i="10"/>
  <c r="I137" i="10" s="1"/>
  <c r="H116" i="10"/>
  <c r="I116" i="10" s="1"/>
  <c r="H117" i="10"/>
  <c r="I117" i="10" s="1"/>
  <c r="M121" i="10"/>
  <c r="H120" i="10"/>
  <c r="I120" i="10" s="1"/>
  <c r="H121" i="10"/>
  <c r="I121" i="10" s="1"/>
  <c r="H122" i="10"/>
  <c r="I122" i="10" s="1"/>
  <c r="H123" i="10"/>
  <c r="I123" i="10" s="1"/>
  <c r="H124" i="10"/>
  <c r="I124" i="10" s="1"/>
  <c r="H125" i="10"/>
  <c r="I125" i="10" s="1"/>
  <c r="H119" i="10"/>
  <c r="I119" i="10" s="1"/>
  <c r="H115" i="10"/>
  <c r="I115" i="10" s="1"/>
  <c r="H114" i="10"/>
  <c r="I114" i="10" s="1"/>
  <c r="M114" i="10"/>
  <c r="M115" i="10"/>
  <c r="M116" i="10"/>
  <c r="M117" i="10"/>
  <c r="H113" i="10"/>
  <c r="I113" i="10" s="1"/>
  <c r="M113" i="10"/>
  <c r="H83" i="10"/>
  <c r="M111" i="10"/>
  <c r="H112" i="10"/>
  <c r="I112" i="10" s="1"/>
  <c r="H111" i="10"/>
  <c r="I111" i="10" s="1"/>
  <c r="H102" i="10"/>
  <c r="I102" i="10" s="1"/>
  <c r="M112" i="10"/>
  <c r="I93" i="10" l="1"/>
  <c r="M160" i="10"/>
  <c r="Q158" i="10"/>
  <c r="M158" i="10" s="1"/>
  <c r="M122" i="10"/>
  <c r="M123" i="10"/>
  <c r="M149" i="10"/>
  <c r="M143" i="10"/>
  <c r="F143" i="10" s="1"/>
  <c r="I143" i="10" s="1"/>
  <c r="N142" i="10"/>
  <c r="O142" i="10" s="1"/>
  <c r="P142" i="10" s="1"/>
  <c r="Q142" i="10" s="1"/>
  <c r="R142" i="10" s="1"/>
  <c r="S142" i="10" s="1"/>
  <c r="T142" i="10" s="1"/>
  <c r="U142" i="10" s="1"/>
  <c r="V142" i="10" s="1"/>
  <c r="W142" i="10" s="1"/>
  <c r="X142" i="10" s="1"/>
  <c r="Y142" i="10" s="1"/>
  <c r="R119" i="10"/>
  <c r="M119" i="10" s="1"/>
  <c r="M142" i="10" l="1"/>
  <c r="H52" i="10" l="1"/>
  <c r="H41" i="10"/>
  <c r="G28" i="10"/>
  <c r="G14" i="10"/>
  <c r="H61" i="10"/>
  <c r="H59" i="10"/>
  <c r="H108" i="10"/>
  <c r="O108" i="10" s="1"/>
  <c r="Q108" i="10" s="1"/>
  <c r="R108" i="10" s="1"/>
  <c r="V108" i="10" s="1"/>
  <c r="X108" i="10" s="1"/>
  <c r="Y108" i="10" s="1"/>
  <c r="H110" i="10"/>
  <c r="U108" i="10"/>
  <c r="U107" i="10"/>
  <c r="H109" i="10"/>
  <c r="F108" i="10"/>
  <c r="I108" i="10" l="1"/>
  <c r="W109" i="10"/>
  <c r="T109" i="10"/>
  <c r="I109" i="10"/>
  <c r="M108" i="10"/>
  <c r="I110" i="10"/>
  <c r="R110" i="10"/>
  <c r="W110" i="10" l="1"/>
  <c r="M110" i="10" s="1"/>
  <c r="U109" i="10"/>
  <c r="X109" i="10" l="1"/>
  <c r="M109" i="10" s="1"/>
  <c r="H107" i="10"/>
  <c r="F107" i="10"/>
  <c r="H106" i="10"/>
  <c r="F106" i="10"/>
  <c r="H101" i="10"/>
  <c r="H105" i="10"/>
  <c r="O106" i="10" l="1"/>
  <c r="Q106" i="10" s="1"/>
  <c r="R106" i="10" s="1"/>
  <c r="V106" i="10" s="1"/>
  <c r="X106" i="10" s="1"/>
  <c r="I106" i="10"/>
  <c r="O107" i="10"/>
  <c r="I107" i="10"/>
  <c r="U106" i="10"/>
  <c r="Q107" i="10" l="1"/>
  <c r="R107" i="10" s="1"/>
  <c r="V107" i="10" s="1"/>
  <c r="X107" i="10" l="1"/>
  <c r="Y106" i="10"/>
  <c r="M106" i="10" s="1"/>
  <c r="Y107" i="10" l="1"/>
  <c r="M107" i="10" s="1"/>
  <c r="I105" i="10" l="1"/>
  <c r="F104" i="10"/>
  <c r="H104" i="10"/>
  <c r="H103" i="10"/>
  <c r="I103" i="10" s="1"/>
  <c r="F101" i="10"/>
  <c r="F100" i="10"/>
  <c r="F99" i="10"/>
  <c r="F98" i="10"/>
  <c r="I98" i="10" s="1"/>
  <c r="F97" i="10"/>
  <c r="F96" i="10"/>
  <c r="F95" i="10"/>
  <c r="F94" i="10"/>
  <c r="H85" i="10"/>
  <c r="I85" i="10" s="1"/>
  <c r="H84" i="10"/>
  <c r="I84" i="10" s="1"/>
  <c r="O84" i="10" s="1"/>
  <c r="I83" i="10"/>
  <c r="O83" i="10" s="1"/>
  <c r="M83" i="10" s="1"/>
  <c r="N101" i="10" l="1"/>
  <c r="I101" i="10"/>
  <c r="R103" i="10"/>
  <c r="Y103" i="10"/>
  <c r="X103" i="10"/>
  <c r="Q103" i="10"/>
  <c r="I104" i="10"/>
  <c r="M102" i="10"/>
  <c r="M84" i="10"/>
  <c r="O85" i="10"/>
  <c r="M85" i="10" s="1"/>
  <c r="M103" i="10" l="1"/>
  <c r="H86" i="10"/>
  <c r="M105" i="10" l="1"/>
  <c r="M104" i="10" l="1"/>
  <c r="G76" i="10"/>
  <c r="M67" i="10"/>
  <c r="G80" i="10"/>
  <c r="H80" i="10" s="1"/>
  <c r="P80" i="10" s="1"/>
  <c r="G79" i="10"/>
  <c r="H79" i="10" s="1"/>
  <c r="G78" i="10"/>
  <c r="H78" i="10" s="1"/>
  <c r="R78" i="10" s="1"/>
  <c r="M78" i="10" s="1"/>
  <c r="G77" i="10"/>
  <c r="H77" i="10" s="1"/>
  <c r="G64" i="10"/>
  <c r="H64" i="10" s="1"/>
  <c r="I64" i="10" s="1"/>
  <c r="T64" i="10" s="1"/>
  <c r="M64" i="10" s="1"/>
  <c r="G63" i="10"/>
  <c r="H63" i="10" s="1"/>
  <c r="I63" i="10" s="1"/>
  <c r="Q63" i="10" s="1"/>
  <c r="M63" i="10" s="1"/>
  <c r="H87" i="10"/>
  <c r="I77" i="10" l="1"/>
  <c r="P77" i="10"/>
  <c r="M77" i="10" s="1"/>
  <c r="I79" i="10"/>
  <c r="P79" i="10"/>
  <c r="M79" i="10" s="1"/>
  <c r="V80" i="10"/>
  <c r="M80" i="10" s="1"/>
  <c r="I80" i="10"/>
  <c r="I78" i="10"/>
  <c r="I87" i="10"/>
  <c r="R87" i="10" s="1"/>
  <c r="M87" i="10" s="1"/>
  <c r="H100" i="10" l="1"/>
  <c r="H99" i="10"/>
  <c r="N98" i="10"/>
  <c r="H97" i="10"/>
  <c r="H96" i="10"/>
  <c r="H95" i="10"/>
  <c r="N95" i="10" s="1"/>
  <c r="H94" i="10"/>
  <c r="I94" i="10" s="1"/>
  <c r="H90" i="10"/>
  <c r="H89" i="10"/>
  <c r="H88" i="10"/>
  <c r="I86" i="10"/>
  <c r="R86" i="10" s="1"/>
  <c r="I91" i="10"/>
  <c r="O91" i="10" l="1"/>
  <c r="N93" i="10"/>
  <c r="O93" i="10" s="1"/>
  <c r="N94" i="10"/>
  <c r="O94" i="10" s="1"/>
  <c r="I90" i="10"/>
  <c r="V90" i="10"/>
  <c r="O90" i="10"/>
  <c r="Y90" i="10"/>
  <c r="X90" i="10"/>
  <c r="I89" i="10"/>
  <c r="V89" i="10"/>
  <c r="O89" i="10"/>
  <c r="Y89" i="10"/>
  <c r="X89" i="10"/>
  <c r="I88" i="10"/>
  <c r="R88" i="10"/>
  <c r="M88" i="10" s="1"/>
  <c r="I100" i="10"/>
  <c r="M86" i="10"/>
  <c r="N100" i="10"/>
  <c r="O100" i="10" s="1"/>
  <c r="P100" i="10" s="1"/>
  <c r="Q100" i="10" s="1"/>
  <c r="R100" i="10" s="1"/>
  <c r="S100" i="10" s="1"/>
  <c r="T100" i="10" s="1"/>
  <c r="U100" i="10" s="1"/>
  <c r="V100" i="10" s="1"/>
  <c r="W100" i="10" s="1"/>
  <c r="X100" i="10" s="1"/>
  <c r="Y100" i="10" s="1"/>
  <c r="N96" i="10"/>
  <c r="O96" i="10" s="1"/>
  <c r="P96" i="10" s="1"/>
  <c r="Q96" i="10" s="1"/>
  <c r="R96" i="10" s="1"/>
  <c r="S96" i="10" s="1"/>
  <c r="T96" i="10" s="1"/>
  <c r="U96" i="10" s="1"/>
  <c r="V96" i="10" s="1"/>
  <c r="W96" i="10" s="1"/>
  <c r="X96" i="10" s="1"/>
  <c r="Y96" i="10" s="1"/>
  <c r="O98" i="10"/>
  <c r="P98" i="10" s="1"/>
  <c r="Q98" i="10" s="1"/>
  <c r="R98" i="10" s="1"/>
  <c r="S98" i="10" s="1"/>
  <c r="T98" i="10" s="1"/>
  <c r="U98" i="10" s="1"/>
  <c r="V98" i="10" s="1"/>
  <c r="W98" i="10" s="1"/>
  <c r="X98" i="10" s="1"/>
  <c r="Y98" i="10" s="1"/>
  <c r="N97" i="10"/>
  <c r="O97" i="10" s="1"/>
  <c r="P97" i="10" s="1"/>
  <c r="Q97" i="10" s="1"/>
  <c r="R97" i="10" s="1"/>
  <c r="S97" i="10" s="1"/>
  <c r="T97" i="10" s="1"/>
  <c r="U97" i="10" s="1"/>
  <c r="V97" i="10" s="1"/>
  <c r="W97" i="10" s="1"/>
  <c r="X97" i="10" s="1"/>
  <c r="Y97" i="10" s="1"/>
  <c r="I99" i="10"/>
  <c r="I95" i="10"/>
  <c r="N99" i="10"/>
  <c r="I96" i="10"/>
  <c r="I97" i="10"/>
  <c r="M90" i="10" l="1"/>
  <c r="M89" i="10"/>
  <c r="M100" i="10"/>
  <c r="P93" i="10"/>
  <c r="Q93" i="10" s="1"/>
  <c r="R93" i="10" s="1"/>
  <c r="S93" i="10" s="1"/>
  <c r="T93" i="10" s="1"/>
  <c r="U93" i="10" s="1"/>
  <c r="V93" i="10" s="1"/>
  <c r="W93" i="10" s="1"/>
  <c r="X93" i="10" s="1"/>
  <c r="Y93" i="10" s="1"/>
  <c r="M96" i="10"/>
  <c r="O101" i="10"/>
  <c r="P91" i="10"/>
  <c r="O95" i="10"/>
  <c r="P95" i="10" s="1"/>
  <c r="Q95" i="10" s="1"/>
  <c r="R95" i="10" s="1"/>
  <c r="S95" i="10" s="1"/>
  <c r="T95" i="10" s="1"/>
  <c r="U95" i="10" s="1"/>
  <c r="V95" i="10" s="1"/>
  <c r="W95" i="10" s="1"/>
  <c r="X95" i="10" s="1"/>
  <c r="Y95" i="10" s="1"/>
  <c r="M98" i="10"/>
  <c r="O99" i="10"/>
  <c r="P99" i="10" s="1"/>
  <c r="Q99" i="10" s="1"/>
  <c r="R99" i="10" s="1"/>
  <c r="S99" i="10" s="1"/>
  <c r="T99" i="10" s="1"/>
  <c r="U99" i="10" s="1"/>
  <c r="V99" i="10" s="1"/>
  <c r="W99" i="10" s="1"/>
  <c r="X99" i="10" s="1"/>
  <c r="Y99" i="10" s="1"/>
  <c r="M97" i="10"/>
  <c r="N82" i="10" l="1"/>
  <c r="P94" i="10"/>
  <c r="Q94" i="10" s="1"/>
  <c r="R94" i="10" s="1"/>
  <c r="S94" i="10" s="1"/>
  <c r="T94" i="10" s="1"/>
  <c r="U94" i="10" s="1"/>
  <c r="V94" i="10" s="1"/>
  <c r="W94" i="10" s="1"/>
  <c r="X94" i="10" s="1"/>
  <c r="Y94" i="10" s="1"/>
  <c r="M93" i="10"/>
  <c r="P101" i="10"/>
  <c r="Q101" i="10" s="1"/>
  <c r="R101" i="10" s="1"/>
  <c r="S101" i="10" s="1"/>
  <c r="T101" i="10" s="1"/>
  <c r="U101" i="10" s="1"/>
  <c r="V101" i="10" s="1"/>
  <c r="W101" i="10" s="1"/>
  <c r="X101" i="10" s="1"/>
  <c r="Y101" i="10" s="1"/>
  <c r="O82" i="10"/>
  <c r="M99" i="10"/>
  <c r="Q91" i="10"/>
  <c r="M95" i="10"/>
  <c r="M94" i="10" l="1"/>
  <c r="M101" i="10"/>
  <c r="P82" i="10"/>
  <c r="M92" i="10"/>
  <c r="F92" i="10" s="1"/>
  <c r="I92" i="10" s="1"/>
  <c r="R91" i="10"/>
  <c r="Q82" i="10"/>
  <c r="S91" i="10" l="1"/>
  <c r="R82" i="10"/>
  <c r="T91" i="10" l="1"/>
  <c r="S82" i="10"/>
  <c r="U91" i="10" l="1"/>
  <c r="T82" i="10"/>
  <c r="V91" i="10" l="1"/>
  <c r="U82" i="10"/>
  <c r="W91" i="10" l="1"/>
  <c r="V82" i="10"/>
  <c r="X91" i="10" l="1"/>
  <c r="W82" i="10"/>
  <c r="Y91" i="10" l="1"/>
  <c r="X82" i="10"/>
  <c r="Y82" i="10" l="1"/>
  <c r="M82" i="10" s="1"/>
  <c r="M91" i="10"/>
  <c r="H81" i="10"/>
  <c r="N81" i="10" s="1"/>
  <c r="H76" i="10"/>
  <c r="H75" i="10"/>
  <c r="I75" i="10" s="1"/>
  <c r="H74" i="10"/>
  <c r="H73" i="10"/>
  <c r="I73" i="10" s="1"/>
  <c r="H72" i="10"/>
  <c r="I72" i="10" s="1"/>
  <c r="H71" i="10"/>
  <c r="I71" i="10" s="1"/>
  <c r="H70" i="10"/>
  <c r="H69" i="10"/>
  <c r="H68" i="10"/>
  <c r="R68" i="10" s="1"/>
  <c r="H67" i="10"/>
  <c r="H66" i="10"/>
  <c r="V66" i="10" s="1"/>
  <c r="H65" i="10"/>
  <c r="P65" i="10" s="1"/>
  <c r="G62" i="10"/>
  <c r="H62" i="10" s="1"/>
  <c r="N61" i="10"/>
  <c r="H60" i="10"/>
  <c r="N60" i="10" s="1"/>
  <c r="I59" i="10"/>
  <c r="I69" i="10" l="1"/>
  <c r="R69" i="10"/>
  <c r="I70" i="10"/>
  <c r="R70" i="10"/>
  <c r="W70" i="10" s="1"/>
  <c r="M70" i="10" s="1"/>
  <c r="I74" i="10"/>
  <c r="R74" i="10"/>
  <c r="O81" i="10"/>
  <c r="P81" i="10" s="1"/>
  <c r="Q81" i="10" s="1"/>
  <c r="R81" i="10" s="1"/>
  <c r="S81" i="10" s="1"/>
  <c r="T81" i="10" s="1"/>
  <c r="U81" i="10" s="1"/>
  <c r="V81" i="10" s="1"/>
  <c r="W81" i="10" s="1"/>
  <c r="X81" i="10" s="1"/>
  <c r="Y81" i="10" s="1"/>
  <c r="I67" i="10"/>
  <c r="R71" i="10"/>
  <c r="W68" i="10"/>
  <c r="M68" i="10" s="1"/>
  <c r="I81" i="10"/>
  <c r="R73" i="10"/>
  <c r="R72" i="10"/>
  <c r="I68" i="10"/>
  <c r="R75" i="10"/>
  <c r="I76" i="10"/>
  <c r="R76" i="10"/>
  <c r="N59" i="10"/>
  <c r="I66" i="10"/>
  <c r="I62" i="10"/>
  <c r="N62" i="10"/>
  <c r="O60" i="10"/>
  <c r="P60" i="10" s="1"/>
  <c r="Q60" i="10" s="1"/>
  <c r="R60" i="10" s="1"/>
  <c r="S60" i="10" s="1"/>
  <c r="T60" i="10" s="1"/>
  <c r="U60" i="10" s="1"/>
  <c r="V60" i="10" s="1"/>
  <c r="W60" i="10" s="1"/>
  <c r="X60" i="10" s="1"/>
  <c r="Y60" i="10" s="1"/>
  <c r="O61" i="10"/>
  <c r="I65" i="10"/>
  <c r="I61" i="10"/>
  <c r="V65" i="10"/>
  <c r="M65" i="10" s="1"/>
  <c r="I60" i="10"/>
  <c r="P66" i="10"/>
  <c r="M66" i="10" s="1"/>
  <c r="M81" i="10" l="1"/>
  <c r="W71" i="10"/>
  <c r="M71" i="10" s="1"/>
  <c r="P61" i="10"/>
  <c r="Q61" i="10" s="1"/>
  <c r="R61" i="10" s="1"/>
  <c r="S61" i="10" s="1"/>
  <c r="T61" i="10" s="1"/>
  <c r="U61" i="10" s="1"/>
  <c r="V61" i="10" s="1"/>
  <c r="W61" i="10" s="1"/>
  <c r="X61" i="10" s="1"/>
  <c r="Y61" i="10" s="1"/>
  <c r="W72" i="10"/>
  <c r="M72" i="10" s="1"/>
  <c r="W76" i="10"/>
  <c r="M76" i="10" s="1"/>
  <c r="W73" i="10"/>
  <c r="M73" i="10" s="1"/>
  <c r="W74" i="10"/>
  <c r="M74" i="10" s="1"/>
  <c r="O59" i="10"/>
  <c r="N58" i="10"/>
  <c r="W69" i="10"/>
  <c r="M69" i="10" s="1"/>
  <c r="W75" i="10"/>
  <c r="M75" i="10" s="1"/>
  <c r="O62" i="10"/>
  <c r="P62" i="10" s="1"/>
  <c r="Q62" i="10" s="1"/>
  <c r="R62" i="10" s="1"/>
  <c r="S62" i="10" s="1"/>
  <c r="T62" i="10" s="1"/>
  <c r="U62" i="10" s="1"/>
  <c r="V62" i="10" s="1"/>
  <c r="W62" i="10" s="1"/>
  <c r="X62" i="10" s="1"/>
  <c r="Y62" i="10" s="1"/>
  <c r="M60" i="10"/>
  <c r="M61" i="10" l="1"/>
  <c r="M62" i="10"/>
  <c r="P59" i="10"/>
  <c r="O58" i="10"/>
  <c r="Q59" i="10" l="1"/>
  <c r="P58" i="10"/>
  <c r="R59" i="10" l="1"/>
  <c r="Q58" i="10"/>
  <c r="S59" i="10" l="1"/>
  <c r="R58" i="10"/>
  <c r="T59" i="10" l="1"/>
  <c r="S58" i="10"/>
  <c r="U59" i="10" l="1"/>
  <c r="T58" i="10"/>
  <c r="V59" i="10" l="1"/>
  <c r="U58" i="10"/>
  <c r="W59" i="10" l="1"/>
  <c r="V58" i="10"/>
  <c r="X59" i="10" l="1"/>
  <c r="W58" i="10"/>
  <c r="Y59" i="10" l="1"/>
  <c r="Y58" i="10" s="1"/>
  <c r="X58" i="10"/>
  <c r="M59" i="10" l="1"/>
  <c r="Y47" i="10" l="1"/>
  <c r="T47" i="10"/>
  <c r="S47" i="10"/>
  <c r="Q47" i="10"/>
  <c r="N47" i="10"/>
  <c r="H57" i="10"/>
  <c r="O57" i="10" s="1"/>
  <c r="H56" i="10"/>
  <c r="I56" i="10" s="1"/>
  <c r="H55" i="10"/>
  <c r="O55" i="10" s="1"/>
  <c r="M55" i="10" s="1"/>
  <c r="H54" i="10"/>
  <c r="I54" i="10" s="1"/>
  <c r="H53" i="10"/>
  <c r="R53" i="10" s="1"/>
  <c r="M53" i="10" s="1"/>
  <c r="O52" i="10"/>
  <c r="I52" i="10"/>
  <c r="H51" i="10"/>
  <c r="P51" i="10" s="1"/>
  <c r="M51" i="10" s="1"/>
  <c r="H50" i="10"/>
  <c r="I50" i="10" s="1"/>
  <c r="R50" i="10" s="1"/>
  <c r="M50" i="10" s="1"/>
  <c r="H49" i="10"/>
  <c r="I49" i="10" s="1"/>
  <c r="X49" i="10" s="1"/>
  <c r="M49" i="10" s="1"/>
  <c r="O48" i="10"/>
  <c r="H48" i="10"/>
  <c r="I48" i="10" s="1"/>
  <c r="W48" i="10" s="1"/>
  <c r="H38" i="10"/>
  <c r="I38" i="10" s="1"/>
  <c r="X38" i="10" s="1"/>
  <c r="M38" i="10" s="1"/>
  <c r="H37" i="10"/>
  <c r="H46" i="10"/>
  <c r="O46" i="10" s="1"/>
  <c r="H45" i="10"/>
  <c r="I45" i="10" s="1"/>
  <c r="H44" i="10"/>
  <c r="O44" i="10" s="1"/>
  <c r="M44" i="10" s="1"/>
  <c r="H43" i="10"/>
  <c r="I43" i="10" s="1"/>
  <c r="H42" i="10"/>
  <c r="R42" i="10" s="1"/>
  <c r="M42" i="10" s="1"/>
  <c r="O41" i="10"/>
  <c r="P41" i="10"/>
  <c r="H40" i="10"/>
  <c r="I40" i="10" s="1"/>
  <c r="H39" i="10"/>
  <c r="I39" i="10" s="1"/>
  <c r="R39" i="10" s="1"/>
  <c r="H28" i="10"/>
  <c r="H23" i="10"/>
  <c r="N23" i="10" s="1"/>
  <c r="O23" i="10" s="1"/>
  <c r="P23" i="10" s="1"/>
  <c r="Q23" i="10" s="1"/>
  <c r="R23" i="10" s="1"/>
  <c r="S23" i="10" s="1"/>
  <c r="T23" i="10" s="1"/>
  <c r="U23" i="10" s="1"/>
  <c r="V23" i="10" s="1"/>
  <c r="W23" i="10" s="1"/>
  <c r="X23" i="10" s="1"/>
  <c r="Y23" i="10" s="1"/>
  <c r="H35" i="10"/>
  <c r="O35" i="10" s="1"/>
  <c r="H34" i="10"/>
  <c r="I34" i="10" s="1"/>
  <c r="H33" i="10"/>
  <c r="O33" i="10" s="1"/>
  <c r="M33" i="10" s="1"/>
  <c r="H32" i="10"/>
  <c r="V32" i="10" s="1"/>
  <c r="M32" i="10" s="1"/>
  <c r="H31" i="10"/>
  <c r="R31" i="10" s="1"/>
  <c r="M31" i="10" s="1"/>
  <c r="G30" i="10"/>
  <c r="H30" i="10" s="1"/>
  <c r="T30" i="10" s="1"/>
  <c r="M30" i="10" s="1"/>
  <c r="H29" i="10"/>
  <c r="N29" i="10" s="1"/>
  <c r="M29" i="10" s="1"/>
  <c r="H27" i="10"/>
  <c r="H26" i="10"/>
  <c r="O26" i="10" s="1"/>
  <c r="P26" i="10" s="1"/>
  <c r="Q26" i="10" s="1"/>
  <c r="R26" i="10" s="1"/>
  <c r="S26" i="10" s="1"/>
  <c r="T26" i="10" s="1"/>
  <c r="U26" i="10" s="1"/>
  <c r="V26" i="10" s="1"/>
  <c r="W26" i="10" s="1"/>
  <c r="X26" i="10" s="1"/>
  <c r="Y26" i="10" s="1"/>
  <c r="G25" i="10"/>
  <c r="H25" i="10" s="1"/>
  <c r="G24" i="10"/>
  <c r="H24" i="10" s="1"/>
  <c r="H21" i="10"/>
  <c r="O21" i="10" s="1"/>
  <c r="U21" i="10" s="1"/>
  <c r="H20" i="10"/>
  <c r="I20" i="10" s="1"/>
  <c r="H19" i="10"/>
  <c r="I19" i="10" s="1"/>
  <c r="H18" i="10"/>
  <c r="I18" i="10" s="1"/>
  <c r="H17" i="10"/>
  <c r="I17" i="10" s="1"/>
  <c r="G16" i="10"/>
  <c r="H16" i="10" s="1"/>
  <c r="I16" i="10" s="1"/>
  <c r="H15" i="10"/>
  <c r="N15" i="10" s="1"/>
  <c r="M15" i="10" s="1"/>
  <c r="H14" i="10"/>
  <c r="H13" i="10"/>
  <c r="I13" i="10" s="1"/>
  <c r="H12" i="10"/>
  <c r="O12" i="10" s="1"/>
  <c r="G10" i="10"/>
  <c r="H10" i="10" s="1"/>
  <c r="W10" i="10" s="1"/>
  <c r="G11" i="10"/>
  <c r="H11" i="10" s="1"/>
  <c r="I11" i="10" s="1"/>
  <c r="N9" i="10" l="1"/>
  <c r="O9" i="10" s="1"/>
  <c r="I9" i="10"/>
  <c r="P52" i="10"/>
  <c r="M52" i="10" s="1"/>
  <c r="M48" i="10"/>
  <c r="U56" i="10"/>
  <c r="M56" i="10" s="1"/>
  <c r="W47" i="10"/>
  <c r="X47" i="10"/>
  <c r="O47" i="10"/>
  <c r="V54" i="10"/>
  <c r="R47" i="10"/>
  <c r="U57" i="10"/>
  <c r="I51" i="10"/>
  <c r="I53" i="10"/>
  <c r="I55" i="10"/>
  <c r="I57" i="10"/>
  <c r="U45" i="10"/>
  <c r="M45" i="10" s="1"/>
  <c r="V43" i="10"/>
  <c r="M43" i="10" s="1"/>
  <c r="P40" i="10"/>
  <c r="I41" i="10"/>
  <c r="I37" i="10"/>
  <c r="W37" i="10" s="1"/>
  <c r="N36" i="10"/>
  <c r="O37" i="10"/>
  <c r="U46" i="10"/>
  <c r="M46" i="10" s="1"/>
  <c r="I42" i="10"/>
  <c r="I44" i="10"/>
  <c r="I46" i="10"/>
  <c r="I25" i="10"/>
  <c r="O25" i="10"/>
  <c r="P25" i="10" s="1"/>
  <c r="Q25" i="10" s="1"/>
  <c r="R25" i="10" s="1"/>
  <c r="S25" i="10" s="1"/>
  <c r="T25" i="10" s="1"/>
  <c r="U25" i="10" s="1"/>
  <c r="V25" i="10" s="1"/>
  <c r="W25" i="10" s="1"/>
  <c r="X25" i="10" s="1"/>
  <c r="Y25" i="10" s="1"/>
  <c r="I23" i="10"/>
  <c r="N26" i="10"/>
  <c r="M26" i="10" s="1"/>
  <c r="I26" i="10"/>
  <c r="T16" i="10"/>
  <c r="M16" i="10" s="1"/>
  <c r="U34" i="10"/>
  <c r="M34" i="10" s="1"/>
  <c r="I24" i="10"/>
  <c r="O27" i="10"/>
  <c r="P27" i="10" s="1"/>
  <c r="Q27" i="10" s="1"/>
  <c r="R27" i="10" s="1"/>
  <c r="S27" i="10" s="1"/>
  <c r="T27" i="10" s="1"/>
  <c r="U27" i="10" s="1"/>
  <c r="V27" i="10" s="1"/>
  <c r="W27" i="10" s="1"/>
  <c r="X27" i="10" s="1"/>
  <c r="Y27" i="10" s="1"/>
  <c r="N28" i="10"/>
  <c r="I28" i="10"/>
  <c r="O28" i="10"/>
  <c r="P28" i="10" s="1"/>
  <c r="Q28" i="10" s="1"/>
  <c r="R28" i="10" s="1"/>
  <c r="S28" i="10" s="1"/>
  <c r="T28" i="10" s="1"/>
  <c r="U28" i="10" s="1"/>
  <c r="V28" i="10" s="1"/>
  <c r="W28" i="10" s="1"/>
  <c r="X28" i="10" s="1"/>
  <c r="Y28" i="10" s="1"/>
  <c r="U35" i="10"/>
  <c r="M35" i="10" s="1"/>
  <c r="M23" i="10"/>
  <c r="N25" i="10"/>
  <c r="I30" i="10"/>
  <c r="I32" i="10"/>
  <c r="I29" i="10"/>
  <c r="I27" i="10"/>
  <c r="I31" i="10"/>
  <c r="I33" i="10"/>
  <c r="I35" i="10"/>
  <c r="N13" i="10"/>
  <c r="O13" i="10" s="1"/>
  <c r="P13" i="10" s="1"/>
  <c r="Q13" i="10" s="1"/>
  <c r="R13" i="10" s="1"/>
  <c r="S13" i="10" s="1"/>
  <c r="T13" i="10" s="1"/>
  <c r="U13" i="10" s="1"/>
  <c r="V13" i="10" s="1"/>
  <c r="W13" i="10" s="1"/>
  <c r="X13" i="10" s="1"/>
  <c r="Y13" i="10" s="1"/>
  <c r="V18" i="10"/>
  <c r="M18" i="10" s="1"/>
  <c r="N12" i="10"/>
  <c r="I15" i="10"/>
  <c r="R17" i="10"/>
  <c r="M17" i="10" s="1"/>
  <c r="O19" i="10"/>
  <c r="M19" i="10" s="1"/>
  <c r="I12" i="10"/>
  <c r="U20" i="10"/>
  <c r="M20" i="10" s="1"/>
  <c r="I21" i="10"/>
  <c r="M21" i="10"/>
  <c r="I14" i="10"/>
  <c r="O14" i="10"/>
  <c r="P14" i="10" s="1"/>
  <c r="Q14" i="10" s="1"/>
  <c r="R14" i="10" s="1"/>
  <c r="S14" i="10" s="1"/>
  <c r="T14" i="10" s="1"/>
  <c r="U14" i="10" s="1"/>
  <c r="V14" i="10" s="1"/>
  <c r="W14" i="10" s="1"/>
  <c r="X14" i="10" s="1"/>
  <c r="Y14" i="10" s="1"/>
  <c r="N14" i="10"/>
  <c r="P12" i="10"/>
  <c r="Q12" i="10" s="1"/>
  <c r="R12" i="10" s="1"/>
  <c r="S12" i="10" s="1"/>
  <c r="T12" i="10" s="1"/>
  <c r="U12" i="10" s="1"/>
  <c r="V12" i="10" s="1"/>
  <c r="W12" i="10" s="1"/>
  <c r="X12" i="10" s="1"/>
  <c r="Y12" i="10" s="1"/>
  <c r="X10" i="10"/>
  <c r="Y10" i="10" s="1"/>
  <c r="I10" i="10"/>
  <c r="O11" i="10"/>
  <c r="P11" i="10" s="1"/>
  <c r="Q11" i="10" s="1"/>
  <c r="N11" i="10"/>
  <c r="U47" i="10" l="1"/>
  <c r="P47" i="10"/>
  <c r="M57" i="10"/>
  <c r="M37" i="10"/>
  <c r="M54" i="10"/>
  <c r="V47" i="10"/>
  <c r="M40" i="10"/>
  <c r="O36" i="10"/>
  <c r="M39" i="10"/>
  <c r="M41" i="10"/>
  <c r="M13" i="10"/>
  <c r="N22" i="10"/>
  <c r="N8" i="10"/>
  <c r="U22" i="10"/>
  <c r="O22" i="10"/>
  <c r="Q22" i="10"/>
  <c r="T22" i="10"/>
  <c r="S22" i="10"/>
  <c r="W22" i="10"/>
  <c r="P22" i="10"/>
  <c r="V22" i="10"/>
  <c r="R22" i="10"/>
  <c r="P9" i="10"/>
  <c r="O8" i="10"/>
  <c r="M25" i="10"/>
  <c r="M28" i="10"/>
  <c r="M27" i="10"/>
  <c r="X24" i="10"/>
  <c r="M12" i="10"/>
  <c r="M14" i="10"/>
  <c r="M10" i="10"/>
  <c r="R11" i="10"/>
  <c r="S11" i="10" s="1"/>
  <c r="T11" i="10" s="1"/>
  <c r="U11" i="10" s="1"/>
  <c r="V11" i="10" s="1"/>
  <c r="W11" i="10" s="1"/>
  <c r="X11" i="10" s="1"/>
  <c r="Y11" i="10" s="1"/>
  <c r="M11" i="10" s="1"/>
  <c r="M47" i="10" l="1"/>
  <c r="M36" i="10"/>
  <c r="P36" i="10"/>
  <c r="Y24" i="10"/>
  <c r="X22" i="10"/>
  <c r="Q9" i="10"/>
  <c r="P8" i="10"/>
  <c r="Q36" i="10" l="1"/>
  <c r="M24" i="10"/>
  <c r="Y22" i="10"/>
  <c r="R9" i="10"/>
  <c r="Q8" i="10"/>
  <c r="R36" i="10" l="1"/>
  <c r="S9" i="10"/>
  <c r="R8" i="10"/>
  <c r="S36" i="10" l="1"/>
  <c r="T9" i="10"/>
  <c r="S8" i="10"/>
  <c r="T36" i="10" l="1"/>
  <c r="U9" i="10"/>
  <c r="T8" i="10"/>
  <c r="U36" i="10" l="1"/>
  <c r="V9" i="10"/>
  <c r="U8" i="10"/>
  <c r="V36" i="10" l="1"/>
  <c r="W9" i="10"/>
  <c r="V8" i="10"/>
  <c r="W36" i="10" l="1"/>
  <c r="X9" i="10"/>
  <c r="W8" i="10"/>
  <c r="X36" i="10" l="1"/>
  <c r="Y9" i="10"/>
  <c r="X8" i="10"/>
  <c r="Y36" i="10" l="1"/>
  <c r="Y8" i="10"/>
  <c r="M9" i="10"/>
  <c r="M15" i="13" l="1"/>
  <c r="M9" i="13" l="1"/>
  <c r="M248" i="10"/>
  <c r="M250" i="10"/>
  <c r="M264" i="10"/>
  <c r="M306" i="10"/>
  <c r="M247" i="10"/>
  <c r="M10" i="13"/>
  <c r="M11" i="13" l="1"/>
  <c r="M13" i="12" l="1"/>
  <c r="M14" i="12" s="1"/>
  <c r="M9" i="12"/>
  <c r="M8" i="12" l="1"/>
  <c r="M10" i="12" s="1"/>
  <c r="M58" i="10" l="1"/>
  <c r="M22" i="10" l="1"/>
  <c r="M8" i="10"/>
  <c r="H21" i="9" l="1"/>
  <c r="H20" i="9"/>
  <c r="H19" i="9"/>
  <c r="H18" i="9"/>
  <c r="H17" i="9"/>
  <c r="H16" i="9"/>
  <c r="H15" i="9"/>
  <c r="H14" i="9"/>
  <c r="H13" i="9"/>
  <c r="H12" i="9"/>
  <c r="H11" i="9"/>
  <c r="H10" i="9"/>
  <c r="I10" i="9" s="1"/>
  <c r="H9" i="9"/>
  <c r="I9" i="9" s="1"/>
  <c r="H8" i="9"/>
  <c r="I8" i="9" s="1"/>
  <c r="H28" i="8"/>
  <c r="I28" i="8" s="1"/>
  <c r="H27" i="8"/>
  <c r="I27" i="8" s="1"/>
  <c r="H26" i="8"/>
  <c r="I26" i="8" s="1"/>
  <c r="H25" i="8"/>
  <c r="I25" i="8" s="1"/>
  <c r="H24" i="8"/>
  <c r="I24" i="8" s="1"/>
  <c r="H23" i="8"/>
  <c r="I23" i="8" s="1"/>
  <c r="H22" i="8"/>
  <c r="I22" i="8" s="1"/>
  <c r="H21" i="8"/>
  <c r="I21" i="8" s="1"/>
  <c r="H20" i="8"/>
  <c r="I20" i="8" s="1"/>
  <c r="H19" i="8"/>
  <c r="I19" i="8" s="1"/>
  <c r="H18" i="8"/>
  <c r="I18" i="8" s="1"/>
  <c r="H17" i="8"/>
  <c r="I17" i="8" s="1"/>
  <c r="H16" i="8"/>
  <c r="I16" i="8" s="1"/>
  <c r="H15" i="8"/>
  <c r="I15" i="8" s="1"/>
  <c r="H14" i="8"/>
  <c r="I14" i="8" s="1"/>
  <c r="H13" i="8"/>
  <c r="I13" i="8" s="1"/>
  <c r="H12" i="8"/>
  <c r="I12" i="8" s="1"/>
  <c r="H11" i="8"/>
  <c r="I11" i="8" s="1"/>
  <c r="H10" i="8"/>
  <c r="I10" i="8" s="1"/>
  <c r="H9" i="8"/>
  <c r="I9" i="8" s="1"/>
  <c r="H8" i="8"/>
  <c r="I8" i="8" s="1"/>
  <c r="A8" i="8"/>
  <c r="H25" i="6"/>
  <c r="I25" i="6" s="1"/>
  <c r="A25" i="6"/>
  <c r="H24" i="6"/>
  <c r="I24" i="6" s="1"/>
  <c r="A24" i="6"/>
  <c r="H23" i="6"/>
  <c r="I23" i="6" s="1"/>
  <c r="A23" i="6"/>
  <c r="H22" i="6"/>
  <c r="I22" i="6" s="1"/>
  <c r="A22" i="6"/>
  <c r="H21" i="6"/>
  <c r="I21" i="6" s="1"/>
  <c r="A21" i="6"/>
  <c r="H20" i="6"/>
  <c r="I20" i="6" s="1"/>
  <c r="A20" i="6"/>
  <c r="H19" i="6"/>
  <c r="I19" i="6" s="1"/>
  <c r="A19" i="6"/>
  <c r="M18" i="6"/>
  <c r="H18" i="6"/>
  <c r="I18" i="6" s="1"/>
  <c r="A18" i="6"/>
  <c r="M17" i="6"/>
  <c r="H17" i="6"/>
  <c r="I17" i="6" s="1"/>
  <c r="A17" i="6"/>
  <c r="M16" i="6"/>
  <c r="H16" i="6"/>
  <c r="I16" i="6" s="1"/>
  <c r="A16" i="6"/>
  <c r="M15" i="6"/>
  <c r="H15" i="6"/>
  <c r="I15" i="6" s="1"/>
  <c r="A15" i="6"/>
  <c r="M14" i="6"/>
  <c r="H14" i="6"/>
  <c r="I14" i="6" s="1"/>
  <c r="A14" i="6"/>
  <c r="H13" i="6"/>
  <c r="I13" i="6" s="1"/>
  <c r="A13" i="6"/>
  <c r="H12" i="6"/>
  <c r="I12" i="6" s="1"/>
  <c r="A12" i="6"/>
  <c r="H11" i="6"/>
  <c r="I11" i="6" s="1"/>
  <c r="A11" i="6"/>
  <c r="H10" i="6"/>
  <c r="I10" i="6" s="1"/>
  <c r="A10" i="6"/>
  <c r="H9" i="6"/>
  <c r="I9" i="6" s="1"/>
  <c r="A9" i="6"/>
  <c r="H8" i="6"/>
  <c r="I8" i="6" s="1"/>
  <c r="A8" i="6"/>
  <c r="H60" i="5"/>
  <c r="H59" i="5"/>
  <c r="H58" i="5"/>
  <c r="H57" i="5"/>
  <c r="H56" i="5"/>
  <c r="H55" i="5"/>
  <c r="H54" i="5"/>
  <c r="H53" i="5"/>
  <c r="H52" i="5"/>
  <c r="H51" i="5"/>
  <c r="H50" i="5"/>
  <c r="H49" i="5"/>
  <c r="I49" i="5" s="1"/>
  <c r="H48" i="5"/>
  <c r="I48" i="5" s="1"/>
  <c r="H47" i="5"/>
  <c r="I47" i="5" s="1"/>
  <c r="H46" i="5"/>
  <c r="I46" i="5" s="1"/>
  <c r="H45" i="5"/>
  <c r="I45" i="5" s="1"/>
  <c r="H44" i="5"/>
  <c r="I44" i="5" s="1"/>
  <c r="H43" i="5"/>
  <c r="I43" i="5" s="1"/>
  <c r="H42" i="5"/>
  <c r="I42" i="5" s="1"/>
  <c r="H41" i="5"/>
  <c r="I41" i="5" s="1"/>
  <c r="H40" i="5"/>
  <c r="I40" i="5" s="1"/>
  <c r="H39" i="5"/>
  <c r="I39" i="5" s="1"/>
  <c r="H38" i="5"/>
  <c r="I38" i="5" s="1"/>
  <c r="H37" i="5"/>
  <c r="I37" i="5" s="1"/>
  <c r="H36" i="5"/>
  <c r="I36" i="5" s="1"/>
  <c r="H35" i="5"/>
  <c r="I35" i="5" s="1"/>
  <c r="H34" i="5"/>
  <c r="I34" i="5" s="1"/>
  <c r="H33" i="5"/>
  <c r="I33" i="5" s="1"/>
  <c r="H32" i="5"/>
  <c r="I32" i="5" s="1"/>
  <c r="H31" i="5"/>
  <c r="I31" i="5" s="1"/>
  <c r="H30" i="5"/>
  <c r="I30" i="5" s="1"/>
  <c r="H29" i="5"/>
  <c r="I29" i="5" s="1"/>
  <c r="H28" i="5"/>
  <c r="I28" i="5" s="1"/>
  <c r="H27" i="5"/>
  <c r="I27" i="5" s="1"/>
  <c r="H26" i="5"/>
  <c r="I26" i="5" s="1"/>
  <c r="A26" i="5"/>
  <c r="H25" i="5"/>
  <c r="I25" i="5" s="1"/>
  <c r="A25" i="5"/>
  <c r="H24" i="5"/>
  <c r="I24" i="5" s="1"/>
  <c r="A24" i="5"/>
  <c r="H23" i="5"/>
  <c r="I23" i="5" s="1"/>
  <c r="A23" i="5"/>
  <c r="H22" i="5"/>
  <c r="I22" i="5" s="1"/>
  <c r="A22" i="5"/>
  <c r="H21" i="5"/>
  <c r="I21" i="5" s="1"/>
  <c r="A21" i="5"/>
  <c r="H20" i="5"/>
  <c r="I20" i="5" s="1"/>
  <c r="A20" i="5"/>
  <c r="H19" i="5"/>
  <c r="I19" i="5" s="1"/>
  <c r="A19" i="5"/>
  <c r="M18" i="5"/>
  <c r="H18" i="5"/>
  <c r="I18" i="5" s="1"/>
  <c r="A18" i="5"/>
  <c r="M17" i="5"/>
  <c r="H17" i="5"/>
  <c r="I17" i="5" s="1"/>
  <c r="A17" i="5"/>
  <c r="M16" i="5"/>
  <c r="H16" i="5"/>
  <c r="I16" i="5" s="1"/>
  <c r="A16" i="5"/>
  <c r="M15" i="5"/>
  <c r="H15" i="5"/>
  <c r="I15" i="5" s="1"/>
  <c r="A15" i="5"/>
  <c r="M14" i="5"/>
  <c r="H14" i="5"/>
  <c r="I14" i="5" s="1"/>
  <c r="A14" i="5"/>
  <c r="H13" i="5"/>
  <c r="I13" i="5" s="1"/>
  <c r="A13" i="5"/>
  <c r="H12" i="5"/>
  <c r="I12" i="5" s="1"/>
  <c r="A12" i="5"/>
  <c r="H11" i="5"/>
  <c r="I11" i="5" s="1"/>
  <c r="O11" i="5" s="1"/>
  <c r="A11" i="5"/>
  <c r="H10" i="5"/>
  <c r="I10" i="5" s="1"/>
  <c r="A10" i="5"/>
  <c r="H9" i="5"/>
  <c r="I9" i="5" s="1"/>
  <c r="A9" i="5"/>
  <c r="H8" i="5"/>
  <c r="I8" i="5" s="1"/>
  <c r="A8" i="5"/>
  <c r="V9" i="6" l="1"/>
  <c r="Q9" i="6"/>
  <c r="O9" i="6"/>
  <c r="W9" i="6"/>
  <c r="U9" i="6"/>
  <c r="S9" i="6"/>
  <c r="P9" i="6"/>
  <c r="Y9" i="6"/>
  <c r="T9" i="6"/>
  <c r="R9" i="6"/>
  <c r="N9" i="6"/>
  <c r="X9" i="6"/>
  <c r="P8" i="6"/>
  <c r="U8" i="6"/>
  <c r="O8" i="6"/>
  <c r="W8" i="6"/>
  <c r="R8" i="6"/>
  <c r="Q8" i="6"/>
  <c r="N8" i="6"/>
  <c r="Y8" i="6"/>
  <c r="X8" i="6"/>
  <c r="V8" i="6"/>
  <c r="T8" i="6"/>
  <c r="S8" i="6"/>
  <c r="S10" i="6"/>
  <c r="W10" i="6"/>
  <c r="O10" i="6"/>
  <c r="M10" i="6" s="1"/>
  <c r="W11" i="6"/>
  <c r="S11" i="6"/>
  <c r="O11" i="6"/>
  <c r="M11" i="6" s="1"/>
  <c r="O12" i="6"/>
  <c r="W12" i="6"/>
  <c r="S12" i="6"/>
  <c r="S13" i="6"/>
  <c r="W13" i="6"/>
  <c r="O13" i="6"/>
  <c r="M13" i="6" s="1"/>
  <c r="W8" i="5"/>
  <c r="R8" i="5"/>
  <c r="O8" i="5"/>
  <c r="N8" i="5"/>
  <c r="Y8" i="5"/>
  <c r="X8" i="5"/>
  <c r="Q8" i="5"/>
  <c r="P8" i="5"/>
  <c r="V8" i="5"/>
  <c r="U8" i="5"/>
  <c r="T8" i="5"/>
  <c r="S8" i="5"/>
  <c r="S10" i="5"/>
  <c r="W10" i="5"/>
  <c r="O10" i="5"/>
  <c r="M10" i="5" s="1"/>
  <c r="M11" i="5"/>
  <c r="O13" i="5"/>
  <c r="S13" i="5"/>
  <c r="W13" i="5"/>
  <c r="W9" i="5"/>
  <c r="Q9" i="5"/>
  <c r="Y9" i="5"/>
  <c r="V9" i="5"/>
  <c r="S9" i="5"/>
  <c r="P9" i="5"/>
  <c r="N9" i="5"/>
  <c r="X9" i="5"/>
  <c r="U9" i="5"/>
  <c r="T9" i="5"/>
  <c r="R9" i="5"/>
  <c r="O9" i="5"/>
  <c r="O12" i="5"/>
  <c r="W12" i="5"/>
  <c r="S12" i="5"/>
  <c r="S11" i="5"/>
  <c r="W11" i="5"/>
  <c r="M8" i="6" l="1"/>
  <c r="M9" i="6"/>
  <c r="M12" i="6"/>
  <c r="M13" i="5"/>
  <c r="M12" i="5"/>
  <c r="M8" i="5"/>
  <c r="M9" i="5"/>
  <c r="M167" i="10"/>
  <c r="M314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Directora Financiera</author>
  </authors>
  <commentList>
    <comment ref="A7" authorId="0" shapeId="0" xr:uid="{E05ED9E2-3051-4E00-8567-E3C62746529D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Grandes categorías de costos "Areas" </t>
        </r>
      </text>
    </comment>
    <comment ref="B7" authorId="0" shapeId="0" xr:uid="{3E17F9C0-8C33-421D-B436-9461EABC73B0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Subdivisiones dentro de cada capítulo que clasifican el gasto por concepto específico. </t>
        </r>
      </text>
    </comment>
    <comment ref="C7" authorId="0" shapeId="0" xr:uid="{4B54C6AE-20DB-4F88-A9D3-D2F54D0AD3D5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Elementos concretos y detallados que se presupuestan, compran y consumen. Asi quedan denomidados en el Maestro de Insumos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Directora Financiera</author>
  </authors>
  <commentList>
    <comment ref="A7" authorId="0" shapeId="0" xr:uid="{5180B957-5752-4E82-93F1-DC97640E0A50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Grandes categorías de costos "Areas" </t>
        </r>
      </text>
    </comment>
    <comment ref="B7" authorId="0" shapeId="0" xr:uid="{5F2222AB-1B0F-4CC6-9D75-342436E750DE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Subdivisiones dentro de cada capítulo que clasifican el gasto por concepto específico. </t>
        </r>
      </text>
    </comment>
    <comment ref="C7" authorId="0" shapeId="0" xr:uid="{3D56AC56-0417-4C3B-82B8-9DD4639CC5AE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Elementos concretos y detallados que se presupuestan, compran y consumen. Asi quedan denomidados en el Maestro de Insumos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Directora Financiera</author>
  </authors>
  <commentList>
    <comment ref="A7" authorId="0" shapeId="0" xr:uid="{040C83E5-0254-4990-855C-46AEDAC5860E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Grandes categorías de costos "Areas" </t>
        </r>
      </text>
    </comment>
    <comment ref="B7" authorId="0" shapeId="0" xr:uid="{54B144A7-CB16-4682-8F8A-FF2166BE5F1B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Subdivisiones dentro de cada capítulo que clasifican el gasto por concepto específico. </t>
        </r>
      </text>
    </comment>
    <comment ref="C7" authorId="0" shapeId="0" xr:uid="{225E8A14-5789-4E4C-8A47-E207F532D93B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Elementos concretos y detallados que se presupuestan, compran y consumen. Asi quedan denomidados en el Maestro de Insumos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tc={BE9B793B-809B-49CD-9D38-CA727B0BC5DB}</author>
    <author>tc={CFF5C6C1-5536-4E62-9490-5CF2B1696B0E}</author>
    <author>Directora Financiera</author>
  </authors>
  <commentList>
    <comment ref="C3" authorId="0" shapeId="0" xr:uid="{BE9B793B-809B-49CD-9D38-CA727B0BC5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Valor de la celda en 4%. Se actualiza al 5.3% correspondiente a la ultima actualización (noviembre 2025). La actualización de cierre 2025 se publicará el 09/01/2026
Reply:
    Se actualizar a 5.10% correspondiente al cierre del 2025</t>
      </text>
    </comment>
    <comment ref="C4" authorId="1" shapeId="0" xr:uid="{CFF5C6C1-5536-4E62-9490-5CF2B1696B0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Valor de la celda 8%. Se actualiza a 23% de acuerdo al Decreto 1469 y 1470 de 29 de Dic de 2025</t>
      </text>
    </comment>
    <comment ref="A7" authorId="2" shapeId="0" xr:uid="{3E936A00-5C31-4766-B7AB-AF6101EF08DF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Grandes categorías de costos "Areas" </t>
        </r>
      </text>
    </comment>
    <comment ref="B7" authorId="2" shapeId="0" xr:uid="{EC2631BA-2D10-4B64-8341-F2F26B707859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Subdivisiones dentro de cada capítulo que clasifican el gasto por concepto específico. </t>
        </r>
      </text>
    </comment>
    <comment ref="C7" authorId="2" shapeId="0" xr:uid="{23564993-9BC5-4138-BEDE-ECCA346DC206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Elementos concretos y detallados que se presupuestan, compran y consumen. Asi quedan denomidados en el Maestro de Insumos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Directora Financiera</author>
  </authors>
  <commentList>
    <comment ref="A7" authorId="0" shapeId="0" xr:uid="{EA937B26-9D4E-46D7-807C-EB7E23058B19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Grandes categorías de costos "Areas" </t>
        </r>
      </text>
    </comment>
    <comment ref="B7" authorId="0" shapeId="0" xr:uid="{328F0E31-321C-4327-9A80-CE9D4857BC50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Subdivisiones dentro de cada capítulo que clasifican el gasto por concepto específico. </t>
        </r>
      </text>
    </comment>
    <comment ref="C7" authorId="0" shapeId="0" xr:uid="{4F331250-1DD5-4E13-BB60-A0923E068BBE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Elementos concretos y detallados que se presupuestan, compran y consumen. Asi quedan denomidados en el Maestro de Insumos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Directora Financiera</author>
  </authors>
  <commentList>
    <comment ref="A7" authorId="0" shapeId="0" xr:uid="{2130D63E-A480-468C-9F57-942F4CA58A3D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Grandes categorías de costos "Areas" </t>
        </r>
      </text>
    </comment>
    <comment ref="B7" authorId="0" shapeId="0" xr:uid="{D5BDFF5A-39CB-46D1-86D4-35B9AE50F9A3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Subdivisiones dentro de cada capítulo que clasifican el gasto por concepto específico. </t>
        </r>
      </text>
    </comment>
    <comment ref="C7" authorId="0" shapeId="0" xr:uid="{20514E34-95D1-4B9A-8C7F-2D7A20682836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Elementos concretos y detallados que se presupuestan, compran y consumen. Asi quedan denomidados en el Maestro de Insumos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Directora Financiera</author>
  </authors>
  <commentList>
    <comment ref="A7" authorId="0" shapeId="0" xr:uid="{EED5F6D9-35F6-4243-BC90-49A878CDBFCC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Grandes categorías de costos "Areas" </t>
        </r>
      </text>
    </comment>
    <comment ref="B7" authorId="0" shapeId="0" xr:uid="{E844A681-E950-4F24-BD7A-AF56F781C9C8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Subdivisiones dentro de cada capítulo que clasifican el gasto por concepto específico. </t>
        </r>
      </text>
    </comment>
    <comment ref="C7" authorId="0" shapeId="0" xr:uid="{5BFB8312-0C10-483E-97BE-EAC3222D3319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Elementos concretos y detallados que se presupuestan, compran y consumen. Asi quedan denomidados en el Maestro de Insumos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Directora Financiera</author>
  </authors>
  <commentList>
    <comment ref="A7" authorId="0" shapeId="0" xr:uid="{9EAF45A3-CC42-4EE8-8D74-95F5D6F15DDF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Grandes categorías de costos "Areas" </t>
        </r>
      </text>
    </comment>
    <comment ref="B7" authorId="0" shapeId="0" xr:uid="{1941D554-E671-4DB9-ACC8-B4A74C11A274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Subdivisiones dentro de cada capítulo que clasifican el gasto por concepto específico. </t>
        </r>
      </text>
    </comment>
    <comment ref="C7" authorId="0" shapeId="0" xr:uid="{3F9C837A-857F-431B-BCD7-530C97CC7C5A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Elementos concretos y detallados que se presupuestan, compran y consumen. Asi quedan denomidados en el Maestro de Insumos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Directora Financiera</author>
  </authors>
  <commentList>
    <comment ref="A7" authorId="0" shapeId="0" xr:uid="{B48BB88C-3029-495B-9F85-C14E0ADD2782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Grandes categorías de costos "Areas" </t>
        </r>
      </text>
    </comment>
    <comment ref="B7" authorId="0" shapeId="0" xr:uid="{4A4A73A7-3895-4535-B865-608F839DCB9D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Subdivisiones dentro de cada capítulo que clasifican el gasto por concepto específico. </t>
        </r>
      </text>
    </comment>
    <comment ref="C7" authorId="0" shapeId="0" xr:uid="{87C3574C-449A-4D55-8FFD-13CA01C3D707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Elementos concretos y detallados que se presupuestan, compran y consumen. Asi quedan denomidados en el Maestro de Insumos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Directora Financiera</author>
  </authors>
  <commentList>
    <comment ref="A7" authorId="0" shapeId="0" xr:uid="{348613F9-F1BC-4667-9805-F3F55850B29C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Grandes categorías de costos "Areas" </t>
        </r>
      </text>
    </comment>
    <comment ref="B7" authorId="0" shapeId="0" xr:uid="{5B2CE21D-40BD-4362-9C73-D2A796FEB516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Subdivisiones dentro de cada capítulo que clasifican el gasto por concepto específico. </t>
        </r>
      </text>
    </comment>
    <comment ref="C7" authorId="0" shapeId="0" xr:uid="{42F492EF-C479-49F4-BA70-80B77D51E296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Elementos concretos y detallados que se presupuestan, compran y consumen. Asi quedan denomidados en el Maestro de Insumos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Directora Financiera</author>
  </authors>
  <commentList>
    <comment ref="A7" authorId="0" shapeId="0" xr:uid="{B106C155-C8E5-4B9E-AF76-41DF4CF56778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Grandes categorías de costos "Areas" </t>
        </r>
      </text>
    </comment>
    <comment ref="B7" authorId="0" shapeId="0" xr:uid="{EF2D89BE-7E48-44A7-9FBF-263DC9785026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Subdivisiones dentro de cada capítulo que clasifican el gasto por concepto específico. </t>
        </r>
      </text>
    </comment>
    <comment ref="C7" authorId="0" shapeId="0" xr:uid="{6262ABF6-E876-4A46-80D8-67515651017D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Elementos concretos y detallados que se presupuestan, compran y consumen. Asi quedan denomidados en el Maestro de Insumos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Directora Financiera</author>
  </authors>
  <commentList>
    <comment ref="A7" authorId="0" shapeId="0" xr:uid="{0A3DF6EB-1B33-4613-87E4-0E0C9002CD86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Grandes categorías de costos "Areas" </t>
        </r>
      </text>
    </comment>
    <comment ref="B7" authorId="0" shapeId="0" xr:uid="{6A31CC2B-209E-41C2-9393-1BE2F8FED41F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Subdivisiones dentro de cada capítulo que clasifican el gasto por concepto específico. </t>
        </r>
      </text>
    </comment>
    <comment ref="C7" authorId="0" shapeId="0" xr:uid="{C1122CF5-F6BC-431A-B756-E523B1623E8C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Elementos concretos y detallados que se presupuestan, compran y consumen. Asi quedan denomidados en el Maestro de Insumos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Directora Financiera</author>
  </authors>
  <commentList>
    <comment ref="A7" authorId="0" shapeId="0" xr:uid="{1412F7B1-F833-4417-AF84-F162906334C8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Grandes categorías de costos "Areas" </t>
        </r>
      </text>
    </comment>
    <comment ref="B7" authorId="0" shapeId="0" xr:uid="{40ACD800-B27D-4B5D-81F2-7F8F8BDCE409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Subdivisiones dentro de cada capítulo que clasifican el gasto por concepto específico. </t>
        </r>
      </text>
    </comment>
    <comment ref="C7" authorId="0" shapeId="0" xr:uid="{8FAF55BC-1BF8-4A33-A701-02FCB2A6085A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Elementos concretos y detallados que se presupuestan, compran y consumen. Asi quedan denomidados en el Maestro de Insumos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Directora Financiera</author>
  </authors>
  <commentList>
    <comment ref="A7" authorId="0" shapeId="0" xr:uid="{752BA2AC-BBDF-473D-935B-F754B581C9E5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Grandes categorías de costos "Areas" </t>
        </r>
      </text>
    </comment>
    <comment ref="B7" authorId="0" shapeId="0" xr:uid="{35B47487-220C-4432-A65B-A631AD4DFEB6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Subdivisiones dentro de cada capítulo que clasifican el gasto por concepto específico. </t>
        </r>
      </text>
    </comment>
    <comment ref="C7" authorId="0" shapeId="0" xr:uid="{B0667693-61CD-41C0-866C-DD7B425EFB0C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Elementos concretos y detallados que se presupuestan, compran y consumen. Asi quedan denomidados en el Maestro de Insumos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Directora Financiera</author>
  </authors>
  <commentList>
    <comment ref="A7" authorId="0" shapeId="0" xr:uid="{C4D4791C-CE38-4CF2-A881-FC3CA6F79271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Grandes categorías de costos "Areas" </t>
        </r>
      </text>
    </comment>
    <comment ref="B7" authorId="0" shapeId="0" xr:uid="{9F042D9E-46F6-4395-83CB-32628305461D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Subdivisiones dentro de cada capítulo que clasifican el gasto por concepto específico. </t>
        </r>
      </text>
    </comment>
    <comment ref="C7" authorId="0" shapeId="0" xr:uid="{F1BB7EC9-A2F0-4D3A-AE38-02A89D236DD2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Elementos concretos y detallados que se presupuestan, compran y consumen. Asi quedan denomidados en el Maestro de Insumos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Directora Financiera</author>
  </authors>
  <commentList>
    <comment ref="A7" authorId="0" shapeId="0" xr:uid="{FBBAB5D7-3B7B-43BE-A572-2D874834F7A7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Grandes categorías de costos "Areas" </t>
        </r>
      </text>
    </comment>
    <comment ref="B7" authorId="0" shapeId="0" xr:uid="{DC36B67F-A4BA-4CBF-B416-FB81D385BF25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Subdivisiones dentro de cada capítulo que clasifican el gasto por concepto específico. </t>
        </r>
      </text>
    </comment>
    <comment ref="C7" authorId="0" shapeId="0" xr:uid="{2DE561BE-2910-4DE7-962E-8F25D97634B5}">
      <text>
        <r>
          <rPr>
            <b/>
            <sz val="9"/>
            <color indexed="81"/>
            <rFont val="Tahoma"/>
            <family val="2"/>
          </rPr>
          <t>Directora Financiera:</t>
        </r>
        <r>
          <rPr>
            <sz val="9"/>
            <color indexed="81"/>
            <rFont val="Tahoma"/>
            <family val="2"/>
          </rPr>
          <t xml:space="preserve">
Elementos concretos y detallados que se presupuestan, compran y consumen. Asi quedan denomidados en el Maestro de Insumos</t>
        </r>
      </text>
    </comment>
  </commentList>
</comments>
</file>

<file path=xl/sharedStrings.xml><?xml version="1.0" encoding="utf-8"?>
<sst xmlns="http://schemas.openxmlformats.org/spreadsheetml/2006/main" count="38055" uniqueCount="3691">
  <si>
    <t>Codigo</t>
  </si>
  <si>
    <t>Descripción</t>
  </si>
  <si>
    <t>Tipo</t>
  </si>
  <si>
    <t>U.M.</t>
  </si>
  <si>
    <t>Grupo</t>
  </si>
  <si>
    <t>Vr.Unitario</t>
  </si>
  <si>
    <t>% IVA</t>
  </si>
  <si>
    <t>Vr.Neto</t>
  </si>
  <si>
    <t>Estado</t>
  </si>
  <si>
    <t>Sub-Analisis</t>
  </si>
  <si>
    <t>Stock Minimo</t>
  </si>
  <si>
    <t>Stock Maximo</t>
  </si>
  <si>
    <t>Devolutivo</t>
  </si>
  <si>
    <t>Adjuntos</t>
  </si>
  <si>
    <t>Iva Descontable</t>
  </si>
  <si>
    <t>Excluye IVA</t>
  </si>
  <si>
    <t>Usuario Creación</t>
  </si>
  <si>
    <t>Fecha Creación</t>
  </si>
  <si>
    <t>Usuario Modificación</t>
  </si>
  <si>
    <t>Fecha Modificación</t>
  </si>
  <si>
    <t>DURANTA</t>
  </si>
  <si>
    <t xml:space="preserve">M - INVENTARIO </t>
  </si>
  <si>
    <t>UND - UNIDAD</t>
  </si>
  <si>
    <t>034 - OTRAS COMPRAS CTA</t>
  </si>
  <si>
    <t>Activo</t>
  </si>
  <si>
    <t>NO</t>
  </si>
  <si>
    <t>SI</t>
  </si>
  <si>
    <t>Cesar Augusto Rolon Cañon</t>
  </si>
  <si>
    <t>15/11/2023</t>
  </si>
  <si>
    <t>PALMA COLA DE ZORRO</t>
  </si>
  <si>
    <t>HELICONIAS</t>
  </si>
  <si>
    <t>GRAMA</t>
  </si>
  <si>
    <t>M2 - METRO CUADRADO</t>
  </si>
  <si>
    <t>CINTA ITALIANA</t>
  </si>
  <si>
    <t>DIANELAS 0CCO</t>
  </si>
  <si>
    <t>MANO DE OBRA 0CCO</t>
  </si>
  <si>
    <t>S - SERVICIOS</t>
  </si>
  <si>
    <t>037 - OTROS SERVICIOS CTA</t>
  </si>
  <si>
    <t>DESAGUE PUSH AUTOMATICO SIN DESBORDE EN BRONCE</t>
  </si>
  <si>
    <t>ACOPLE METALICO PARA MESNOCONTROL 50CM 1/2"</t>
  </si>
  <si>
    <t>TAPON ROSCADO DE 1/2"</t>
  </si>
  <si>
    <t>TAPON LISO DE 1/2"</t>
  </si>
  <si>
    <t>TAPON ROSCADO DE 3/4"</t>
  </si>
  <si>
    <t>TAPON LISO DE 3/4"</t>
  </si>
  <si>
    <t>TUBO PVC DE PRESION 1/2" X 3MTS</t>
  </si>
  <si>
    <t>TUBO PVC DE PRESION 3/4" X 3MTS</t>
  </si>
  <si>
    <t>TUBO PVC DE PRESION 1" X 6MTS</t>
  </si>
  <si>
    <t>CINTA TEFLON 3/4" X 15MTS</t>
  </si>
  <si>
    <t>Direccion Administrativa</t>
  </si>
  <si>
    <t>10/01/2024</t>
  </si>
  <si>
    <t>REMOVEDOR LIMPIADOR PVC X 1/4 DE GALON</t>
  </si>
  <si>
    <t>Ruben Dario Villabona Sarmiento</t>
  </si>
  <si>
    <t>26/01/2024</t>
  </si>
  <si>
    <t>SOLDADURA LIQUIDA PVC X 1/4 DE GALON MARCA CELTA</t>
  </si>
  <si>
    <t>04/03/2024</t>
  </si>
  <si>
    <t>ORINAL ARRECIFE REF 06106A001</t>
  </si>
  <si>
    <t>SANITARIO SMART ALONGADO COLOR BLANCO REF, O39181001</t>
  </si>
  <si>
    <t>SANITARIO ADRIÁTICO REF, O13181001</t>
  </si>
  <si>
    <t>SANITARIO POWER ONE REF, 010141001</t>
  </si>
  <si>
    <t>LAVAMANOS MARCA SENCO REFERENCIA FORTUNDA TIPO VESSEL COLOR BLANCO</t>
  </si>
  <si>
    <t>GRIFERÍA MESNOCONTROL FÉNIX ALTA MARCA DECORCERAMICA CÓDIGO DG25CR001</t>
  </si>
  <si>
    <t>PANEL LED SOBREPONER CIRCULAR 1350 LÚMENES 18W LUZ FRÍA</t>
  </si>
  <si>
    <t>PANEL LED 60X60</t>
  </si>
  <si>
    <t>SENSOR DE MESVIMIENTO PARA TECHO 360°</t>
  </si>
  <si>
    <t>TOMA WETGUARD SEGURO INDUSTRIAL 15A - 277V L7-15P 2P 3W AMARILLO IP67 LEVITON REF. 25W34</t>
  </si>
  <si>
    <t>19/06/2024</t>
  </si>
  <si>
    <t>CLAVIJA WETGUARD SEGURO INDUSTRIAL 15A - 277V L7-15P 2P 3W AMARILLO IP67 LEVITON REF. 24W34</t>
  </si>
  <si>
    <t>TOMA DOBLE BLANCA CFGI</t>
  </si>
  <si>
    <t>ARREGLO  ESCRITORIO EN L DE 1,500CC0</t>
  </si>
  <si>
    <t>ARREGLO ESCRITORIO DE 1,200CC0</t>
  </si>
  <si>
    <t>ARREGLO DE SILLAS ERGONOMICA0CC0</t>
  </si>
  <si>
    <t>ARREGLO DE SILLAS ASISTENCIAL0CC0</t>
  </si>
  <si>
    <t>ARREGLO DE BIBLIOTECA 0CC0</t>
  </si>
  <si>
    <t>CILINDRO AJUSTABLE PARA SILLA ERGONOMICA</t>
  </si>
  <si>
    <t>BASE ARAÑA PARA SILLA ERGONOMICA</t>
  </si>
  <si>
    <t>RUEDA PARA SILLA DE OFICINA</t>
  </si>
  <si>
    <t>SOPORTE PICOLORO PARA VIDRIO</t>
  </si>
  <si>
    <t>VIDRIO SEPARADOR DE PUESTOS DE TRABAJO</t>
  </si>
  <si>
    <t>MANTENIMIENTO LOCATIVO  CC0</t>
  </si>
  <si>
    <t>TOPELLANTAS</t>
  </si>
  <si>
    <t>JUEGO DE TORNILERIA PARA INSTALACION</t>
  </si>
  <si>
    <t>MANTENIMIENTO PTAR  0CC0</t>
  </si>
  <si>
    <t>MANTENIMIENTO BOMBAS DE SUMINISTRO0CC0</t>
  </si>
  <si>
    <t>LAVADO DE TANQUE DE SUMINISTRO0CC0</t>
  </si>
  <si>
    <t>MANTENIMIENTO BOMBA RCI0CC0</t>
  </si>
  <si>
    <t>MANTENIMIENTO TABLERO ELECTRICO RCI0CC0</t>
  </si>
  <si>
    <t>MANTENIMIENTO ALARMAS DE DETECCION0CC0</t>
  </si>
  <si>
    <t>TIJERAS PARA JARDINERIA</t>
  </si>
  <si>
    <t>RASTRILLO METALICO 14 DIENTES CON CABO MADERA</t>
  </si>
  <si>
    <t>PALA PEQUEÑA</t>
  </si>
  <si>
    <t>PALA REDONDA CON CABO</t>
  </si>
  <si>
    <t>16/01/2024</t>
  </si>
  <si>
    <t>ABONO ORGANICO</t>
  </si>
  <si>
    <t>FUNDGICIDA</t>
  </si>
  <si>
    <t>HERBICIDA</t>
  </si>
  <si>
    <t>FERTILIZANTE X 25K</t>
  </si>
  <si>
    <t>MANGUERA DE RIEGO PLASTICA X 100M</t>
  </si>
  <si>
    <t>MANGUERA FLREFORZADA USO DURO 4 CAPAS X 100M</t>
  </si>
  <si>
    <t>ASPERSORES DE RIEGO</t>
  </si>
  <si>
    <t>REGISTRO DE BOLA PVC 1/2"</t>
  </si>
  <si>
    <t>ABRAZADERA METALICA</t>
  </si>
  <si>
    <t>AMBIENTADOR BONAIRE AEROSOL 400 ML</t>
  </si>
  <si>
    <t>N - OTRAS COMPRAS</t>
  </si>
  <si>
    <t>016 - ELEMENTOS DE CAFETERIA CTA</t>
  </si>
  <si>
    <t>AMBIENTADOR BONAIRE VARITAS DIFUSORAS VAINILLA 80 ML</t>
  </si>
  <si>
    <t>AXION LIQUIDO LIMESN 750 ML</t>
  </si>
  <si>
    <t>AZUCAR MANUELITA BLANCA ALTA PUREZA 1 KG (=)</t>
  </si>
  <si>
    <t>BALDE PLASTICO 10 LT</t>
  </si>
  <si>
    <t>BLANQUEADOR HIPOCLORITO SIN AROMA X 3,800 EKKOLOGICO</t>
  </si>
  <si>
    <t>BOLSA BASURA 100 X 120 CALIBRE 2,3 BLANCA PAQ, X 6</t>
  </si>
  <si>
    <t>BOLSA BASURA 100 X 120 CALIBRE 2,3 NEGRA PAQ, X 6</t>
  </si>
  <si>
    <t>BOLSA BASURA 100 X 120 CALIBRE 2,3 ROJA PAQ, X 6</t>
  </si>
  <si>
    <t>BOLSA BASURA 100 X 120 CALIBRE 2,3 VERDE PAQ, X 6</t>
  </si>
  <si>
    <t>BOLSA BASURA 40 X 60 PARA PAPELERA VERDE CAL, 2,3 PAQ,X 6U,</t>
  </si>
  <si>
    <t>CAFE COLCAFE CLASICO X 1,5 GRS X 48 STICK (=)</t>
  </si>
  <si>
    <t>CEPILLO INDUSTRIAL CON MANGO REF: 1602 FULLER PINTO</t>
  </si>
  <si>
    <t>CEPILLO SANITARIO CON BASE MARCA: 1A</t>
  </si>
  <si>
    <t>CUCHARA DESECHABLE MALTEADA X 100U,</t>
  </si>
  <si>
    <t>DESENGRASANTE CONCENTRADO X 3,800 EKKOLOGICO</t>
  </si>
  <si>
    <t>ESPONJA ESPIRAL DE ACERO INOXIDABLE SCOTCH BRITE 3M X 1</t>
  </si>
  <si>
    <t>ESPONJILLA BON BRIL PQT POR 12 UNDES</t>
  </si>
  <si>
    <t>FOSFOROS PQT X 20</t>
  </si>
  <si>
    <t>GUANTE DOMESTICO AMARILLO CALIBRE 18 TALLA S (70 7,1/2) *</t>
  </si>
  <si>
    <t>GUANTE INDUSTRIAL CALIBRE 25 NEGRO TALLA S (707,5) *</t>
  </si>
  <si>
    <t>GUANTE PLASTICO NEGRO C, 25 TALLA 7 MARCA DELFIN *</t>
  </si>
  <si>
    <t>GUANTE INDUSTRIAL CALIBRE 35 NEGRO TALLA L (9091/2)</t>
  </si>
  <si>
    <t>JABON EN POLVO AS BICARBONATO Y MANZANA X 1000 GR,</t>
  </si>
  <si>
    <t>LAVALOZA LIQUIDO ANTIBACTERIAL 3800 ML LIMESN EKKOLOGICO</t>
  </si>
  <si>
    <t>LAVALOZA LIQUIDO BLANCOX PRO ANTIBACTERIAL LIMESN 3800 ML</t>
  </si>
  <si>
    <t>LIMPIADOR DESENGRASANTE MULTIUSOS 3000 ML POTENTE</t>
  </si>
  <si>
    <t>LIMPIADOR DESENGRASANTE MULTIUSOS 20 LTS, POTENTE</t>
  </si>
  <si>
    <t>LIMPIADOR DESINFECTANTE MULTIUSOS LAVANDA 3000 ML POTENTE</t>
  </si>
  <si>
    <t>LIMPIADOR DESINFECTANTE MULTIUSOS FLORAL 3000 ML POTENTE</t>
  </si>
  <si>
    <t>LIMPIADOR DESINFECTANTE FLOR DE JAMAICA X 3800 ML EKKOLOGICO</t>
  </si>
  <si>
    <t>LIMPIAVIDRIOS GALON X 3800 ML EKKOLOGICO</t>
  </si>
  <si>
    <t>LIMPION TOALLA BLANCO 30 X 40</t>
  </si>
  <si>
    <t>LUSTRAMUEBLES 750 ML POTENTE</t>
  </si>
  <si>
    <t>LUSTRAMUEBLES 300 ML POTENTE</t>
  </si>
  <si>
    <t>MULTIESPONJA BON BRIL POR UND</t>
  </si>
  <si>
    <t>PANELA EN CUADRO 450 G ORQUIDEA (*)</t>
  </si>
  <si>
    <t>PANELA INSTANTANEA CUBO LIMESNX48 UND (=)</t>
  </si>
  <si>
    <t>PANELA INSTANTANEA CUBO NARANJA X48 UND (=)</t>
  </si>
  <si>
    <t>PANELA PULVERIZADA SABOR NATURAL 1000 G ORQUIDEA (*)</t>
  </si>
  <si>
    <t>PAPEL HIGIENICO JUMBO BLANCO 4X250M DOBLE H SANITISU</t>
  </si>
  <si>
    <t>PAPEL HIGIENICO JUMBO BLANCO 4X250M DOBLE H SCOTT 30224083</t>
  </si>
  <si>
    <t>PAPEL HIGIENICO SUAVE GOLD BLANCO TRIPLE H 12 RLLS X 32M</t>
  </si>
  <si>
    <t>PAPEL HIGIENICO FAMILIA JUMBO NATURAL 4X250M DOBLE H 71457</t>
  </si>
  <si>
    <t>RAID AEROSOL X 400 ML ELIMINA VOLADORES (*)</t>
  </si>
  <si>
    <t>RECOGEDOR MANGO PLASTICO CON BANDA</t>
  </si>
  <si>
    <t>SERVILLETA FAMILIA CUADRADA BLANCA PAQ, X 100 72257/ 200115</t>
  </si>
  <si>
    <t>TOALLA COCINA MULTIUSOS SCOTT RLLX 64U REF: 30242858</t>
  </si>
  <si>
    <t>TOALLA DE MANOS FAMILIA EN Z TRIPLE H NATURAL 3PAQX150 73555</t>
  </si>
  <si>
    <t>TOALLA DE MANOS FAMILIA EN Z TRIPLE H BLANCA PAQX150 73528</t>
  </si>
  <si>
    <t>TRAPERO ENCABADO ARCO TASK NO, 32 INDUSTRIAL REF:1000 X 430G</t>
  </si>
  <si>
    <t>TRAPERO ENCABADO CON MANGO MADERA 1,20 N20</t>
  </si>
  <si>
    <t>TRAPERO ROSCA C/MANGO METAPLASTICO MECHA NO,20 TASK 280G,</t>
  </si>
  <si>
    <t>VARSOL ECOLOGICO BIO, X 1000 ML FULL FRESH</t>
  </si>
  <si>
    <t>VASO 4 ONZAS CARTON BLANCO PQT X 50 BARVAL</t>
  </si>
  <si>
    <t>VASO 7 ONZAS DESECHABLE TRANSPARENTE X 50 OPTIMES</t>
  </si>
  <si>
    <t>VINAGRE BLANCO PARA ALIMENTOS POR 3000 ML</t>
  </si>
  <si>
    <t>VINAGRE BLANCO X 3800 CC</t>
  </si>
  <si>
    <t>VINAGRE BLANCO X 500 CC</t>
  </si>
  <si>
    <t>ALMESHADILLA DACTILAR PARA 4000 HUELLAS MARCA: PREVENT SECURITY</t>
  </si>
  <si>
    <t>055 - UTILES PAPELERIA Y FOTOCOPIAS CTA</t>
  </si>
  <si>
    <t>ARCHIVADOR MANIJA EXPANDIBLE 13 BOLSILLOS OFICIO AZUL OE0455</t>
  </si>
  <si>
    <t>BOLSILLO LAMINACION TAMAÑO CARTA 100U, CALIBRE 5</t>
  </si>
  <si>
    <t>BORRADOR ESCOBILLA</t>
  </si>
  <si>
    <t>CARGADOR PARA PILA AA /AAA ENERGIZER MAXI0 CARGA 4P, INC,2P</t>
  </si>
  <si>
    <t>CHINCHES METALICO COLOR BLANCO X 50U, TRITON</t>
  </si>
  <si>
    <t>CINTA ADHESIVA EMPAQUE TRANSPARENTE CINTANDINA 48MM X 40M</t>
  </si>
  <si>
    <t>CORRECTOR BLANCO ROLLER X 20M, OFFI0ESCO OE0265</t>
  </si>
  <si>
    <t>CORRECTOR BLANCO ROLLER X 6M, OFFI0ESCO OE0260</t>
  </si>
  <si>
    <t>COSEDORA METAL0PLASTICA BARRA COMPLETA OFFI0ESCO OE 316</t>
  </si>
  <si>
    <t>COSEDORA KW0TRIO CAPACIDAD 140 HOJAS REF: 5001</t>
  </si>
  <si>
    <t>GUIA CLASIFICADORA 105 PLASTICA PASTA 3 ARGOLLAS X 5 GENERIC</t>
  </si>
  <si>
    <t>LAPIZ CORRECTOR LIQUIDO OFFI0ESCO 8 ML,</t>
  </si>
  <si>
    <t>LAPIZ ROJO (*)</t>
  </si>
  <si>
    <t>MARCADOR SHARPIE PERMANENTE PUNDTA FINA NARANJA</t>
  </si>
  <si>
    <t>MARCADOR SECO BORRABLE BEROL AZUL</t>
  </si>
  <si>
    <t>PAPEL SEDA COLOR AMARILLO PQT X 25</t>
  </si>
  <si>
    <t>PAPEL SEDA COLOR AZUL PQT X 25</t>
  </si>
  <si>
    <t>PAPEL SEDA COLOR BLANCO PQT X 25</t>
  </si>
  <si>
    <t>PAPEL SEDA COLOR NARANJA PQT X 25</t>
  </si>
  <si>
    <t>PAPEL SEDA COLOR NEGRO PQT X 25</t>
  </si>
  <si>
    <t>PAPEL SEDA COLOR ROJO PQT X 25</t>
  </si>
  <si>
    <t>PAPEL SEDA COLOR ROSADO PQT X 25</t>
  </si>
  <si>
    <t>PAPEL SEDA COLOR VERDE PQT X 25</t>
  </si>
  <si>
    <t>PASTA 3 ARGOLLAS 105 0,75 PULGADAS BLANCA</t>
  </si>
  <si>
    <t>PASTA CATALOGO 105 2,5 PULGADAS BLANCA CON HERRAJE AZ</t>
  </si>
  <si>
    <t>PASTA 3 ARGOLLAS 115 OFICIO 1 PULGADAS</t>
  </si>
  <si>
    <t>PILA ALCALINA ENERGIZER MAX AA BL X 2U,</t>
  </si>
  <si>
    <t>PILA ALCALINA ENERGIZER MAX AAA BL X 2U,</t>
  </si>
  <si>
    <t>PLANILLERA ACRILICA OFICIO NEGRA</t>
  </si>
  <si>
    <t>PORTAMINAS 0,7 MM GENERICO</t>
  </si>
  <si>
    <t>PRESS APLIQUE 215,9 X 279,9MM CARPETA LASER X 30 RÓTULOS REF 3129</t>
  </si>
  <si>
    <t>RECIBO CJ MENOR ECONOMICO PAQ, X 200 UDS,</t>
  </si>
  <si>
    <t>REGLA METALICA DE 30 CMS</t>
  </si>
  <si>
    <t>RESALTADOR MARK 2 AMARILLO PELIKAN</t>
  </si>
  <si>
    <t>RESALTADOR MARK 2 NARANJA PELIKAN</t>
  </si>
  <si>
    <t>RESMAS OPALINA 180 GRS, CARTA X 500 HOJAS</t>
  </si>
  <si>
    <t>REVISTERO CARTON PRECOLOMBINO AZUL NORMA</t>
  </si>
  <si>
    <t>RLLCONTAC NEGRO X 3 MTS</t>
  </si>
  <si>
    <t>RLLCONTAC TRANSPARENTE X 3 MTS</t>
  </si>
  <si>
    <t>SACAGANCHOS OFFI ESCO 0E0302</t>
  </si>
  <si>
    <t>SILICONA EN BARRA DELGADA POR UND</t>
  </si>
  <si>
    <t>SOBRE MANILA(ECOLOGICO) OFICIO 25 X 35</t>
  </si>
  <si>
    <t>TAJALAPIZ ESCOLAR DEPOSITO</t>
  </si>
  <si>
    <t>TINTA BOTELLA EPSON T544120 NEGRA</t>
  </si>
  <si>
    <t>TINTA BOTELLA EPSON T544220 CYAN</t>
  </si>
  <si>
    <t>TINTA BOTELLA EPSON T544320 MAGENTA</t>
  </si>
  <si>
    <t>TINTA BOTELLA EPSON T544420 YELLOW</t>
  </si>
  <si>
    <t>TINTA BOTELLA EPSON T664120 NEGRA L0 2000/210/355/350</t>
  </si>
  <si>
    <t>TINTA BOTELLA EPSON T664220 CYAN L200/210/350/355/555</t>
  </si>
  <si>
    <t>TINTA BOTELLA EPSON T664320 MAGENTA L200</t>
  </si>
  <si>
    <t>TINTA BOTELLA EPSON T664420 YELLOW L200</t>
  </si>
  <si>
    <t>ALQUILER SALONES PARA REUNDIONES ADMESN</t>
  </si>
  <si>
    <t>A - ALQUILER Y ARRIENDO</t>
  </si>
  <si>
    <t>MES - MES</t>
  </si>
  <si>
    <t>004 - ARRENDAMIENTOS CTA</t>
  </si>
  <si>
    <t>AGUA BOTELLA PET 300 PACA X 24 0ADMINSITRACION</t>
  </si>
  <si>
    <t>GATORADE PACA X 12 0 ADMINISTRACION</t>
  </si>
  <si>
    <t>JUGO PACA X 24 0 ADMINISTRACION</t>
  </si>
  <si>
    <t>PAPAS MARAGARITA  0 ADMINISTRACION</t>
  </si>
  <si>
    <t>MANI 0 ADMINISTRACION</t>
  </si>
  <si>
    <t>GALLETAS QUACKER CJ X 20 0 ADMINISTRACION</t>
  </si>
  <si>
    <t>SANDWICH 0 ADMINISTRACION</t>
  </si>
  <si>
    <t>REFRIGERIOS</t>
  </si>
  <si>
    <t>DOMINIO PAGINA WEB</t>
  </si>
  <si>
    <t>B - SOFTWARE</t>
  </si>
  <si>
    <t>AÑO - AÑO</t>
  </si>
  <si>
    <t>031 - LICENCIAS</t>
  </si>
  <si>
    <t>Andrea Nuñez</t>
  </si>
  <si>
    <t>15/01/2025</t>
  </si>
  <si>
    <t>HOSTING</t>
  </si>
  <si>
    <t>031 OFFICE 365</t>
  </si>
  <si>
    <t>HOSTING SINCOSOFT</t>
  </si>
  <si>
    <t>PMA SINCO 0SERVICIO</t>
  </si>
  <si>
    <t>LICENCIA ADOBE CREATIVE CLOUD</t>
  </si>
  <si>
    <t>Sayde Hernandez Guerrero</t>
  </si>
  <si>
    <t>01/12/2023</t>
  </si>
  <si>
    <t>CIVIL 3D</t>
  </si>
  <si>
    <t>AUTOCAD LT</t>
  </si>
  <si>
    <t>LICENCIA KASPERSKY</t>
  </si>
  <si>
    <t>MANTENIMIENTO IMPRESORA</t>
  </si>
  <si>
    <t>032 - MANTENIMIENTO DE EQUIPOS CTA</t>
  </si>
  <si>
    <t>SERVICIO MANTENIMIENTO EQUIPOS TEC</t>
  </si>
  <si>
    <t>COMPUTADOR PORTATIL</t>
  </si>
  <si>
    <t>E - ACTIVOS FIJOS</t>
  </si>
  <si>
    <t>TORRE</t>
  </si>
  <si>
    <t>AIO COMPUTADOR</t>
  </si>
  <si>
    <t>MESNITOR</t>
  </si>
  <si>
    <t>TECLADO</t>
  </si>
  <si>
    <t>MESUSE</t>
  </si>
  <si>
    <t>SSD 0 DISCO EN ESTADO SOLIDO</t>
  </si>
  <si>
    <t>HHD 0DISCO MECANICO</t>
  </si>
  <si>
    <t>USB</t>
  </si>
  <si>
    <t>MICRO CD</t>
  </si>
  <si>
    <t>RADIOS</t>
  </si>
  <si>
    <t>CELULAR</t>
  </si>
  <si>
    <t>MESRRAL</t>
  </si>
  <si>
    <t>KIT DE LIMPIEZA INCLUYE SPRAY ALCOHOL ISOPROPILICO Y PAÑO</t>
  </si>
  <si>
    <t>28/06/2024</t>
  </si>
  <si>
    <t>HERRAMINTAS MENORES</t>
  </si>
  <si>
    <t>IMPRESORA</t>
  </si>
  <si>
    <t>SCANNER</t>
  </si>
  <si>
    <t>MULTIPUERTOS</t>
  </si>
  <si>
    <t>SERVICIO MIS FACTURAS</t>
  </si>
  <si>
    <t>SERVICIO MESVIL CORPORATIVO</t>
  </si>
  <si>
    <t>053 - TELEFONO</t>
  </si>
  <si>
    <t>DESTORNILLADORES</t>
  </si>
  <si>
    <t>PERILLEROS</t>
  </si>
  <si>
    <t>ROUTERS</t>
  </si>
  <si>
    <t>CABLE UTP</t>
  </si>
  <si>
    <t>CJ - CAJA</t>
  </si>
  <si>
    <t>JACKS RJ45</t>
  </si>
  <si>
    <t>RAM</t>
  </si>
  <si>
    <t>BATERIAS PORTATIL</t>
  </si>
  <si>
    <t>CAMARA</t>
  </si>
  <si>
    <t>CARGADOR CELULAR</t>
  </si>
  <si>
    <t>AURICULARES</t>
  </si>
  <si>
    <t>BATERIAS RADIO</t>
  </si>
  <si>
    <t>MASILLA EPOXICA RALLY X 100 GR</t>
  </si>
  <si>
    <t>DESENGRASANTE BIODEGRADABLE GN X 20 LITROS</t>
  </si>
  <si>
    <t>GN  - GALON</t>
  </si>
  <si>
    <t>Johan Arvey Herrera Gomez</t>
  </si>
  <si>
    <t>06/02/2024</t>
  </si>
  <si>
    <t>TURBA CANADIENSE LAMBERT CLEAN BULTO DE 30KG</t>
  </si>
  <si>
    <t>25/06/2024</t>
  </si>
  <si>
    <t>CALAJANES DE MADERA</t>
  </si>
  <si>
    <t>PALA ANTICHISPA</t>
  </si>
  <si>
    <t>ESCOBA DE MANO</t>
  </si>
  <si>
    <t>RECOGEDOR DE MANO</t>
  </si>
  <si>
    <t>MALETA PARA KIT DE DERRAMES</t>
  </si>
  <si>
    <t xml:space="preserve">CEPILLO TIPO EDIS 35CM BASE MADERA CON CABO </t>
  </si>
  <si>
    <t>CANECA PLASTICA AZUL CON TAPA DE SEGURIDAD DE 30LT</t>
  </si>
  <si>
    <t>SERVICIO DE SEGUIMIENTO DE PERMISOS AMBIENTALES Y PRORROGAS 0AMBIENTAL</t>
  </si>
  <si>
    <t>TASA POR UTILIZACIÓN DE AGUAS  TUA 0AMBIENTAL</t>
  </si>
  <si>
    <t>Dalia Torres</t>
  </si>
  <si>
    <t>TASA RETRIBUTIVA POR VERTIMIENTOS 0AMBIENTAL</t>
  </si>
  <si>
    <t>SERVICIO DE SEGUIMIENTO POR CIERRE DE PERMISOS AMBIENTALES</t>
  </si>
  <si>
    <t>033 - MONITOREOS AMBIENTALES</t>
  </si>
  <si>
    <t>CINTA DE PELIGRO PARA DEMARCACIÓN X 500M</t>
  </si>
  <si>
    <t>RLL - ROLLO</t>
  </si>
  <si>
    <t>19/03/2024</t>
  </si>
  <si>
    <t>PLASTICO NEGRO CALIBRE 6 ROLLO DE 4MTS DE ANCHO X 120MTS LONGITUD</t>
  </si>
  <si>
    <t>07/02/2024</t>
  </si>
  <si>
    <t>RECOLECCIÓN Y DIPOSICIÓN DE RESIDUOS SOLIDOS PELIGROSOS 0AMBIENTAL</t>
  </si>
  <si>
    <t>BOLSA PARA BASURA NEGRA DE 70 X 100 CM CALIBRE 2.3, PAQUETE X 6UND</t>
  </si>
  <si>
    <t>19/02/2024</t>
  </si>
  <si>
    <t>BOLSA PARA BASURA BLANCA DE 70 X 100 CM CALIBRE 2.3, PAQUETE X 6UND</t>
  </si>
  <si>
    <t>PQ - PAQUETE</t>
  </si>
  <si>
    <t>BOLSA PARA BASURA ROJA DE 70 X 100 CM CALIBRE 2.3, PAQUETE X 6UND</t>
  </si>
  <si>
    <t>AGUAS</t>
  </si>
  <si>
    <t>GUANTES DE NITRILO CAJA X 100 UNIDADES – TALLA M</t>
  </si>
  <si>
    <t>PENDON INFORMATIVO</t>
  </si>
  <si>
    <t>BOLSA ECOLOGICA CAMBREL ARCADIA COLOR VERDE DE 23CM X 18CM</t>
  </si>
  <si>
    <t>FOLLETOS ATROPELLAMIENTO DE FAUNA</t>
  </si>
  <si>
    <t>ESFEROS ECOLOGICOS</t>
  </si>
  <si>
    <t>AGENDAS ECOLOGICAS</t>
  </si>
  <si>
    <t>MESNITOREO DE CALIDAD DEL AGUA SUPERFICIALES</t>
  </si>
  <si>
    <t>D - HONORARIOS</t>
  </si>
  <si>
    <t>013 - CONSULTORIA Y/O ASESORIA CTA</t>
  </si>
  <si>
    <t>MEDIDORES PARA CONTROL DE CAUDAL EN CAPTACIONES DE AGUA</t>
  </si>
  <si>
    <t>CARACTERIZACIÓN DE PARAMETROS FISICO0QUIMICOS DE AGUAS TRATADAS</t>
  </si>
  <si>
    <t>CREOLINA EN GALON X 3,7 LT</t>
  </si>
  <si>
    <t>INSECTICIDA LORSBAN LIQUIDO X 1 LT</t>
  </si>
  <si>
    <t>HERBICIDA GRAMESXONE LIQUIDO X 1LT</t>
  </si>
  <si>
    <t>ESTIMULANTE RADICULAR HORMESNAGRO 1 X 1LT</t>
  </si>
  <si>
    <t>COADYUVANTE LIQUIDO PEGAL X 1LT</t>
  </si>
  <si>
    <t>ROLL CABUYA DE FIQUE  3 HILOS X 1,5KG</t>
  </si>
  <si>
    <t>COSTAL SACO  FIQUE 3 RAYAS DE 70 KG 0 70X95 CM</t>
  </si>
  <si>
    <t>MACHETE COLIMA 18" CON FUNDA</t>
  </si>
  <si>
    <t>BOMBA DE ESPALDA BLANCA  X 20 LT</t>
  </si>
  <si>
    <t>TRAJE TYVEK BLANCO - TALLA L</t>
  </si>
  <si>
    <t>06/05/2024</t>
  </si>
  <si>
    <t>ESCALERA METALICA DE 5 METROS</t>
  </si>
  <si>
    <t>HUACAL MEDIANO DE 20KG</t>
  </si>
  <si>
    <t>TALA Y PODA DE INDIVIDUOS FORESTALES 0 AMBIENTAL</t>
  </si>
  <si>
    <t>097 - GESTION AMBIENTAL</t>
  </si>
  <si>
    <t>25/07/2025</t>
  </si>
  <si>
    <t>GUANTES PARA MANEJO DE FAUNA KEVLAR REFORZADO DE CUERO T022</t>
  </si>
  <si>
    <t>GANCHO HERPETOLÓGICO PROFESIONAL</t>
  </si>
  <si>
    <t>POLAINAS  CONTRA MESRDEDURAS</t>
  </si>
  <si>
    <t>PAR - PAR</t>
  </si>
  <si>
    <t>JORNADA DE FUMIGACIÓN PARA CONTROL DE VECTORES TIPO PLAGA 0AMBIENTAL</t>
  </si>
  <si>
    <t>09/12/2023</t>
  </si>
  <si>
    <t>CONTENEDORES PARA ACOPIO TEMPORAL DE RESIDUOS SOLIDOS (SHUT) DE 1000LT NEGRO</t>
  </si>
  <si>
    <t>02/02/2024</t>
  </si>
  <si>
    <t>BOLSA DE SEMILLAS PASTOS BRACH DE 1KG</t>
  </si>
  <si>
    <t>BULTO DE ABONO GALLINAZA X 50KG</t>
  </si>
  <si>
    <t>BIONOCULARES SEGUIMIENTO DE FAUNDA</t>
  </si>
  <si>
    <t>CAMARA DIGITAL SENCILLA</t>
  </si>
  <si>
    <t>VIATICOS PERSONAL  AMBIENTAL</t>
  </si>
  <si>
    <t>RESTAURANTE</t>
  </si>
  <si>
    <t>006 - CASINO Y RESTAURANTE CTA</t>
  </si>
  <si>
    <t>HOSPEDAJE</t>
  </si>
  <si>
    <t>001 - ALOJAMIENTO Y MANUTENCION</t>
  </si>
  <si>
    <t>MANTENIMIENTO DE  VEHICULOS</t>
  </si>
  <si>
    <t>ENCUESTA DE SATISFACCIÓN AL USUSARIO PQRS 0SOCIAL</t>
  </si>
  <si>
    <t>ATENCIÓN Y CIERRE DE PQRS  0SUMNISTRO AMBIENTAL</t>
  </si>
  <si>
    <t>ATENCIÓN Y CIERRE DE PQRS  0S AMBIENTALES</t>
  </si>
  <si>
    <t>PAGO DE ARRIENDO OFICINA SATELITE SAN LUIS DEGACENO</t>
  </si>
  <si>
    <t>MEGAFONOS</t>
  </si>
  <si>
    <t>MATERIAL Y ELEMENTOS PARA CAPACITACIÓN</t>
  </si>
  <si>
    <t>TRANSAPORTE  0SOCIAL</t>
  </si>
  <si>
    <t>MATERIAL PARA COMITÉS DE PARTICIPACIÓN  COMUNDITARIA</t>
  </si>
  <si>
    <t>BROCHURE</t>
  </si>
  <si>
    <t>BOLETÍN</t>
  </si>
  <si>
    <t>VOLANTES</t>
  </si>
  <si>
    <t>AFICHES</t>
  </si>
  <si>
    <t>PLEGABLES</t>
  </si>
  <si>
    <t>PENDON SEGURIDAD VIAL</t>
  </si>
  <si>
    <t>08/02/2024</t>
  </si>
  <si>
    <t>CARTILLAS</t>
  </si>
  <si>
    <t>CALENDARIOS</t>
  </si>
  <si>
    <t>STICKER ADHESIVO PARA ROTULACION DE SEÑALIZACION VERTICAL (2,7X1,8CM)</t>
  </si>
  <si>
    <t>13/02/2024</t>
  </si>
  <si>
    <t>VIDEOS CORPORATIVOS</t>
  </si>
  <si>
    <t>040 - PUBLICIDAD</t>
  </si>
  <si>
    <t>PROGRAMA TV MAGAZINES</t>
  </si>
  <si>
    <t>041 - RADIO Y TELEVISION</t>
  </si>
  <si>
    <t>PROGRAMA RADIO MAGAZIN</t>
  </si>
  <si>
    <t>PRENSA PUBLIREPORTAJE</t>
  </si>
  <si>
    <t>CUÑAS RADIALES EMISORA LA VOZ DE GARAGOA</t>
  </si>
  <si>
    <t>CUÑAS RADIALES EMISORA SUTATENZA STEREO</t>
  </si>
  <si>
    <t>ENCUESTA AÑO (IMPACTO DE LA ESTRATEGÍA DE COMUNDICACIONES) 0SOCIAL</t>
  </si>
  <si>
    <t>ASESORIA AGENCIA IDDEA</t>
  </si>
  <si>
    <t>DISEÑO DE PIEZAS Y PRENSA AGENCIA IDDEA</t>
  </si>
  <si>
    <t>MATERIAL DE DIVULGACION E INFORMACION EXTRAORDINARIO</t>
  </si>
  <si>
    <t>SUMINISTRO INICIATIVAS O PROYECTOS  PRODUCTIVOS</t>
  </si>
  <si>
    <t>S  INICIATIVAS O PROYECTOS  PRODUCTIVOS</t>
  </si>
  <si>
    <t>SUMINISTRO 0APOYO A LA GESTIÓN INSTITUCIONAL TURISMO COMO BENEFICIO GENERADO POR EL PROYECTO</t>
  </si>
  <si>
    <t>SERVICIO 0APOYO A LA GESTIÓN INSTITUCIONAL TURISMO COMO BENEFICIO GENERADO POR EL PROYECTO</t>
  </si>
  <si>
    <t>SUMINISTRO 0CAMPAÑA CIVICO AMBIENTALES</t>
  </si>
  <si>
    <t>SERVICIO 0CAMPAÑA CIVICO AMBIENTALES</t>
  </si>
  <si>
    <t>CURSOS COMPLEMENTARIOS  ALIANZA ESTARTEGICA SENA</t>
  </si>
  <si>
    <t>MATERIAL PEDAGOGICO 0   APOYO SENSIBILIZACIONES0 CAPACITACIONES</t>
  </si>
  <si>
    <t>APOYO A ENTIDADES DE EMERGENCIA PARA CAPACITACIONES A LA COMUND</t>
  </si>
  <si>
    <t>SEGUIMIENTO Y ACTIVIDADES ARQUEOLOGICAS DE LA AUTORIZACION ARQUEOLOGICA 8069</t>
  </si>
  <si>
    <t>039 - PROGRAMA ARQUEOLOGIA PREVENTIVA</t>
  </si>
  <si>
    <t>ACTIVIDADES DE LABORATORIO</t>
  </si>
  <si>
    <t>CULTURA VIAL 0 MATERIAL INFORMATIVO (AFICHES, VOLANTES, CARTILLAS0 PENDONES 0 OTROS )</t>
  </si>
  <si>
    <t>CULTURAL VIAL 0 DISFRACES 0 DUMIS 0  JUEGOS</t>
  </si>
  <si>
    <t>CULTURA VIAL 0 MATERIAL PEDAGOGICO 0   APOYO SENSIBILIZACIONES0 CAPACITACIONES</t>
  </si>
  <si>
    <t>CULTURA VIAL 0 CAMPAÑA DE SEGURIDAD VIAL PREVENCIÓN DE ACCIDENTES</t>
  </si>
  <si>
    <t>CULTURA VIAL 0 MATERIAL POP ELEMENTOS UTILES PARA LOS USUARIOS</t>
  </si>
  <si>
    <t>PRAS 0SUMNINISTRO 0SOCIAL</t>
  </si>
  <si>
    <t>PRAS 0S  0SOCIAL</t>
  </si>
  <si>
    <t>SUMNISTROS OTRAS ACTIVIDADES  SOCIALES</t>
  </si>
  <si>
    <t>S OTRAS ACTIVIDADES SOCIALES</t>
  </si>
  <si>
    <t>ACEITE MOTOR TERPEL 15W40</t>
  </si>
  <si>
    <t>13/03/2024</t>
  </si>
  <si>
    <t>FILTRO DE ACEITE</t>
  </si>
  <si>
    <t>FILTRO DE COMBUSTIBLE</t>
  </si>
  <si>
    <t>ARANDELA TAPON CARTER</t>
  </si>
  <si>
    <t>FILTRO DE AIRE DE MOTOR ACDELCO</t>
  </si>
  <si>
    <t>18/01/2024</t>
  </si>
  <si>
    <t>DISCOS DE FRENOS BRASIL</t>
  </si>
  <si>
    <t>PASTILLA PARA FRENO GAMAX INCOLBEST REF. 7877 FF (JUEGO)</t>
  </si>
  <si>
    <t>08/11/2024</t>
  </si>
  <si>
    <t>GUARDAPOLVO EJE IZQUIERDO</t>
  </si>
  <si>
    <t>CAMBIO GUARDAPOLVO EJE IZQUIERDO</t>
  </si>
  <si>
    <t>ALINEACIÓN Y BALANCEOS</t>
  </si>
  <si>
    <t>SERV, TALLER: LUBRICACION (CAMBIO DE ACEITE, FILTROS Y REVISAR NIVELES)</t>
  </si>
  <si>
    <t>SERV, TALLER: FRENOS (REVISION, LIMPIEZA, AJUSTE FRENOS)</t>
  </si>
  <si>
    <t>SERV, TALLER: ELECTRICO (REVISION GENERAL Y SERVICIO DE SCANNER)</t>
  </si>
  <si>
    <t>SERV, TALLER: ENGRASE (CRUSETAS, SUSPENSIÓN Y DIRECCION)</t>
  </si>
  <si>
    <t>TUBO DE ALTA PRESION NO, 4</t>
  </si>
  <si>
    <t>EMPAQUE TAPA VALVULAS</t>
  </si>
  <si>
    <t>PLUMILLAS LIMPIABRISAS</t>
  </si>
  <si>
    <t>BRAZO AXIAL IZQUIERDO</t>
  </si>
  <si>
    <t>CAMBIO BRAZO AXIAL IZQUIERDO</t>
  </si>
  <si>
    <t>PUNTA HOMESCINETICA DELANTERO DERECHO</t>
  </si>
  <si>
    <t>DESMESNTAR EJE DERECHO PARA CAMBIO PUNDTA HOMESCINETICA</t>
  </si>
  <si>
    <t>ROTULA INFERIOR DERECHA</t>
  </si>
  <si>
    <t>CAMBIO ROTULAS INFERIORES</t>
  </si>
  <si>
    <t>REVISAR AIRE ACONDICIONADO</t>
  </si>
  <si>
    <t>SONDEAR RADIADOR</t>
  </si>
  <si>
    <t>DESMESNTAR RADIADOR PARA MANTENIMIENTO</t>
  </si>
  <si>
    <t>KIT DE REPARTICION ORIGINAL</t>
  </si>
  <si>
    <t>CAMBIO KIT DE REPARTICION</t>
  </si>
  <si>
    <t>MUÑECO BARRA ESTABILIZADORA</t>
  </si>
  <si>
    <t>CAMBIO DE MUÑECOS BARRA ESTABILIZADORA</t>
  </si>
  <si>
    <t>LLANTAS  REF,265/70 R16</t>
  </si>
  <si>
    <t>VALVULA RUEDA</t>
  </si>
  <si>
    <t>BANDAS DE FRENO RECALZADAS INCOLBESTOS PEGADAS</t>
  </si>
  <si>
    <t>VALVULAS DE ADMISION</t>
  </si>
  <si>
    <t>VALVULAS DE ESCAPE</t>
  </si>
  <si>
    <t>GUIAS VALVULAS</t>
  </si>
  <si>
    <t>KIT - KIT</t>
  </si>
  <si>
    <t>VASOS VALVULAS</t>
  </si>
  <si>
    <t>CAUCHOS VALCULAS</t>
  </si>
  <si>
    <t>EMPAQUE DE CULATA</t>
  </si>
  <si>
    <t>TAPA EJES DE LEVAS</t>
  </si>
  <si>
    <t>CAMPANAS FRENO</t>
  </si>
  <si>
    <t>REATA CINTURON DE SEGURIDAD DELANTERA DERECHA</t>
  </si>
  <si>
    <t>DESMESNTAR CINTURON DE SEGURIDAD DELANTERO PARA CAMBIO REATA</t>
  </si>
  <si>
    <t>ROTULA INFERIOR DERECHA 2</t>
  </si>
  <si>
    <t>CAMBIO ROTULA INFERIOR DERECHA</t>
  </si>
  <si>
    <t>SENSOR DE VELOCIDADES ABS</t>
  </si>
  <si>
    <t>BATERIA MAC 27R 1150</t>
  </si>
  <si>
    <t>LLANTA 265/65 R17</t>
  </si>
  <si>
    <t>26/08/2025</t>
  </si>
  <si>
    <t>TERCER STOP</t>
  </si>
  <si>
    <t>CAMBIO TERCER STOP</t>
  </si>
  <si>
    <t>FILTRO DE AIRE DE MOTOR DENSO MESD, 2017 Y 2019</t>
  </si>
  <si>
    <t>FILTRO DE COMBUSTIBLE MESD, 2017 Y 2019</t>
  </si>
  <si>
    <t>RECTIFICAR DISCOS DE FRENOS</t>
  </si>
  <si>
    <t>TAPON NIVEL TRANSFER</t>
  </si>
  <si>
    <t>BUJES BALANCINES</t>
  </si>
  <si>
    <t>CAMBIO BUJES BALANCINES</t>
  </si>
  <si>
    <t>RECTIFICAR CAMPANAS DE FRENOS</t>
  </si>
  <si>
    <t>EXPLORADORAS TAIWAN</t>
  </si>
  <si>
    <t>CAMBIO EXPLORADORAS</t>
  </si>
  <si>
    <t>BUJES DE TIJERAS INFERIORES</t>
  </si>
  <si>
    <t>DESMESNTAR TIJERA PARA CAMBIO BUJES</t>
  </si>
  <si>
    <t>CAMBIO PASTILLAS DE FRENOS DELANT</t>
  </si>
  <si>
    <t>FORROS SILLAS DELANTERAS CONDUCTOR Y
COPILOTO</t>
  </si>
  <si>
    <t>MESDULO ESPUMA ASIENTO SILLA CONDUCTOR</t>
  </si>
  <si>
    <t>TAPIZADO COMPLETO TIMESN</t>
  </si>
  <si>
    <t>MUÑECOS BARRA ESTABILIZADORA</t>
  </si>
  <si>
    <t>CAMBIO MUÑECOS BARRA ESTABILIZADORA</t>
  </si>
  <si>
    <t>REPARAR ENCENDEDOR DE CIGARRILLOS</t>
  </si>
  <si>
    <t>CAJA DE DIRECCION REMANUFACTURADA</t>
  </si>
  <si>
    <t>DESMESNTAR CJ DE DIRECCION</t>
  </si>
  <si>
    <t>ACEITE ATF DIRECCION</t>
  </si>
  <si>
    <t>LLANTA DIRECCIONAL 12R 22,5</t>
  </si>
  <si>
    <t>LLANTA TRACCION 12 RR 22,5</t>
  </si>
  <si>
    <t>CAMARA DE FRENO 30/30</t>
  </si>
  <si>
    <t>FILTRO AIRE INTERNO 320 DAEWOO REF: DN 2853</t>
  </si>
  <si>
    <t>04/05/2024</t>
  </si>
  <si>
    <t>FILTRO AIRE EXTERNO 320 DAEWOO REF: DN 2852</t>
  </si>
  <si>
    <t>FILTRO COMBUSTIBLE NOVUS 390 DAEWOO REF: 65125035033A</t>
  </si>
  <si>
    <t>FILTRO COMBUSTIBLE TRAMPA NOVUS 390 II DAEWOO REF: 65125035100</t>
  </si>
  <si>
    <t>FILTRO ACEITE DAEWOO 390</t>
  </si>
  <si>
    <t>FILTRO CABINA</t>
  </si>
  <si>
    <t>FILTRO SECADOR DE AIRE</t>
  </si>
  <si>
    <t>ACEITE HIDRAULICO ISO 68</t>
  </si>
  <si>
    <t>CONVERTIDOR DE CORRIENTE DE 24V A 12 V</t>
  </si>
  <si>
    <t>LUZ COCUYO LATERAL DE 24V</t>
  </si>
  <si>
    <t>SUAVIZADOR DE CAMBIOS</t>
  </si>
  <si>
    <t>SERVOEMBRAGUE</t>
  </si>
  <si>
    <t>SERVICIO CAMBIO DE EMBRAGUE</t>
  </si>
  <si>
    <t>SERVICIO REPARACION DE MESTOR</t>
  </si>
  <si>
    <t>ASBESTOS DE FRENO K4DEF</t>
  </si>
  <si>
    <t>BUJE BARRA TENSORA</t>
  </si>
  <si>
    <t>PASADOR DE MUELLE</t>
  </si>
  <si>
    <t>HOJA DE MUELLE K4DEF</t>
  </si>
  <si>
    <t>AMESRTIGUADOR DELANTERO</t>
  </si>
  <si>
    <t>AMESRTIGUADOR TRASERO</t>
  </si>
  <si>
    <t>BOMBA HIDRAULICA</t>
  </si>
  <si>
    <t>ELECTROVALVULA MAGNETICA K4DEF</t>
  </si>
  <si>
    <t>PERA DE CAMBIOS K4DEF</t>
  </si>
  <si>
    <t>PLUMILLA LIMPIABRISAS K4DEF</t>
  </si>
  <si>
    <t>KIT DE EMBRAGUE K4DEF</t>
  </si>
  <si>
    <t>SERVICIO REPARACION TRANSMISION DE VELOCIDADES</t>
  </si>
  <si>
    <t>SERVICIO CAMBIO DE BUJES BARRAS TENSORAS</t>
  </si>
  <si>
    <t>SERVICIO M/D DE MUELLES</t>
  </si>
  <si>
    <t>SERVICIO CAMBIO DE FRENOS</t>
  </si>
  <si>
    <t>SERVICIO REPARACION DE TURBO</t>
  </si>
  <si>
    <t>ACEITE PARA TRANSMISION 80W90</t>
  </si>
  <si>
    <t>CORREA DE ALTERNADOR</t>
  </si>
  <si>
    <t>PASADOR DE EJE (SPLINDER)</t>
  </si>
  <si>
    <t>SERVICIO CAMBIO DE SPLINDER</t>
  </si>
  <si>
    <t>SERVICIO REPARACION DE ALTERNADOR</t>
  </si>
  <si>
    <t>SERVICIO REPARACION DE MESTOR DE ARRANQUE</t>
  </si>
  <si>
    <t>SERVICIO REPARACION Y CALIBRACION DE FRENO DE MESTOR</t>
  </si>
  <si>
    <t>SENSOR DE VELOCIMETRO K4DEF</t>
  </si>
  <si>
    <t>SWITCH PEDAL</t>
  </si>
  <si>
    <t>SENSOR DE PEDAL DE ACELERACION K4DEF</t>
  </si>
  <si>
    <t>MANTENIMIENTO GRUA GANCHO</t>
  </si>
  <si>
    <t>ACEITE MESBIL DELVAC 15W40 2</t>
  </si>
  <si>
    <t>Inactivo</t>
  </si>
  <si>
    <t>LLANTA DOBLE SERVICIO 235/75/17,5</t>
  </si>
  <si>
    <t>KIT DE DISTRIBUCION</t>
  </si>
  <si>
    <t>CAMARA DE FRENO</t>
  </si>
  <si>
    <t>KIT DE FILTRACION</t>
  </si>
  <si>
    <t>SPLINDER</t>
  </si>
  <si>
    <t>BANCO PRINCIPAL MANDOS HIDRAULICOS</t>
  </si>
  <si>
    <t>SERVICIO REPARACION CILINDRO PRINCIPAL  DESPLAZAMIENTO DE EQUIPO GRUA</t>
  </si>
  <si>
    <t>SERVICIO CAMBIO KIT DE EMBRAGUE</t>
  </si>
  <si>
    <t>REPARACION DE MESTOR</t>
  </si>
  <si>
    <t>ASBESTOS DE FRENO</t>
  </si>
  <si>
    <t>HOJA DE MUELLE</t>
  </si>
  <si>
    <t>PLUMILLA LIMPIABRISAS</t>
  </si>
  <si>
    <t>KIT DE EMBRAGUE</t>
  </si>
  <si>
    <t>SERVICIO REPARACION SISTEMA DE INYECCION</t>
  </si>
  <si>
    <t>FRENO DE AHOGO</t>
  </si>
  <si>
    <t>SERVICIO REPARACION Y AJUSTE DE DIFERENCIALES</t>
  </si>
  <si>
    <t>ACEITE PARA DIFERENCIAL 15W0140</t>
  </si>
  <si>
    <t>SERVICIO CAMBIO DE SENSOR</t>
  </si>
  <si>
    <t>FLASHER DE DIRECCIONALES</t>
  </si>
  <si>
    <t>RELAY 24 VOLTIOS</t>
  </si>
  <si>
    <t>FUSIBLE MISC. FUSE QSQ5 IR 10KA 600V 5AMPS PARA LUMINARIAS</t>
  </si>
  <si>
    <t>SENSOR DE VELOCIMETRO</t>
  </si>
  <si>
    <t>SENSOR DE POSICION DE CIGÜEÑAL</t>
  </si>
  <si>
    <t>MIEMBRO JUNDTA DIRECTIVA</t>
  </si>
  <si>
    <t>04/12/2023</t>
  </si>
  <si>
    <t>VIÁTICOS MIEMBRO JUNDTA DIRECTIVA</t>
  </si>
  <si>
    <t>TRI - TRIMESTRE</t>
  </si>
  <si>
    <t>COMITÉ 0D</t>
  </si>
  <si>
    <t>MIEMBRO JUNDTA DIRECTIVA CDS</t>
  </si>
  <si>
    <t>AUDITORIA</t>
  </si>
  <si>
    <t>SERVICIO LUPA JURPIDICA</t>
  </si>
  <si>
    <t>PROCESOS JUDICIALES 0D</t>
  </si>
  <si>
    <t>TRIBUNDAL 0D</t>
  </si>
  <si>
    <t>AMIGABLE 0D</t>
  </si>
  <si>
    <t>ASESORIA PROCESOS JUDICIALES</t>
  </si>
  <si>
    <t>05/03/2025</t>
  </si>
  <si>
    <t>CAPACITACIONES</t>
  </si>
  <si>
    <t>005 - CAPACITACIONES PERSONAL CTA</t>
  </si>
  <si>
    <t>SUMINISTRO VIATICOS</t>
  </si>
  <si>
    <t>VIATICOS</t>
  </si>
  <si>
    <t>20/11/2023</t>
  </si>
  <si>
    <t>REVISORIA FISCAL</t>
  </si>
  <si>
    <t>CONSULTORIA TRIBUTARIA</t>
  </si>
  <si>
    <t>DECLARACIÓN DE RENTA</t>
  </si>
  <si>
    <t>SEM - SEMESTRE</t>
  </si>
  <si>
    <t>DIRECCIÓN FINANCIERA</t>
  </si>
  <si>
    <t>INGENIERO INDEPENDIENTE</t>
  </si>
  <si>
    <t>AGENTE DE CALCULO</t>
  </si>
  <si>
    <t>Diana Barinas</t>
  </si>
  <si>
    <t>COMISION FIDUCIARIA</t>
  </si>
  <si>
    <t>009 - COMISION DE LA FIDUCIA PA</t>
  </si>
  <si>
    <t>CCI CUOTA DE SOSTENIMIENTO 0FONDO ROTATORIO</t>
  </si>
  <si>
    <t>MODELO FINANCIERO</t>
  </si>
  <si>
    <t>RENOVACION CAMARA DE COMERCIO</t>
  </si>
  <si>
    <t>042 - REGISTRO MERCANTIL</t>
  </si>
  <si>
    <t>21/03/2025</t>
  </si>
  <si>
    <t>P DE CUMPLIMIENTO</t>
  </si>
  <si>
    <t>P - POLIZAS</t>
  </si>
  <si>
    <t>043 - SEGUROS PA</t>
  </si>
  <si>
    <t>POCT/CAR</t>
  </si>
  <si>
    <t>POLIZA RESPONSABILIDAD CIVIL EXTRACONTRACTUAL</t>
  </si>
  <si>
    <t>POLIZA RESPONSABILIDAD CIVIL EXTRACONTRACTUAL AMBIENTAL</t>
  </si>
  <si>
    <t>P ESTABILIDAD DE OBRA</t>
  </si>
  <si>
    <t>P DIRECTORES ADMINISTRADORES</t>
  </si>
  <si>
    <t>P DIRECTORES ADMINISTRADORES CTS</t>
  </si>
  <si>
    <t>COSTO ENVIO CORRESPONDENCIA POR MENSAJERIA CERTIFICADA0 PREDIAL</t>
  </si>
  <si>
    <t>COSTO ADQUISICIÓN RESOLUCIONES DE DESENGLOBES</t>
  </si>
  <si>
    <t>COSTO REGISTRO 1 Y 2</t>
  </si>
  <si>
    <t>CERTIFICADOS DE USOS DEL SUELO</t>
  </si>
  <si>
    <t>COSTOS FICHAS CATASTRALES</t>
  </si>
  <si>
    <t>COSTOS DE FOLIOS PARA ESTUDIO DE TITULOS</t>
  </si>
  <si>
    <t>ELABORACION AVALÚO COMERCIAL INCLUYE DAÑO EMERGENTE (LONJA COLOMBIANA)
(GASTOS DE ESCRITURACIÓN Y REGISTRO)</t>
  </si>
  <si>
    <t>ELABORACIÓN AVALÚO COMERCIAL MAS VALORACIÓN COMPONENTES CONTEMPLADOS EN RESOLUCIÓN 898 DE 2014 DEL IGAC (LONJA COLOMBIANA)</t>
  </si>
  <si>
    <t>MESDIFICAR Y/O ACTUALIZAR AVALÚO CPMERCIAL POR RAZONES INHERENTES AL PROYECTO CON VISITA AL PREDIO (LONJA COLOMBIANA)</t>
  </si>
  <si>
    <t>MESDIFICAR Y/O ACTUALIZAR AVALÚO CPMERCIAL POR RAZONES INHERENTES AL PROYECTO SIN VISITA AL PREDIO (LONJA COLOMBIANA)</t>
  </si>
  <si>
    <t>DESPLAZAMIENTOS ESPORADICOS POR NUEVOS AVALUOS (LONJA COLOMBIANA)</t>
  </si>
  <si>
    <t>COSTOS DE FOLIOS PARA ENTREGA DE EXPEDIENTES A LA ANI</t>
  </si>
  <si>
    <t>D POR PROCESOS DE EXPROPIACIÓN JUDICIAL (CONTRATISTA MPM)</t>
  </si>
  <si>
    <t>ELABORACION Y PRESENTACION DE DEMANDA (CONTRATISTA MPM)</t>
  </si>
  <si>
    <t>ENTREGA ANTICIPADAO DEFINITIVA DEL PREDIO (CONTRATISTA MPM)</t>
  </si>
  <si>
    <t>SENTENCIA (CONTRATISTA MPM)</t>
  </si>
  <si>
    <t>DILIGENCIA DE INTERROGATORIO DE PERITOS Y OBJECION DE AVALÚO (CONTRATISTA MPM)</t>
  </si>
  <si>
    <t>INTERPOSICIÓN DE RECURSO (CONTRATISTA MPM)</t>
  </si>
  <si>
    <t>021 DE ESCRITURACIÓN</t>
  </si>
  <si>
    <t>021 - GASTOS NOTARIALES</t>
  </si>
  <si>
    <t>GASTOS DE IMPUESTO DE GOBERNACIÓN ESCRITURACIÓN</t>
  </si>
  <si>
    <t>GASTOS DE REGISTRO ESCRITURACIÓN</t>
  </si>
  <si>
    <t>GASTOS DE IMPUESTO DE GOBERNACIÓN EXPROPIACION O IMPOSICION DE SERVIDUMBRE</t>
  </si>
  <si>
    <t>GASTOS DE REGISTRO EXPROPIACION O IMPOSICION DE SERVIDUMBRE</t>
  </si>
  <si>
    <t>CERCADO DE PREDIOS</t>
  </si>
  <si>
    <t>30/11/2023</t>
  </si>
  <si>
    <t>OBRAS DE ROCERIA C&amp;M S,A,S</t>
  </si>
  <si>
    <t>OBRAS DE LIMPIEZA C&amp;M S,A,S</t>
  </si>
  <si>
    <t>OBRAS DE CUENTAS C&amp;M S,A,S</t>
  </si>
  <si>
    <t>OBRAS DE CUNETAS  BRACOR S,A,S,</t>
  </si>
  <si>
    <t>OBRAS DE LIMPIEZA BRACOR S,A,S,</t>
  </si>
  <si>
    <t>OBRAS DE  ROCERIA BRACOR S,A,S,</t>
  </si>
  <si>
    <t>OBRAS DE CUENTAS LA  ESMERALDA S,A,S,</t>
  </si>
  <si>
    <t>OBRAS DE LIMPIEZAS  LA ESMERALDA S,A,S,</t>
  </si>
  <si>
    <t>OBRAS DE ROCERIA  LA ESMERALDA S,A,S,</t>
  </si>
  <si>
    <t>ASFALTO MDC019</t>
  </si>
  <si>
    <t>M3 - METRO CUBICO</t>
  </si>
  <si>
    <t>ASFALTO MDC025</t>
  </si>
  <si>
    <t>EMULSION ASFALTICA TIPO CRR-1 INCOASFALTOS</t>
  </si>
  <si>
    <t>27/01/2024</t>
  </si>
  <si>
    <t>SERVICIO DE TRANSPORTE EMULSION</t>
  </si>
  <si>
    <t>SERVICIO DE FRESADO PAVIMENTO CON CARGUE Y LIMPIEZA</t>
  </si>
  <si>
    <t>SERVICIO SUMINISTRO DE RIEGO Y EMULSION ASFÁLTICA CRR01</t>
  </si>
  <si>
    <t>SERVICIO INSTALACIÓN DE MEZCLA DENSA EN CALIENTE ESPECIFICACIONES INVIAS</t>
  </si>
  <si>
    <t>BOLSA DE ASFALTO EZ STREET X 22,6 KG (50 LB)</t>
  </si>
  <si>
    <t>09/01/2024</t>
  </si>
  <si>
    <t>SERVICIO DE TRANSPORTE ASFALTO EN FRIO</t>
  </si>
  <si>
    <t>INCOCRACK PARA SELLO DE FISURAS CAJA X 2OKG</t>
  </si>
  <si>
    <t>29/02/2024</t>
  </si>
  <si>
    <t>SERVICIO TRANSPORTE INCOCRACK, MESSQUERA0GUATEQUE</t>
  </si>
  <si>
    <t>PINTURA TERTRAFICO ACRILICO BASE SOLVENTE AMARILLO PINTUCO</t>
  </si>
  <si>
    <t>06/07/2024</t>
  </si>
  <si>
    <t>PINTURA TERTRAFICO ACRILICO BASE SOLVENTE BLANCO PINTUCO</t>
  </si>
  <si>
    <t>MICROESFERA DE VIDRIO TIPO I SWARCO PINTUCO  BULTO X 25KG</t>
  </si>
  <si>
    <t>13/01/2024</t>
  </si>
  <si>
    <t xml:space="preserve">AJUSTADOR XILOL MARCA PINTUCO PARA DILUIR PINTURA </t>
  </si>
  <si>
    <t>TRAPOS DE LIMPIEZA INDUSTRIAL  BULTO x 25KG</t>
  </si>
  <si>
    <t>GRASA MULTIPROPOSITO CUÑETE X 35LBS</t>
  </si>
  <si>
    <t>15/01/2024</t>
  </si>
  <si>
    <t>TACHA BIDIRECCIONAL CON ESPIGO BLANCA / ROJA 3M</t>
  </si>
  <si>
    <t>19/01/2024</t>
  </si>
  <si>
    <t>TACHA BIDIRECCIONAL CON ESPIGO AMARILLA 3M</t>
  </si>
  <si>
    <t>TACHAS EN ALUMINIO SOLAR CON ESPIGO COLOR ROJO/ROJO</t>
  </si>
  <si>
    <t>PEGANTE CON CATALIZADOR  PINTUCO</t>
  </si>
  <si>
    <t>BROCA DE TUNGSTENO 5/16"</t>
  </si>
  <si>
    <t>BROCA DE TUNGSTENO 1/2"</t>
  </si>
  <si>
    <t>TRANSPORTE DE TACHAS</t>
  </si>
  <si>
    <t>PLANTILLA LETRAS EN TRIPLEX</t>
  </si>
  <si>
    <t>PLANTILLA NUMEROS EN TRIPLEX</t>
  </si>
  <si>
    <t>PLANTILLA DESPACIO</t>
  </si>
  <si>
    <t>PLANTILLA DISCAPACITADOS</t>
  </si>
  <si>
    <t>PLANTILLA PROHIBIDO PARQUEAR</t>
  </si>
  <si>
    <t>PLANTILLA CICLORUTA</t>
  </si>
  <si>
    <t>PLANTILLA MESTOCICLETAS</t>
  </si>
  <si>
    <t>PLANTILLA CRUCE PEATONAL</t>
  </si>
  <si>
    <t>PLANTILLA ZONA ESCOLAR</t>
  </si>
  <si>
    <t>PLANTILLA CIRCULO</t>
  </si>
  <si>
    <t>SEÑAL SP75 "DELINEADOR DE CURVA HORIZONTAL" TABLERO DE 30X45CM EN LAMINA GALVANIZADA CAL.16 CON REFLECTIVO GRADO DIAMANTE AL CUBO TIPO XI ESTAMPADO CON CINTAS TRASLUCIDAS MARCA 3M + ANTIGRAFITTY SIN PARAL</t>
  </si>
  <si>
    <t>06/03/2024</t>
  </si>
  <si>
    <t>SEÑAL SI25 "DISCAPACITADOS" TABLERO 60X60 EN LAMINA GALVANIZADA CAL.16 CON REFLECTIVO DIAMANTE AL CUBO TIPO XI E IMPRESION EN TINTAS TRASLUCIDAS 3M CON PINTURA ELECTROSTATICA EN EL REVERSO + ANTIGRAFITI, AZUL</t>
  </si>
  <si>
    <t>27/06/2024</t>
  </si>
  <si>
    <t>SEÑAL SI06 (RIO LENGUPA)</t>
  </si>
  <si>
    <t>26/08/2024</t>
  </si>
  <si>
    <t>SEÑAL SI06 (QUBRADA SAN AGUSTINERA)</t>
  </si>
  <si>
    <t>SEÑAL SI05 "QUEBRADA COLORADA" DE 130.9X49.3 EN LAMINA GALVANIZADA CAL.16 CON REFLECTIVO DIAMANTE AL CUBO TIPO XI E IMPRESION EN TINTAS TRASLUCIDAS 3M CON PINTURA ELECTROSTATICA EN EL REVERSO + ANTIGRAFITI (INCLUYE PARAL)</t>
  </si>
  <si>
    <t>SEÑAL SI06 (CAÑO EL CHUY)</t>
  </si>
  <si>
    <t>SEÑAL SI05 "QUEBRADA CACHIPAY" DE 106.7X49.3 EN LAMINA GALVANIZADA CAL.16 CON REFLECTIVO DIAMANTE AL CUBO TIPO XI E IMPRESION EN TINTAS TRASLUCIDAS 3M CON PINTURA ELECTROSTATICA EN EL REVERSO + ANTIGRAFITI (INCLUYE PARAL)</t>
  </si>
  <si>
    <t>SEÑAL SI05 (QUEBRADA NEGRA)</t>
  </si>
  <si>
    <t>SEÑAL SI05 (QUEBRADA CHUAPAL)</t>
  </si>
  <si>
    <t>SEÑAL SI05 (QUEBRADA EL CANGREJO)</t>
  </si>
  <si>
    <t>SEÑAL SI05 (QUEBRADA EL TORO)</t>
  </si>
  <si>
    <t>SEÑAL SI05 (QUEBRADA SAN IGNACIO)</t>
  </si>
  <si>
    <t>SEÑAL SI05 (CAÑO TINTO)</t>
  </si>
  <si>
    <t>SEÑAL SI05 (QUEBRADA LA CARNICERA)</t>
  </si>
  <si>
    <t>SEÑAL SI06 (SAN LUIS DE GACENO 10 , SANTA MARIA 31)</t>
  </si>
  <si>
    <t>SEÑAL SI05 (PEAJE S, LUIS DE GACENO)</t>
  </si>
  <si>
    <t>SEÑAL SI05 (MESTOS A LA DERECHA)</t>
  </si>
  <si>
    <t>SEÑAL SI05 (PAEZ, YOPAL, VILLAVICENCIO)</t>
  </si>
  <si>
    <t>SEÑAL SI05 (SAN LUIS DE GACENO, SANTA MARIA)</t>
  </si>
  <si>
    <t>SEÑAL SI05 (BASCULA)</t>
  </si>
  <si>
    <t>SEÑAL SI05 (OBLIGATORIO)</t>
  </si>
  <si>
    <t>SEÑAL SI05 (SABANA LARGA 7, MESNTERREY 36, AGUAZUL 103</t>
  </si>
  <si>
    <t>SEÑAL SI05 (QUEBRADA SAN CARLOS)</t>
  </si>
  <si>
    <t>SEÑAL SI05 (QUEBRADA BOTIJERA)</t>
  </si>
  <si>
    <t>SEÑAL SI04 PR</t>
  </si>
  <si>
    <t>SEÑAL SI08 "PARADERO DE BUSES" TABLERO 60X60 EN LAMINA GALVANIZADA CAL.16 CON REFLECTIVO DIAMANTE AL CUBO TIPO XI E IMPRESION EN TINTAS TRASLUCIDAS 3M CON PINTURA ELECTROSTATICA EN EL REVERSO + ANTIGRAFITI, AZUL</t>
  </si>
  <si>
    <t>22/03/2024</t>
  </si>
  <si>
    <t>SEÑAL SI19 "TELEFONO" TABLERO 60X60 EN LAMINA GALVANIZADA CAL.16 CON REFLECTIVO DIAMANTE AL CUBO TIPO XI E IMPRESION EN TINTAS TRASLUCIDAS 3M CON PINTURA ELECTROSTATICA EN EL REVERSO + ANTIGRAFITI, AZUL</t>
  </si>
  <si>
    <t>SEÑAL SI "PUENTE SUAITOQUE" TABLERO 110X50CM EN LAMINA GALVANIZADA CAL. 16 CON REFLECTIVO DIAMANTE AL CUBO TIPO XI E IMPRESION EN TINTAS TRASLUCIDAS 3M CON PINTURA ELECTROSTATICA EN EL REVERSO + ANTIGRAFFITI</t>
  </si>
  <si>
    <t>03/09/2024</t>
  </si>
  <si>
    <t>SEÑAL SP46A (PROXIMIDAD DE CRUCE PEATONAL)</t>
  </si>
  <si>
    <t>SEÑAL SP46B (UBICACIÓN DE CRUCE PEATONAL)</t>
  </si>
  <si>
    <t>SEÑAL SI15 "HOSPEDAJE" TABLERO 60X60 EN LAMINA GALVANIZADA CAL.16 CON REFLECTIVO DIAMANTE AL CUBO TIPO XI E IMPRESION EN TINTAS TRASLUCIDAS 3M CON PINTURA ELECTROSTATICA EN EL REVERSO + ANTIGRAFITI, AZUL</t>
  </si>
  <si>
    <t>SEÑAL SI22 (ESTACIÓN DE S)</t>
  </si>
  <si>
    <t>SEÑAL SP12 (VÍA LATERAL IZQUIERDA)</t>
  </si>
  <si>
    <t>SEÑAL SP13 (VÍA LATERAL DERECHO)</t>
  </si>
  <si>
    <t>SEÑAL SP50 "ALTURA LIBRE"TABLERO 60X60 EN LAMINA GALVANIZADA CAL.16 CON REFLECTIVO DIAMANTE AL CUBO TIPO XI E IMPRESION EN TINTAS TRASLUCIDAS 3M CON PINTURA ELECTROSTATICA EN EL REVERSO + ANTIGRAFITI</t>
  </si>
  <si>
    <t>SEÑAL SR32 (ALTURA MAXIMA PERMITIDA)</t>
  </si>
  <si>
    <t>SEÑAL SP74 "DESNIVEL SEVERO" TABLERO 60X60 EN LAMINA GALVANIZADA CAL.16 CON REFLECTIVO DIAMANTE AL CUBO TIPO XI E IMPRESION EN TINTAS TRASLUCIDAS 3M CON PINTURA ELECTROSTATICA EN EL REVERSO + ANTIGRAFITI</t>
  </si>
  <si>
    <t>SEÑAL SP49 "ANIMALES EN LA VÍA" TABLERO 60X60 EN LAMINA GALVANIZADA CAL.16 CON REFLECTIVO DIAMANTE AL CUBO TIPO XI E IMPRESION EN TINTAS TRASLUCIDAS 3M CON PINTURA ELECTROSTATICA EN EL REVERSO + ANTIGRAFITI</t>
  </si>
  <si>
    <t>SEÑAL SP46 (ZONA DE PEATONES)</t>
  </si>
  <si>
    <t>SEÑAL SP47 (ZONA ESCOLAR)</t>
  </si>
  <si>
    <t xml:space="preserve">SEÑAL SI05 </t>
  </si>
  <si>
    <t>SEÑAL SR30 (VELOCIDAD MAXIMA PERMITIDA)</t>
  </si>
  <si>
    <t>AVISO LAMINA SEÑALIZACION DOLL PASO POR LA DERECHA - MARCADOR DE OBSTACULO SENCILLO VERTICAL DE 80 x 15CM LAMINA GALVANIZADA CAL. 16 CON REFLECTIVO DIAMANTE AL CUBO TIPO XI  3M + ANTIGRAFFITI</t>
  </si>
  <si>
    <t>08/03/2024</t>
  </si>
  <si>
    <t>SEÑAL SI04</t>
  </si>
  <si>
    <t>SEÑAL SP42 (ZONA DE DERRUMBE)</t>
  </si>
  <si>
    <t>SEÑAL SP26 (DEPRESION)</t>
  </si>
  <si>
    <t>SEÑAL SR26 (PROHIBIDO ADELANTAR)</t>
  </si>
  <si>
    <t>AVISO LAMINA SEÑALIZACION SIO03 "FIN DE OBRA" CON REFLECTIVO DIAMANTE AL CUBO TIPO XI 3M CON PARAL TIPO TRIPODE EN ANGULO CON PINTURA ELECTROSTATICA + ANTIGRAFITI</t>
  </si>
  <si>
    <t>30/01/2024</t>
  </si>
  <si>
    <t>AVISO LAMINA SEÑALIZACION SIO02 "INICIO DE OBRA" CON REFLECTIVO DIAMANTE AL CUBO TIPO XI 3M CON PARAL TIPO TRIPODE EN ANGULO CON PINTURA ELECTROSTATICA + ANTIGRAFITI</t>
  </si>
  <si>
    <t>17/09/2024</t>
  </si>
  <si>
    <t>SEÑAL SI 0 BASCULA 500M</t>
  </si>
  <si>
    <t>SEÑAL SI 0 PEAJE 500M</t>
  </si>
  <si>
    <t>SEÑAL SI05 SOLO PAGO ELECTRONICO</t>
  </si>
  <si>
    <t>SEÑAL SI05 "ZONA DE INESTABILIDAD GEOLOGICA" TABLERO 170.1X82.5 EN LAMINA GALVANIZADA CAL.16 CON REFLECTIVO DIAMANTE AL CUBO TIPO XI E IMPRESION EN TINTAS TRASLUCIDAS 3M CON PINTURA ELECTROSTATICA EN EL REVERSO + ANTIGRAFITI - PARAL TIPO H</t>
  </si>
  <si>
    <t>SEÑAL SI08  PARQUEADERO DE BUSES</t>
  </si>
  <si>
    <t>SEÑAL SI18 "RESTAURANTE" TABLERO 60X60 EN LAMINA GALVANIZADA CAL.16 CON REFLECTIVO DIAMANTE AL CUBO TIPO XI E IMPRESION EN TINTAS TRASLUCIDAS 3M CON PINTURA ELECTROSTATICA EN EL REVERSO + ANTIGRAFITI, AZUL</t>
  </si>
  <si>
    <t>SEÑAL SI19 0 TELEFONO</t>
  </si>
  <si>
    <t>SEÑAL SI22 "ESTACION DE SERVICIO" TABLERO 60X60 EN LAMINA GALVANIZADA CAL.16 CON REFLECTIVO DIAMANTE AL CUBO TIPO XI E IMPRESION EN TINTAS TRASLUCIDAS 3M CON PINTURA ELECTROSTATICA EN EL REVERSO + ANTIGRAFITI, AZUL</t>
  </si>
  <si>
    <t>SEÑAL SI22  ESTACION DE S + LAMINA A 1KM</t>
  </si>
  <si>
    <t>SEÑAL SI27 "PELIGRO CAIDA DE ROCAS" TABLERO 180.26X60.63 EN LAMINA GALVANIZADA CAL.16 CON REFLECTIVO DIAMANTE AL CUBO TIPO XI E IMPRESION EN TINTAS TRASLUCIDAS 3M CON PINTURA ELECTROSTATICA EN EL REVERSO + ANTIGRAFITI - PARAL TIPO H</t>
  </si>
  <si>
    <t>SEÑAL SP01 "CURVA CERRADA A LA IZQUIERDA" TABLERO 60X60 EN LAMINA GALVANIZADA CAL.16 CON REFLECTIVO DIAMANTE AL CUBO TIPO XI E IMPRESION EN TINTAS TRASLUCIDAS 3M CON PINTURA ELECTROSTATICA EN EL REVERSO + ANTIGRAFITI</t>
  </si>
  <si>
    <t>SEÑAL SP02 "CURVA CERRADA A LA  DERECHA" TABLERO 60X60 EN LAMINA GALVANIZADA CAL.16 CON REFLECTIVO DIAMANTE AL CUBO TIPO XI E IMPRESION EN TINTAS TRASLUCIDAS 3M CON PINTURA ELECTROSTATICA EN EL REVERSO + ANTIGRAFITI</t>
  </si>
  <si>
    <t>SEÑAL SP03 "CURVA PRONUNCIADA A LA IZQUIERDA" TABLERO 60X60 EN LAMINA GALVANIZADA CAL.16 CON REFLECTIVO DIAMANTE AL CUBO TIPO XI E IMPRESION EN TINTAS TRASLUCIDAS 3M CON PINTURA ELECTROSTATICA EN EL REVERSO + ANTIGRAFITI</t>
  </si>
  <si>
    <t>SEÑAL SP04 "CURVA PRONUNCIADA A LA DERECHA" TABLERO 60X60 EN LAMINA GALVANIZADA CAL.16 CON REFLECTIVO DIAMANTE AL CUBO TIPO XI E IMPRESION EN TINTAS TRASLUCIDAS 3M CON PINTURA ELECTROSTATICA EN EL REVERSO + ANTIGRAFITI</t>
  </si>
  <si>
    <t>SEÑAL SP05 "CURVA Y CONTRACURVA PELIGROSA PRIMERA  A LA IZQUIERDA" TABLERO 60X60 EN LAMINA GALVANIZADA CAL.16 CON REFLECTIVO DIAMANTE AL CUBO TIPO XI E IMPRESION EN TINTAS TRASLUCIDAS 3M CON PINTURA ELECTROSTATICA EN EL REVERSO + ANTIGRAFITI</t>
  </si>
  <si>
    <t>SEÑAL SP06 "CURVA Y CONTRACURVA PELIGROSA PRIMERA A LA DERECHA" TABLERO 60X60 EN LAMINA GALVANIZADA CAL.16 CON REFLECTIVO DIAMANTE AL CUBO TIPO XI E IMPRESION EN TINTAS TRASLUCIDAS 3M CON PINTURA ELECTROSTATICA EN EL REVERSO + ANTIGRAFITI</t>
  </si>
  <si>
    <t>SEÑAL SP07 "ZONA DE CURVAS SUCESIVAS LA PRIMERA A LA IZQUIERDA" TABLERO 60X60 EN LAMINA GALVANIZADA CAL.16 CON REFLECTIVO DIAMANTE AL CUBO TIPO XI E IMPRESION EN TINTAS TRASLUCIDAS 3M CON PINTURA ELECTROSTATICA EN EL REVERSO + ANTIGRAFITI</t>
  </si>
  <si>
    <t>SEÑAL SP08 "ZONA DE CURVAS SUCESIVAS LA PRIMERA A LA DERECHA" TABLERO 60X60 EN LAMINA GALVANIZADA CAL.16 CON REFLECTIVO DIAMANTE AL CUBO TIPO XI E IMPRESION EN TINTAS TRASLUCIDAS 3M CON PINTURA ELECTROSTATICA EN EL REVERSO + ANTIGRAFITI</t>
  </si>
  <si>
    <t>SEÑAL SP09 "CURVA Y CONTRACURVA PRONUNDCIADA PRIMERA A LA IZQUIERDA" TABLERO 60X60 EN LAMINA GALVANIZADA CAL.16 CON REFLECTIVO DIAMANTE AL CUBO TIPO XI E IMPRESION EN TINTAS TRASLUCIDAS 3M CON PINTURA ELECTROSTATICA EN EL REVERSO + ANTIGRAFITI</t>
  </si>
  <si>
    <t>11/03/2024</t>
  </si>
  <si>
    <t>SEÑAL SP10 "CURVA Y CONTRACURVA PRONUNDCIADA PRIMERA A LA DERECHA" TABLERO 60X60 EN LAMINA GALVANIZADA CAL.16 CON REFLECTIVO DIAMANTE AL CUBO TIPO XI E IMPRESION EN TINTAS TRASLUCIDAS 3M CON PINTURA ELECTROSTATICA EN EL REVERSO + ANTIGRAFITI</t>
  </si>
  <si>
    <t>SEÑAL SP12 "VIA LATERAL IZQUIERDA" TABLERO 60X60 EN LAMINA GALVANIZADA CAL.16 CON REFLECTIVO DIAMANTE AL CUBO TIPO XI E IMPRESION EN TINTAS TRASLUCIDAS 3M CON PINTURA ELECTROSTATICA EN EL REVERSO + ANTIGRAFITI</t>
  </si>
  <si>
    <t>SEÑAL SP13 "VIA LATERAL DERECHA" TABLERO 60X60 EN LAMINA GALVANIZADA CAL.16 CON REFLECTIVO DIAMANTE AL CUBO TIPO XI E IMPRESION EN TINTAS TRASLUCIDAS 3M CON PINTURA ELECTROSTATICA EN EL REVERSO + ANTIGRAFITI</t>
  </si>
  <si>
    <t>SEÑAL SP14 "INTERSECCION EN T" TABLERO 60X60 EN LAMINA GALVANIZADA CAL.16 CON REFLECTIVO DIAMANTE AL CUBO TIPO XI E IMPRESION EN TINTAS TRASLUCIDAS 3M CON PINTURA ELECTROSTATICA EN EL REVERSO + ANTIGRAFITI</t>
  </si>
  <si>
    <t>SEÑAL SP16 "BIFURCACION A LA IZQUIERDA" TABLERO 60X60 EN LAMINA GALVANIZADA CAL.16 CON REFLECTIVO DIAMANTE AL CUBO TIPO XI E IMPRESION EN TINTAS TRASLUCIDAS 3M CON PINTURA ELECTROSTATICA EN EL REVERSO + ANTIGRAFITI</t>
  </si>
  <si>
    <t>SEÑAL SP17 "BIFURCACION A LA DERECHA" TABLERO 60X60 EN LAMINA GALVANIZADA CAL.16 CON REFLECTIVO DIAMANTE AL CUBO TIPO XI E IMPRESION EN TINTAS TRASLUCIDAS 3M CON PINTURA ELECTROSTATICA EN EL REVERSO + ANTIGRAFITI</t>
  </si>
  <si>
    <t>SEÑAL SP18 "INTERSECCION ESCALONADA PRIMERA A LA IZQUIERDA" TABLERO 60X60 EN LAMINA GALVANIZADA CAL.16 CON REFLECTIVO DIAMANTE AL CUBO TIPO XI E IMPRESION EN TINTAS TRASLUCIDAS 3M CON PINTURA ELECTROSTATICA EN EL REVERSO + ANTIGRAFITI</t>
  </si>
  <si>
    <t>SEÑAL SP20 "GLORIETA" TABLERO 60X60 EN LAMINA GALVANIZADA CAL.16 CON REFLECTIVO DIAMANTE AL CUBO TIPO XI E IMPRESION EN TINTAS TRASLUCIDAS 3M CON PINTURA ELECTROSTATICA EN EL REVERSO + ANTIGRAFITI</t>
  </si>
  <si>
    <t>SEÑAL SP21 "INCORPORACION DE TRANSITO DESDE LA IZQUIERDA" TABLERO 60X60 EN LAMINA GALVANIZADA CAL.16 CON REFLECTIVO DIAMANTE AL CUBO TIPO XI E IMPRESION EN TINTAS TRASLUCIDAS 3M CON PINTURA ELECTROSTATICA EN EL REVERSO + ANTIGRAFITI</t>
  </si>
  <si>
    <t>SEÑAL SP22 "INCORPORACION DE TRANSITO DESDE LA DERECHA" TABLERO 60X60 EN LAMINA GALVANIZADA CAL.16 CON REFLECTIVO DIAMANTE AL CUBO TIPO XI E IMPRESION EN TINTAS TRASLUCIDAS 3M CON PINTURA ELECTROSTATICA EN EL REVERSO + ANTIGRAFITI</t>
  </si>
  <si>
    <t>SEÑAL SP24 "SUPERFICIE RIZADA" TABLERO 60X60 EN LAMINA GALVANIZADA CAL.16 CON REFLECTIVO DIAMANTE AL CUBO TIPO XI E IMPRESION EN TINTAS TRASLUCIDAS 3M CON PINTURA ELECTROSTATICA EN EL REVERSO + ANTIGRAFITI</t>
  </si>
  <si>
    <t>SEÑAL SP25 "PROXIMIDAD A RESALTO" TABLERO 60X60 EN LAMINA GALVANIZADA CAL.16 CON REFLECTIVO DIAMANTE AL CUBO TIPO XI E IMPRESION EN TINTAS TRASLUCIDAS 3M CON PINTURA ELECTROSTATICA EN EL REVERSO + ANTIGRAFITI</t>
  </si>
  <si>
    <t>SEÑAL SP25A "UBICACION DE RESALTO" TABLERO 60X60 EN LAMINA GALVANIZADA CAL.16 CON REFLECTIVO DIAMANTE AL CUBO TIPO XI E IMPRESION EN TINTAS TRASLUCIDAS 3M CON PINTURA ELECTROSTATICA EN EL REVERSO + ANTIGRAFITI</t>
  </si>
  <si>
    <t>SEÑAL SP26 "DEPRESION" TABLERO 60X60 EN LAMINA GALVANIZADA CAL.16 CON REFLECTIVO DIAMANTE AL CUBO TIPO XI E IMPRESION EN TINTAS TRASLUCIDAS 3M CON PINTURA ELECTROSTATICA EN EL REVERSO + ANTIGRAFITI</t>
  </si>
  <si>
    <t>SEÑAL SP27 "PENDIENTE FUERTE DE DESCENSO" TABLERO 60X60 EN LAMINA GALVANIZADA CAL.16 CON REFLECTIVO DIAMANTE AL CUBO TIPO XI E IMPRESION EN TINTAS TRASLUCIDAS 3M CON PINTURA ELECTROSTATICA EN EL REVERSO + ANTIGRAFITI</t>
  </si>
  <si>
    <t>SEÑAL SP27A "PENDIENTE FUERTE DE ASCENSO" TABLERO 60X60 EN LAMINA GALVANIZADA CAL.16 CON REFLECTIVO DIAMANTE AL CUBO TIPO XI E IMPRESION EN TINTAS TRASLUCIDAS 3M CON PINTURA ELECTROSTATICA EN EL REVERSO + ANTIGRAFITI</t>
  </si>
  <si>
    <t>SEÑAL SP31 "REDUCCION DE LA CALZADA A LA DERECHA" TABLERO 60X60 EN LAMINA GALVANIZADA CAL.16 CON REFLECTIVO DIAMANTE AL CUBO TIPO XI E IMPRESION EN TINTAS TRASLUCIDAS 3M CON PINTURA ELECTROSTATICA EN EL REVERSO + ANTIGRAFITI</t>
  </si>
  <si>
    <t>SEÑAL SP36 "PUENTE ANGOSTO" TABLERO 60X60 EN LAMINA GALVANIZADA CAL.16 CON REFLECTIVO DIAMANTE AL CUBO TIPO XI E IMPRESION EN TINTAS TRASLUCIDAS 3M CON PINTURA ELECTROSTATICA EN EL REVERSO + ANTIGRAFITI</t>
  </si>
  <si>
    <t>SEÑAL SP37 "TÚNEL" TABLERO 60X60 EN LAMINA GALVANIZADA CAL.16 CON REFLECTIVO DIAMANTE AL CUBO TIPO XI E IMPRESION EN TINTAS TRASLUCIDAS 3M CON PINTURA ELECTROSTATICA EN EL REVERSO + ANTIGRAFITI</t>
  </si>
  <si>
    <t>SEÑAL SP42 "ZONA DE DERRUMBES" TABLERO 60X60 EN LAMINA GALVANIZADA CAL.16 CON REFLECTIVO DIAMANTE AL CUBO TIPO XI E IMPRESION EN TINTAS TRASLUCIDAS 3M CON PINTURA ELECTROSTATICA EN EL REVERSO + ANTIGRAFITI</t>
  </si>
  <si>
    <t>SEÑAL SP44 "SUPERFICIE DESLIZANTE" TABLERO 60X60 EN LAMINA GALVANIZADA CAL.16 CON REFLECTIVO DIAMANTE AL CUBO TIPO XI E IMPRESION EN TINTAS TRASLUCIDAS 3M CON PINTURA ELECTROSTATICA EN EL REVERSO + ANTIGRAFITI</t>
  </si>
  <si>
    <t>SEÑAL SP46 "ZONA DE PEATONES" TABLERO 60X60 EN LAMINA GALVANIZADA CAL.16 CON REFLECTIVO DIAMANTE AL CUBO TIPO XI E IMPRESION EN TINTAS TRASLUCIDAS 3M CON PINTURA ELECTROSTATICA EN EL REVERSO + ANTIGRAFITI - COLOR VERDE FLUORESCENTE</t>
  </si>
  <si>
    <t>SEÑAL SP46A "PROXIMIDAD DE CRUCE PEATONAL" TABLERO 60X60 EN LAMINA GALVANIZADA CAL.16 CON REFLECTIVO DIAMANTE AL CUBO TIPO XI E IMPRESION EN TINTAS TRASLUCIDAS 3M CON PINTURA ELECTROSTATICA EN EL REVERSO + ANTIGRAFITI  - COLOR VERDE FLUORESCENTE</t>
  </si>
  <si>
    <t>SEÑAL SP46B "UBICACION DE CRUCE PEATONAL" TABLERO 60X60 EN LAM. GALV. CAL.16 CON REFLECTIVO DIAMANTE AL CUBO TIPO XI E IMPRESION EN TINTAS TRASLUCIDAS 3M CON PINTURA ELECTROSTATICA EN EL REVERSO + ANTIGRAFITI (INCL. FLECHA 37X37 )  - COLOR VERDE FLUORESC</t>
  </si>
  <si>
    <t>15/03/2024</t>
  </si>
  <si>
    <t>SEÑAL SP47 0 ZONA ESCOLAR</t>
  </si>
  <si>
    <t>SEÑAL SP47A 0PROXIMIDAD DE CRUCE ESCOLAR</t>
  </si>
  <si>
    <t>SEÑAL SP49  ANIMALES EN LA VIA</t>
  </si>
  <si>
    <t>SEÑAL SP50  ALTURA LIBRE</t>
  </si>
  <si>
    <t>SEÑAL SP53 "BARRERA" TABLERO 60X60 EN LAMINA GALVANIZADA CAL.16 CON REFLECTIVO DIAMANTE AL CUBO TIPO XI E IMPRESION EN TINTAS TRASLUCIDAS 3M CON PINTURA ELECTROSTATICA EN EL REVERSO + ANTIGRAFITI</t>
  </si>
  <si>
    <t>SEÑAL SP57 "FINAL DEL PAVIMENTO" TABLERO 60X60 EN LAMINA GALVANIZADA CAL.16 CON REFLECTIVO DIAMANTE AL CUBO TIPO XI E IMPRESION EN TINTAS TRASLUCIDAS 3M CON PINTURA ELECTROSTATICA EN EL REVERSO + ANTIGRAFITI</t>
  </si>
  <si>
    <t>SEÑAL SP67 "RIESGO DE ACCIDENTE" TABLERO 60X60 EN LAMINA GALVANIZADA CAL.16 CON REFLECTIVO DIAMANTE AL CUBO TIPO XI E IMPRESION EN TINTAS TRASLUCIDAS 3M CON PINTURA ELECTROSTATICA EN EL REVERSO + ANTIGRAFITI</t>
  </si>
  <si>
    <t>SEÑAL SP69 "CURVA MUY CERRADA A LA IZQUIERDA" TABLERO 60X60 EN LAMINA GALVANIZADA CAL.16 CON REFLECTIVO DIAMANTE AL CUBO TIPO XI E IMPRESION EN TINTAS TRASLUCIDAS 3M CON PINTURA ELECTROSTATICA EN EL REVERSO + ANTIGRAFITI</t>
  </si>
  <si>
    <t>SEÑAL SP70 "CURVA MUY CERRADA A LA DERECHA" TABLERO 60X60 EN LAMINA GALVANIZADA CAL.16 CON REFLECTIVO DIAMANTE AL CUBO TIPO XI E IMPRESION EN TINTAS TRASLUCIDAS 3M CON PINTURA ELECTROSTATICA EN EL REVERSO + ANTIGRAFITI</t>
  </si>
  <si>
    <t>SEÑAL SP74 DESLINIVEL SEVERO</t>
  </si>
  <si>
    <t xml:space="preserve">SEÑAL SPO01 "TRABAJOS EN LA VIA" 60X60CM EN LAMINA GALVANIZADA CAL. 20 CON REFLECTIVO TIPO IV 3M NARANJA + ANTIGRAFITTY </t>
  </si>
  <si>
    <t>15/02/2024</t>
  </si>
  <si>
    <t>SEÑAL SPO02 "MAQUINARIA EN LA VIA" 60X60CM EN LAMINA GALVANIZADA CAL. 20 CON REFLECTIVO TIPO IV 3M NARANJA + ANTIGRAFITTY</t>
  </si>
  <si>
    <t>SEÑAL SPO03 "AUXILIAR DE TRANSITO" 60X60CM EN LAMINA GALVANIZADA CAL. 20 CON REFLECTIVO TIPO IV 3M NARANJA + ANTIGRAFITTY</t>
  </si>
  <si>
    <t xml:space="preserve">SEÑAL SPO05 "ANGOSTAMIENTO A LA DERECHA" 60X60CM EN LAMINA GALVANIZADA CAL. 20 CON REFLECTIVO TIPO IV 3M NARANJA + ANTIGRAFITTY </t>
  </si>
  <si>
    <t>31/01/2024</t>
  </si>
  <si>
    <t>SEÑAL SPO06 "ANGOSTAMIENTO A LA IZQUIERDA" 60X60CM EN LAMINA GALVANIZADA CAL. 20 CON REFLECTIVO TIPO IV 3M NARANJA + ANTIGRAFITTY</t>
  </si>
  <si>
    <t>SEÑAL SR01 "PARE" TABLERO 60X60 EN LAMINA GALVANIZADA CAL.16 CON REFLECTIVO DIAMANTE AL CUBO TIPO XI E IMPRESION EN TINTAS TRASLUCIDAS 3M CON PINTURA ELECTROSTATICA EN EL REVERSO + ANTIGRAFITI</t>
  </si>
  <si>
    <t>SEÑAL SR02 "CEDA EL PASO" TABLERO 60X60 EN LAMINA GALVANIZADA CAL.16 CON REFLECTIVO DIAMANTE AL CUBO TIPO XI E IMPRESION EN TINTAS TRASLUCIDAS 3M CON PINTURA ELECTROSTATICA EN EL REVERSO + ANTIGRAFITI</t>
  </si>
  <si>
    <t xml:space="preserve">SEÑAL SR20 "CIRCULACION PROHIBIDA DE PEATONES" TABLERO 60X60 EN LAMINA GALVANIZADA CAL.16 CON REFLECTIVO DIAMANTE AL CUBO TIPO XI E IMPRESION EN TINTAS TRASLUCIDAS 3M CON PINTURA ELECTROSTATICA EN EL REVERSO + ANTIGRAFITI </t>
  </si>
  <si>
    <t>SEÑAL SR26 "PROHIBIDO ADELANTAR" TABLERO 60X60 EN LAMINA GALVANIZADA CAL.16 CON REFLECTIVO DIAMANTE AL CUBO TIPO XI E IMPRESION EN TINTAS TRASLUCIDAS 3M CON PINTURA ELECTROSTATICA EN EL REVERSO + ANTIGRAFITI</t>
  </si>
  <si>
    <t>SEÑAL SR30/30 VELOCIDAD MAXIMA PERMITIDA</t>
  </si>
  <si>
    <t>SEÑAL SR30/50 VELOCIDAD MAXIMA PERMITIDA</t>
  </si>
  <si>
    <t>SEÑAL SR30/60 VELOCIDAD MAXIMA PERMITIDA</t>
  </si>
  <si>
    <t>SEÑAL SR31 PESO MAXIMES TOTAL PERMITIDO</t>
  </si>
  <si>
    <t>SEÑAL SR32  ALTURA MAXIMA PERMITIDA</t>
  </si>
  <si>
    <t>SEÑAL SR35 "CIRCULACION CON LUCES BAJAS" TABLERO 60X60 EN LAMINA GALVANIZADA CAL.16 CON REFLECTIVO DIAMANTE AL CUBO TIPO XI E IMPRESION EN TINTAS TRASLUCIDAS 3M CON PINTURA ELECTROSTATICA EN EL REVERSO + ANTIGRAFITI</t>
  </si>
  <si>
    <t>23/08/2024</t>
  </si>
  <si>
    <t>SEÑAL TIPO COLPASS</t>
  </si>
  <si>
    <t>SERVICIO DE TRANSPORTE DE SEÑALES A CCO</t>
  </si>
  <si>
    <t>PARALES PARA DEFENSA METÁLICA LONG 1,8 M</t>
  </si>
  <si>
    <t>POSTE EN "C" PARAL PARA DEFENSA METÁLICA LONG. 2200 MM</t>
  </si>
  <si>
    <t>21/02/2024</t>
  </si>
  <si>
    <t>SEPARADOR EN "C" PARA DEFENSA METÁLICA LONG. 360 MM</t>
  </si>
  <si>
    <t xml:space="preserve">TERMINAL TRAMO FINAL PARA DEFENSA METÁLICA DV 0.71 M </t>
  </si>
  <si>
    <t xml:space="preserve">TRAMO RECTO VIGA DOBLE ONDA DEFENSA METALICA DV 4.13 MTS </t>
  </si>
  <si>
    <t>SUMINISTRO CARRO TANQUE CON OPERADOR</t>
  </si>
  <si>
    <t>DIA - DIA</t>
  </si>
  <si>
    <t>ESTOPEROL EN ALUMINIO CON ESPIGO</t>
  </si>
  <si>
    <t>ESTOPEROL METÁLICO DE 10*20 CON ESPIGO</t>
  </si>
  <si>
    <t>ESTOPEROL PLASTICO CON ESPIGO</t>
  </si>
  <si>
    <t>EPOXICO PINTUFLEX DE 1,6 KILOS</t>
  </si>
  <si>
    <t>TAPAS EN HF PARA ALCANTARILLADO DE TRAFICO PESADO V-C 0,65,5 FUNDIDA</t>
  </si>
  <si>
    <t>07/03/2024</t>
  </si>
  <si>
    <t>TAPAS EN HF PARA ALCANTARILLADO DIAMETRO 67 CM FUNDIDA</t>
  </si>
  <si>
    <t xml:space="preserve">REJILLA PLASTICA EN POLIPROPILENO COLOR VERDE MILITAR CON MEDIDAS DE 0,30M X 0,40M X 0,10M PARA TRAFICO VEHICULAR PESADO </t>
  </si>
  <si>
    <t>REJILLA PLASTICA EN POLIPROPILENO COLOR VERDE MILITAR CON MEDIDAS DE 0,30M X 0,50M X 0,10M PARA TRAFICO VEHICULAR PESADO</t>
  </si>
  <si>
    <t>REJILLA PLASTICA EN POLIPROPILENO COLOR VERDE MILITAR CON MEDIDAS DE 0,40M X 0,50M X 0,10M PARA TRAFICO VEHICULAR PESADO</t>
  </si>
  <si>
    <t>SERVICIO DE TRANSPORTE REJILLAS PLASTICAS</t>
  </si>
  <si>
    <t>REJILLA PARA CARCAMO</t>
  </si>
  <si>
    <t>068 - CUNETAS Y MUROS</t>
  </si>
  <si>
    <t>14/01/2025</t>
  </si>
  <si>
    <t>SERVICIO DE TRANSPORTE REJILLAS CARCAMES FLETE CON VENTAS</t>
  </si>
  <si>
    <t>POSTES DE CONCRETO DE 2,5 METROS TIPO INVIAS</t>
  </si>
  <si>
    <t>POSTES DE CONCRETO DE 3,0 METROS TIPO INVIAS</t>
  </si>
  <si>
    <t>SERVICIO ARREGLO DE PARADEROS</t>
  </si>
  <si>
    <t>SERVICIO ALQUILER DE CARRO TANQUE CON 10,000 GL DE AGUA INCLUIDO OPERADOR</t>
  </si>
  <si>
    <t>002 - ALQUILER DE MAQUINARIA CTA</t>
  </si>
  <si>
    <t>VARILLA ZINCADA ROSCADA DE 5/16" X 1M</t>
  </si>
  <si>
    <t>14/03/2024</t>
  </si>
  <si>
    <t>BROCA BOSCH SDS PLUS DE 5/16" X 4" X 6" PARA CONCRETO</t>
  </si>
  <si>
    <t>EPOXICO HILTI HIT-RE 500 V3 PARA ANCLAJE</t>
  </si>
  <si>
    <t>CAPTAFARO METALICO BIDIRECCIÓNAL ROJO-AMARILLO LIMON SENCILLO</t>
  </si>
  <si>
    <t>29/01/2024</t>
  </si>
  <si>
    <t>CAPTAFARO METALICO BIDIRECCIONAL ROJO - AMARILLO LIMON CON PEDESTAL EN PVC DE 1/2" x 86CM CON BASE PLATINA METALICA REFLECTIVO TIPO XI</t>
  </si>
  <si>
    <t>EPOXICO DYMONIC 100 GRIS SALCHICHA X 300 ML TOXEMENT</t>
  </si>
  <si>
    <t xml:space="preserve">DISCO DIAMANTADO SEGMENTADO HUSQVARNA DE 20" PARA CONCRETO </t>
  </si>
  <si>
    <t>11/01/2024</t>
  </si>
  <si>
    <t xml:space="preserve">DISCO DIAMANTADO SEGMENTADO HUSQVARNA DE 18" PARA CONCRETO </t>
  </si>
  <si>
    <t>VERSASPEED SSL MORTERO DE FRAGUADO RAPIDO X 20 KG TOXEMENT</t>
  </si>
  <si>
    <t>SERVICIO CONCRETO LANZADO VIA SECA (CON MATERIALES)</t>
  </si>
  <si>
    <t>KG - KILOGRAMO</t>
  </si>
  <si>
    <t>SERVICIO INSTALACIÓN DE PERNOS</t>
  </si>
  <si>
    <t>SERVICIO INSTALACIÓN DE MALLA ELECTROSOLDADA</t>
  </si>
  <si>
    <t>ML - METRO LINEAL</t>
  </si>
  <si>
    <t>SERVICIO REGULIZACION SUPERFICIAL</t>
  </si>
  <si>
    <t>SERVICIO TEXTURIZACIÓN SUPERFICIAL</t>
  </si>
  <si>
    <t>SUMINISTRO DE CONCRETO MR 45 ACELERADO</t>
  </si>
  <si>
    <t>SERVICIO ALQUILER MARTILLO DEMESLEDOR PARA CONCRETO 20KG 55J 1600W</t>
  </si>
  <si>
    <t>SERVICIO ALQUILER PLANTA ELECTRICA</t>
  </si>
  <si>
    <t>CINCEL HEXAGONAL PUNTA PALA PARA MARTILLO DEMOLEDOR DE 55J</t>
  </si>
  <si>
    <t>CINCEL HEXAGONAL PUNTA AGUDA 1 1/8" PARA MARTILLO DEMOLEDOR DE 55J, 20" TRUPER REF. 101230 HEX-P</t>
  </si>
  <si>
    <t>SERVICIO MEDICIÓN IRI</t>
  </si>
  <si>
    <t>VIATICOS MEDICION DE IRI</t>
  </si>
  <si>
    <t>ELABORACIÓN DE INFORME</t>
  </si>
  <si>
    <t>S DE CONSULTORÍA EXTERNA, ASESORÍA Y ESTUDIOS DE SEGURIDAD VIAL DEL CORREDOR VIAL CONCESIONADO</t>
  </si>
  <si>
    <t>PIEDRA RAJON 0CUNETAS</t>
  </si>
  <si>
    <t>CUBO PARA GAVION EN MALLAS TRIPLE TORCIÓN, CALIBRE #11, DIMENSIONES 2X1X1M, HUECOS DE 8X10 NORMA INVIAS</t>
  </si>
  <si>
    <t>ALAMBRE GALVANIZADO CALIBRE 12.5</t>
  </si>
  <si>
    <t>GEOTEXTIL NO TEJIDO 1600</t>
  </si>
  <si>
    <t>CAPTAFARO METÁLICO BIDIRECCIONAL BLANCO-ROJO</t>
  </si>
  <si>
    <t>ESPARRAGO ROSCADO ZINCADO DE 5/8" X 200MM</t>
  </si>
  <si>
    <t>ARANDELA PLANA ZINCADA DE 5/8"</t>
  </si>
  <si>
    <t>TUERCA HEXAGONAL G2 ZINCADA 5/8"</t>
  </si>
  <si>
    <t>WASA DE PRESION ZINCADA 5/8"</t>
  </si>
  <si>
    <t>CEMENTO GRIS DE USO ESTRUCTURAL BULTO X 42.5 KG</t>
  </si>
  <si>
    <t>ACERO CORRUGADO #3 60.000 PSI</t>
  </si>
  <si>
    <t>BROCA DE TUNGSTENO 3/8"</t>
  </si>
  <si>
    <t>SERVICIO DE REPARACIÓN DE BARANDAS</t>
  </si>
  <si>
    <t>GEOMEMBRANA HDPE 30 MILS</t>
  </si>
  <si>
    <t>SERVICIO DE TRANSPORTE GEOMEMBRANA A CCO</t>
  </si>
  <si>
    <t>SERVICIO ALQUILER DE EQUIPOS TEPOGRAFICOS</t>
  </si>
  <si>
    <t>PINTURA EN AEROSOL USO GENERAL COLOR NEGRO 400 ML</t>
  </si>
  <si>
    <t>PINTURA EN AEROSOL USO GENERAL COLOR AZUL 400 ML</t>
  </si>
  <si>
    <t>PUNTILLA RANURADA VERTICAL EN ACERO DE 2 1/2" CAJA X 400GR</t>
  </si>
  <si>
    <t>01/03/2024</t>
  </si>
  <si>
    <t>PUNTILLA RANURADA VERTICAL EN ACERO DE 2" CAJA X 400GR</t>
  </si>
  <si>
    <t>CARTUCHO CALIBRE 22 PARA PISTOLA HILTI CAJA X 100 UND</t>
  </si>
  <si>
    <t>CLAVO DE 1" PARA PISTOLA DE FIJACIÓN HILTI CAJA X 100 UND</t>
  </si>
  <si>
    <t>PISTOLA DE FIJACIÓN TIRO A TIRO HILTI</t>
  </si>
  <si>
    <t>FLEXOMETRO 5 METROS</t>
  </si>
  <si>
    <t>DECAMETRO CINTA METRICA 10MTS EN FIBRA DE VIDRIO</t>
  </si>
  <si>
    <t>CINTA REFLECTIVA CONSPICUITY DE 5CM X 45,7 MTS COLOR BLANCO MARCA 3M</t>
  </si>
  <si>
    <t>LINTERNA MINERA KL5M RECARGABLE</t>
  </si>
  <si>
    <t>CASCO DE SEGURIDAD AMARILLO CON SOPORTE PARA LINTERNA MINERA</t>
  </si>
  <si>
    <t>24/01/2024</t>
  </si>
  <si>
    <t>ALICATE ELECTRICISTA DE 8" STANLEY REF. 84-023</t>
  </si>
  <si>
    <t>BROCHA 2"</t>
  </si>
  <si>
    <t xml:space="preserve">PALUSTRE LUFKIN DE 7" CON MANGO MADERA </t>
  </si>
  <si>
    <t>PALUSTRE DE 8" CON MANGO PLASTICO</t>
  </si>
  <si>
    <t>ESPATULA METALICA DE 2" X 4" MANGO PLASTICO</t>
  </si>
  <si>
    <t xml:space="preserve">ESPATULA METALICA DE 3" X 4" MANGO PLASTICO </t>
  </si>
  <si>
    <t xml:space="preserve">ESPATULA METALICA DE 4" X 4" MANGO PLASTICO </t>
  </si>
  <si>
    <t>CEMENTO GRIS DE USO GENERAL BULTO X 50 KG</t>
  </si>
  <si>
    <t>LONAS EN POLIPROPILENO DE 40KG</t>
  </si>
  <si>
    <t>LONAS EN POLIPROPILENO DE 5OKG</t>
  </si>
  <si>
    <t>LONA EN POLIPROPILENO TIPO TRINCHERA DE 46CMS X 70 CMS CON FILTRO UV</t>
  </si>
  <si>
    <t>PICAS CON CABO</t>
  </si>
  <si>
    <t>BARRA PUNTA Y PALA EN ACERO DE 14 LIBRAS</t>
  </si>
  <si>
    <t>BARRA PUNTA Y PALA EN ACERO DE 16 LIBRAS</t>
  </si>
  <si>
    <t>BARRA PUNTA Y PALA EN ACERO DE 18 LIBRAS</t>
  </si>
  <si>
    <t>BASTON LUMINOSO DE TRAFICO (ROJO0VERDE) TIPO DE LUZ LED ALTO BRILLO</t>
  </si>
  <si>
    <t>PALETA PARE/SIGA 30 CMS DECORADA CON REFLECTIVO GRADO ALTA INTENSIDAD</t>
  </si>
  <si>
    <t>PALETA PARE/SIGA 45 CMS DECORADA CON REFLECTIVO GRADO ALTA INTENSIDAD</t>
  </si>
  <si>
    <t xml:space="preserve">EPOXICO PARA ANCLAJES SIKA ANCHORFIX 4, CARTUCHOS GEMELOS X 600 CC </t>
  </si>
  <si>
    <t>DISCO DIAMANTADO SEGMENTADO DE 9" PARA CONCRETO REF. DW47902HP</t>
  </si>
  <si>
    <t>DISCO CORTE METAL 7" x 1/8" x 7/8" REF. DW54840</t>
  </si>
  <si>
    <t>MACETA DE 4 LB CON CABO</t>
  </si>
  <si>
    <t>LIMA TRIANGULAR DE AFILADO DE 6" BELLOTA</t>
  </si>
  <si>
    <t>MACHETE COLIMA 18" SIN FUNDA</t>
  </si>
  <si>
    <t xml:space="preserve">PALUSTRE LUFKIN DE 6" CON MANGO MADERA </t>
  </si>
  <si>
    <t xml:space="preserve">PALUSTRE LUFKIN DE 9" CON MANGO PLASTICO </t>
  </si>
  <si>
    <t>ALAMBRE NEGRO RECOCIDO</t>
  </si>
  <si>
    <t>BALDE CONSTRUCCIÓN NEGRO</t>
  </si>
  <si>
    <t>BICHIROQUE PARA AMARRE DE ACERO</t>
  </si>
  <si>
    <t>GALON PLASTICO DE 5 GALONES</t>
  </si>
  <si>
    <t>CARRETILLA TIPO BUGGY PLASTICA RUEDA ANTIPINCHAZO, MARCA COLOSO</t>
  </si>
  <si>
    <t>CARRETILLA METALICA, TRABAJO PESADO, RUEDA ANTIPINCHAZO, MARCA HERRAGRO</t>
  </si>
  <si>
    <t>DECAMETRO CINTA METRICA 20MTS EN FIBRA DE VIDRIO</t>
  </si>
  <si>
    <t>DECAMETRO CINTA METRICA 30MTS EN FIBRA DE VIDRIO</t>
  </si>
  <si>
    <t>DECAMETRO CINTA METRICA 50MTS EN FIBRA DE VIDRIO</t>
  </si>
  <si>
    <t>LLANA ESQUINERA O BORDEADORA DE 6" CON MANGO PLASTICO PARA ACABADOS EN BORDILLOS Y SARDINELES</t>
  </si>
  <si>
    <t>LLANA DE MADERA 10"</t>
  </si>
  <si>
    <t>LLANA METALICA LISA DE 4, 1/2"</t>
  </si>
  <si>
    <t>NIVEL DE MANO IMANTADO DE 12"</t>
  </si>
  <si>
    <t>PALA CUADRADA CON CABO</t>
  </si>
  <si>
    <t xml:space="preserve">PLASTICO NEGRO CALIBRE 8 </t>
  </si>
  <si>
    <t>PLASTICO NEGRO CALIBRE 8 ROLLO DE 4MTS DE ANCHO X 100MTS LONG</t>
  </si>
  <si>
    <t>04/10/2024</t>
  </si>
  <si>
    <t>RODILLO DE FELPA DE 2"</t>
  </si>
  <si>
    <t>RODILLO DE FELPA DE 3"</t>
  </si>
  <si>
    <t>RODILLO DE FELPA DE 4"</t>
  </si>
  <si>
    <t>FIBRA COSECHERA 1200 COLOR VERDE</t>
  </si>
  <si>
    <t>VINIPEL INDUSTRIAL 50 CMS X 500 METROS</t>
  </si>
  <si>
    <t>VINIPEL INDUSTRIAL 50 CMS X 300 METROS</t>
  </si>
  <si>
    <t>CARRETE DE NYLON 90 LBS</t>
  </si>
  <si>
    <t>CEPILLO INDUSTRIAL CERDAS EN BRONCE CON CABO DE MADERA DE 6X3.5X60CM</t>
  </si>
  <si>
    <t>FLEXOMETRO 7.5 METROS</t>
  </si>
  <si>
    <t>PICA DE 5 LBS CON CABO</t>
  </si>
  <si>
    <t>AZADON METALICO CON CABO #2 FORTE</t>
  </si>
  <si>
    <t>CINCEL DE 12" CON CUÑA DE 1" Y PROTECTOR</t>
  </si>
  <si>
    <t>BOQUILLERA CODAL EN ALUMINIO DE 1 1/4" X 3" X 6 METROS</t>
  </si>
  <si>
    <t>MANTO PERMANENTE TRM 550 ROLLO DE 2X25M</t>
  </si>
  <si>
    <t>ADAPTADOR PARA BROCAS DE SDS MAX A SDS PLUS PARA ROTOMARTILLO</t>
  </si>
  <si>
    <t>ALAMBRE DE PUAS CALIBRE 12.5 X 350 METROS</t>
  </si>
  <si>
    <t>ALAMBRE DE PUAS CALIBRE 12.5 X 400 METROS</t>
  </si>
  <si>
    <t>BROCA BOSCH SDS MAX DE 1/2" X 16" X 21" PARA CONCRETO</t>
  </si>
  <si>
    <t>BROCA BOSCH SDS MAX DE 1/2" X 8" X 13" PARA CONCRETO</t>
  </si>
  <si>
    <t>BROCA BOSCH SDS MAX DE 5/8" X 8" X 13" PARA CONCRETO</t>
  </si>
  <si>
    <t>BROCA BOSCH SDS PLUS DE 5/16" X 10" X 12" PARA CONCRETO</t>
  </si>
  <si>
    <t>BROCHA 3"</t>
  </si>
  <si>
    <t>BROCHA 4"</t>
  </si>
  <si>
    <t>LIJA DE AGUA GRANO 60 PLIEGO DE 28X23CM</t>
  </si>
  <si>
    <t xml:space="preserve">ALMADANA, PORRO DE 16 LBS CON CABO </t>
  </si>
  <si>
    <t>APLICADOR MANUAL DE ADHESIVO HDM 500 HILTI CON PORTA CARTUCHOS</t>
  </si>
  <si>
    <t>LIMA TRIANGULAR DE AFILADO DE 8"</t>
  </si>
  <si>
    <t xml:space="preserve">APLICADOR MANUAL DE ADHESIVO PARA EPOXICO TOXEMENT </t>
  </si>
  <si>
    <t>CINTA PARA ENMASCARAR DE 1" (24MM) ROLLO X 40 MTS</t>
  </si>
  <si>
    <t>CINTA PARA ENMASCARAR DE 2" (48MM) ROLLO X 40 MTS</t>
  </si>
  <si>
    <t>CORDON DE RESPALDO SIKA ROOD DE 3/8" CAJA X 1097 MTS</t>
  </si>
  <si>
    <t>POLISOMBRA NEGRA 80% DE 4,2 MTS DE ANCHO X 100  MTS</t>
  </si>
  <si>
    <t>PINTURA EN ESMALTE COLOR AZUL REAL X 1GL</t>
  </si>
  <si>
    <t>CINCEL PUNTA AUTOAFILABLE SDS MAX RTEC SPEED DE 1" X 16" BOSCH</t>
  </si>
  <si>
    <t>CINCEL PUNTA AGUDA SDS MAX RTEC SPEED DE 1" X 16" BOSCH</t>
  </si>
  <si>
    <t>CINCEL PUNTA PALA SDS MAX RTEC SPEED DE 1" X 16" BOSCH</t>
  </si>
  <si>
    <t>DISCO CORTE METAL DE 4 1/2" BOSCH 115 X 1 X 22,23MM</t>
  </si>
  <si>
    <t>HITO DELINEADOR FLEXIBLE AMARILLO DE 75 CM CON TRES FRANJAS REFLECTIVOS EN ALTA INTENSIDAD (INCLUYE ACCESORIOS PARA INSTALACION).</t>
  </si>
  <si>
    <t>24/06/2024</t>
  </si>
  <si>
    <t>CINTA PELIGRO X 500 METROS COLOR AMARILLA 0 NEGRA</t>
  </si>
  <si>
    <t>FLASHER LUMINOSO SOLAR PARA SEÑALIZACION VIAL</t>
  </si>
  <si>
    <t>KIT PARA CONOS DE 90 CM DE TRES FRANJAS REFLECTIVAS 3M</t>
  </si>
  <si>
    <t>BASTONES LUMINOSOS CON CARGADOR</t>
  </si>
  <si>
    <t>CEPILLO TEXTURIZADOR 120CM PARA DILATACION DE LOSAS EN CONCRETO CON MANGO EXTENSION 1.80MTS</t>
  </si>
  <si>
    <t>REGLA FLOTACANAL MAGNESIO 120 CM</t>
  </si>
  <si>
    <t>ROTOMARTILLO DEMESLEDOR GBH05040 DCE 1150W BOSCH</t>
  </si>
  <si>
    <t>ADHESIVO EPOXICO SIKADUR 32 PRIMER X 1KG COMPONETE A Y B</t>
  </si>
  <si>
    <t>ADHESIVO EPOXICO SIKADUR 32 PRIMER X 3KG COMPONETE A Y B</t>
  </si>
  <si>
    <t>RASTRILLO METALICO O ESCOBA PARA PRADO MARCA HERRAGRO DE 22 DIENTES CON CABO</t>
  </si>
  <si>
    <t>MIXTO CON GRAVILLA 1/2</t>
  </si>
  <si>
    <t>ARENA TRITURADA</t>
  </si>
  <si>
    <t>GRAVILLA 3/4</t>
  </si>
  <si>
    <t>GRAVILLA 1/2</t>
  </si>
  <si>
    <t>PIEDRA RAJON</t>
  </si>
  <si>
    <t>BASE TRITURADA TIPO A</t>
  </si>
  <si>
    <t>VARILLA DE ACERO CORRUGADO #5 (5/8") X 6 METROS 60.000 PSI</t>
  </si>
  <si>
    <t>25/01/2024</t>
  </si>
  <si>
    <t>BROCA BOSCH SDS PLUS DE 1/2" X 10" X 12" PARA CONCRETO</t>
  </si>
  <si>
    <t>ALAMBRE GALVANIZADO CALIBRE 10</t>
  </si>
  <si>
    <t>VARILLA DE ANCLAJE GAL DE 5/8 X1800MM</t>
  </si>
  <si>
    <t>CABLE DE ACERO GALVANIZADO 3/8" GUAYA</t>
  </si>
  <si>
    <t>HITO VIAL 75 CM COLOR NARANJA</t>
  </si>
  <si>
    <t>SERVICIO ALQUILER MARTILLO DEMESLEDOR CONCRETO</t>
  </si>
  <si>
    <t>LADRILLO TOLETE RECOCIDO (6*12*22)</t>
  </si>
  <si>
    <t>TUBERIA NOVAFORT DE 4" X 6 MTS</t>
  </si>
  <si>
    <t>ROLLO MANGUERA PF+UAD DOMICILIARIO 1/2" x 90m</t>
  </si>
  <si>
    <t>TUBO GALVANIZADO AGUA 3/4</t>
  </si>
  <si>
    <t>UNDION PF + UAD 3/4"</t>
  </si>
  <si>
    <t>UNDION PF + UAD 1/2"</t>
  </si>
  <si>
    <t>SERVICIO ALQUILER BAÑO PORTATIL CON 2 ASEO</t>
  </si>
  <si>
    <t>22/01/2025</t>
  </si>
  <si>
    <t>SERVICIO ALQUILER BAÑO PORTATIL CON 2 ASEO NO CONTRACTUAL</t>
  </si>
  <si>
    <t>081 - COSTOS NO CONTRACTUALES</t>
  </si>
  <si>
    <t>SERVICIO ALQUILER PLANTA ELECTRICA 40KVA</t>
  </si>
  <si>
    <t>SERVICIO TRANSPORTE  ALQUILER PLANTA ELECTRICA 40KVA</t>
  </si>
  <si>
    <t>COLOMBINAS PLASTICA CONICA ALTA IN CON TRES REFLECTIVOS</t>
  </si>
  <si>
    <t>BARRERA PLASTICA TIPO MALETIN RELLENABLE DE 2X1X0.45M CON FRANJAS REFLECTIVAS</t>
  </si>
  <si>
    <t>CANECA PLASTICA VIAL CON 4 REFLECTIVOS EN ALTA CON LASTREG</t>
  </si>
  <si>
    <t>ACERO CORRUGADO #4  60.000 PSI</t>
  </si>
  <si>
    <t>SERVICIO ALQUILER RETROEXCAVADORA ORUGA</t>
  </si>
  <si>
    <t>SERVICIO ALQUILER DE PAJARITA</t>
  </si>
  <si>
    <t>HR - HORA</t>
  </si>
  <si>
    <t>SERVICIO ALQUILER MINICARGADOR</t>
  </si>
  <si>
    <t>SERVICIO TRANSPORTE DE MAQUINARIA EN CAMA BAJA</t>
  </si>
  <si>
    <t>SERVICIO DE ALQUILER VOLQUETA DOBLE TROQUE</t>
  </si>
  <si>
    <t>SERVICIO TRANSPORTE DE MAQUINARIA EN CAMA BAJA0ACT  NO CONTRACTUALES</t>
  </si>
  <si>
    <t>SERVICIO DE ALQUILER VOLQUETA DOBLE TROQUE0ACT  NO CONTRACTUALES</t>
  </si>
  <si>
    <t>ACERO DE REFUERZO 60,000 PSI0ACTIVIDADES NO CONTRACTUALES</t>
  </si>
  <si>
    <t>BASE GRANULAR TIPO A0ACT  NO CONTRACTUALES</t>
  </si>
  <si>
    <t>CORTE PAVIMENTO ASFALTICO 0ACT  NO CONTRACTUALES</t>
  </si>
  <si>
    <t>SEÑAL VERTICAL DE TRÁNSITO INFORMATIVA0ACT  NO CONTRACTUALES</t>
  </si>
  <si>
    <t>LINEA DE DEMARCACIÓN E=12CM0ACT  NO CONTRACTUALES</t>
  </si>
  <si>
    <t>LÍNEA SEGMENTADA (101) E=20CM0ACT  NO CONTRACTUALES</t>
  </si>
  <si>
    <t>TACHA REFLECTIVA0ACT  NO CONTRACTUALES</t>
  </si>
  <si>
    <t>DEMESLICIÓN DE ESTRUCTURAS EN CONCRETO 0ACT  NO CONTRACTUALES</t>
  </si>
  <si>
    <t>012 - CONSTRUCCION DE OBRA CTA</t>
  </si>
  <si>
    <t>DEMESLICIÓN MECANICA DE PAVIMENTO FLEXIBLE 0,0500,20ACT  NO CONTRACTUALES</t>
  </si>
  <si>
    <t>EXCAVACIONES VARIAS SIN CLASIFICAR0ACT  NO CONTRACTUALES</t>
  </si>
  <si>
    <t>EXCAVACION MAÑO ENTRE 1 A 2M 0ACT  NO CONTRACTUALES</t>
  </si>
  <si>
    <t>GEOMALLA BIAXIAL0ACT  NO CONTRACTUALES</t>
  </si>
  <si>
    <t>GEOMALLA ASFALTICA0ACT  NO CONTRACTUALES</t>
  </si>
  <si>
    <t>IMPRIMACION CON EMULSION ASFALTICA0ACT  NO CONTRACTUALES</t>
  </si>
  <si>
    <t>SARDINEL PREFABRICADO TIPO A100ACT  NO CONTRACTUALES</t>
  </si>
  <si>
    <t>SARDINEL PREFABRICADO TIPO A850ACT  NO CONTRACTUALES</t>
  </si>
  <si>
    <t>SARDINEL PREFABRICADO TIPO A1000ACT  NO CONTRACTUALES</t>
  </si>
  <si>
    <t>CONCRETO 14 MPA PARA SOLADO 0ACT  NO CONTRACTUALES</t>
  </si>
  <si>
    <t>CONCRETO CLASE D 21 MPA ANDENES0 0ACT  NO CONTRACTUALES</t>
  </si>
  <si>
    <t>MALLA ELECTROSOLDADA (M-188) 6M x 2.35M</t>
  </si>
  <si>
    <t>12/03/2024</t>
  </si>
  <si>
    <t>PISO EN LOSETA PREBABRICADA 40 X 400ACT  NO CONTRACTUALES</t>
  </si>
  <si>
    <t>DREN CALIFORNIANO DIAMETRO 3"0ACT  NO CONTRACTUALES</t>
  </si>
  <si>
    <t>PISO EN LOSETA PREBABRICADA 20 X 200ACT  NO CONTRACTUALES</t>
  </si>
  <si>
    <t>BARANDA PEATONAL TIPO M082 0ACT  NO CONTRACTUALES</t>
  </si>
  <si>
    <t>JUNTA PVC0ACT  NO CONTRACTUALES</t>
  </si>
  <si>
    <t>CONCRETO CICLÓPEO 21 MPA0ACT  NO CONTRACTUALES</t>
  </si>
  <si>
    <t>MANTO PERMANENTE TRM 500 ROLLO DE 2X25M</t>
  </si>
  <si>
    <t>MEZCLA DENSA MDC0190ACT  NO CONTRACTUALES</t>
  </si>
  <si>
    <t>PAVIMENTO EN CONCRETO HIDRAULICO MR0420ACT  NO CONTRACTUALES</t>
  </si>
  <si>
    <t>REPLANTEO Y LOCALIZACION 0ACT  NO CONTRACTUALES</t>
  </si>
  <si>
    <t>CONCRETO 21 MPA PARA VIGAS Y MUROS0ACT  NO CONTRACTUALES</t>
  </si>
  <si>
    <t>MATERIAL DE RELLENO SELECCIONADO0ACT  NO CONTRACTUALES</t>
  </si>
  <si>
    <t>BARANDA PEATONAL 0ACT  NO CONTRACTUALES</t>
  </si>
  <si>
    <t>LLORADEROS 2"0ACT  NO CONTRACTUALES</t>
  </si>
  <si>
    <t>LLORADEROS 3"0ACT  NO CONTRACTUALES</t>
  </si>
  <si>
    <t>CONTRATACIÓN DE ESTUDIOS Y DISEÑOS 0ACT  NO CONTRACTUALES</t>
  </si>
  <si>
    <t>GEOMEMBRANA DE 40 MILS0ACT  NO CONTRACTUALES</t>
  </si>
  <si>
    <t>RELLENO EN RAJON0ACT  NO CONTRACTUALES</t>
  </si>
  <si>
    <t>CONCRETO CICLOPEO DE 21 MPA 0ACT  NO CONTRACTUALES</t>
  </si>
  <si>
    <t>EXCAVACIÓN EN ROCA DE LA EXPLANACIÓN Y CANALES0ACT  NO CONTRACTUALES</t>
  </si>
  <si>
    <t>TAPA BANDEJA DEL CANAL LA PROFIA (ACERO ESTRUCTURAL A572 GRADO 50 4000X1830X32)  0ACT  NO CONTRACTUALES</t>
  </si>
  <si>
    <t>TAPA BANDEJA DEL CANAL LA PROFIA (ACERO ESTRUCTURAL A572 GRADO 50 2500X1830X25)  0ACT  NO CONTRACTUALES</t>
  </si>
  <si>
    <t>PLACA DE REDUCCION  DE 2,3 M DE DIAMETRO 0ACT  NO CONTRACTUALES</t>
  </si>
  <si>
    <t>CÁRCAMES RECTANGULAR PREFABRICADO (DIMENSIONES INTERNAS 0,40MX0,45M)0ACT  NO CONTRACTUALES</t>
  </si>
  <si>
    <t>CÁRCAMES RECTANGULAR PREFABRICADO (DIMENSIONES INTERNAS 0,40MX0,35M)0ACT  NO CONTRACTUALES</t>
  </si>
  <si>
    <t>TUBERIA PVC 8" 0ACT  NO CONTRACTUALES</t>
  </si>
  <si>
    <t>JUNDTA DE EXPANSION0ACT  NO CONTRACTUALES</t>
  </si>
  <si>
    <t>TUBERIA NOVAFORT DE 8" X 6 MTS</t>
  </si>
  <si>
    <t>TUBERIA NOVAFORT DE 12" X 6 MTS</t>
  </si>
  <si>
    <t>CARGUE PREFABRICADO DE 1,7 M DE DIAMETRO (NO INCLUYE TAPA)0ACT  NO CONTRACTUALES</t>
  </si>
  <si>
    <t>TUBERIA SANITARIA PVC 2"0ACT  NO CONTRACTUALES</t>
  </si>
  <si>
    <t>TUBERIA SANITARIA PVC 3"0ACT  NO CONTRACTUALES</t>
  </si>
  <si>
    <t>TUBERIA SANITARIA PVC 4"0ACT  NO CONTRACTUALES</t>
  </si>
  <si>
    <t>CAJA DE INSPECCIÓN 0,80X0,60M  H= 0,50M (CON TAPA)0ACT  NO CONTRACTUALES</t>
  </si>
  <si>
    <t>TUBERIA SANITARIA PVC 6"0ACT  NO CONTRACTUALES</t>
  </si>
  <si>
    <t>TUBERIA NOVAFORT DE 16" X 6 MTS</t>
  </si>
  <si>
    <t>TUBERIA NOVAFORT DE 20" X 6 MTS</t>
  </si>
  <si>
    <t>TUBERIA EN CONCRETO 10"0ACT  NO CONTRACTUALES</t>
  </si>
  <si>
    <t>CORTE DE PAVIMENTO (E MAX=10CM)0ACT  NO CONTRACTUALES</t>
  </si>
  <si>
    <t>DEMESLICIÓN DE MEZCLA ASFALTICA0ACT  NO CONTRACTUALES</t>
  </si>
  <si>
    <t>SUB BASE GRANULAR TIPO A0ACT  NO CONTRACTUALES</t>
  </si>
  <si>
    <t>MEZCLA DENSA MDC0250ACT  NO CONTRACTUALES</t>
  </si>
  <si>
    <t>RECONSTRUCCIÓN CAJA EN CONCRETO (CAÑO PORFIA)0ACT  NO CONTRACTUALES</t>
  </si>
  <si>
    <t>CAJA PARA REGISTRO DE CORTE 0,30X0,30 M  H= 0,30M0ACT  NO CONTRACTUALES</t>
  </si>
  <si>
    <t>TUBERIA PRESIÓN PVC 1/2"0ACT  NO CONTRACTUALES</t>
  </si>
  <si>
    <t>MANGUERA HDPE 1/2"0ACT  NO CONTRACTUALES</t>
  </si>
  <si>
    <t>TUBERIA PRESIÓN PVC 1"0ACT  NO CONTRACTUALES</t>
  </si>
  <si>
    <t>TUBERIA PRESIÓN PVC 1 1/4"0ACT  NO CONTRACTUALES</t>
  </si>
  <si>
    <t>TUBERIA PRESIÓN PVC 2"0ACT  NO CONTRACTUALES</t>
  </si>
  <si>
    <t>ECAVACIONES VARIAS SIN CLASIFICAR*0ACT  NO CONTRACTUALES</t>
  </si>
  <si>
    <t>ANCLAJE PASIVO 0 VARILLA D=1"*0ACT  NO CONTRACTUALES</t>
  </si>
  <si>
    <t>ANCLAJE PASIVO 0 VARILLA D=3/4"*0ACT  NO CONTRACTUALES</t>
  </si>
  <si>
    <t>MALLA TRIPLE TORSIÓN*0ACT  NO CONTRACTUALES</t>
  </si>
  <si>
    <t>CONCRETO 28 MPA PARA DISIPADORES*0ACT  NO CONTRACTUALES</t>
  </si>
  <si>
    <t>ANCLAJES CONCRETOS DE DIFERENTES EDADES ACERO 3/8"*0ACT  NO CONTRACTUALES</t>
  </si>
  <si>
    <t>ANCLAJES MURO EXISTENTE LONGITUD DE PERFORACIÓN 25CM*0ACT  NO CONTRACTUALES</t>
  </si>
  <si>
    <t>GEOTEXTIL NT01600*0ACT  NO CONTRACTUALES</t>
  </si>
  <si>
    <t>GEOTEXTIL NT02500*0ACT  NO CONTRACTUALES</t>
  </si>
  <si>
    <t>GEOTEXTIL NT03000*0ACT  NO CONTRACTUALES</t>
  </si>
  <si>
    <t>TUBERIA PERFORADA 4"*0ACT  NO CONTRACTUALES</t>
  </si>
  <si>
    <t>TUBERIA PERFORADA 6"*0ACT  NO CONTRACTUALES</t>
  </si>
  <si>
    <t>INSTALACIÓN TUBERIA ALC PVC 10"*0ACT  NO CONTRACTUALES</t>
  </si>
  <si>
    <t>INSTALACIÓN TUBERIA ALC PVC 12"*0ACT  NO CONTRACTUALES</t>
  </si>
  <si>
    <t>SUMIDERO ALTURA 1,20 X 1,20 X 0,88M COMPLETO0ACT  NO CONTRACTUALES</t>
  </si>
  <si>
    <t>ENROCADO DE PROTECCIÓN0ACT  NO CONTRACTUALES</t>
  </si>
  <si>
    <t>PROTECCIÓN CON PIEDRA PEGADA0ACT  NO CONTRACTUALES</t>
  </si>
  <si>
    <t>PILOTE CAISSON DE CONCRETO VACIADO IN SITU, D=1,40M, CONCRETO 28 MPA, ESPECIFICACIÓN INVIAS 621P013, INCLUYE SUMINISTRO, FORMALETA, TRANSPORTE Y COLOCACIÓN DE CONCRETO, NO INCLUYE ACERO DE REFUERZO0ACT  NO CONTRACTUALES</t>
  </si>
  <si>
    <t>PILOTE CAISSON DE CONCRETO VACIADO IN SITU, D=1,30M, CONCRETO 28 MPA, ESPECIFICACIÓN INVIAS 621P013, INCLUYE SUMINISTRO, FORMALETA, TRANSPORTE Y COLOCACIÓN DE CONCRETO, NO INCLUYE ACERO DE REFUERZO0ACT  NO CONTRACTUALES</t>
  </si>
  <si>
    <t>PILOTE CAISSON DE CONCRETO VACIADO IN SITU, D=1,20M, CONCRETO 28 MPA, ESPECIFICACIÓN INVIAS 621P013, INCLUYE SUMINISTRO, FORMALETA, TRANSPORTE Y COLOCACIÓN DE CONCRETO, NO INCLUYE ACERO DE REFUERZO0ACT  NO CONTRACTUALES</t>
  </si>
  <si>
    <t>CONCRETO 28 MPA PARA VIGAS DE CIMENTACION0ACT  NO CONTRACTUALES</t>
  </si>
  <si>
    <t>CONCRETO 28 MPA PARA ESTRIBOS0ACT  NO CONTRACTUALES</t>
  </si>
  <si>
    <t>CONCRETO 28 MPA PARA MENSULAS0ACT  NO CONTRACTUALES</t>
  </si>
  <si>
    <t>CONCRETO 28 MPA PARA TABLERO0ACT  NO CONTRACTUALES</t>
  </si>
  <si>
    <t>CONCRETO 28 MPA PARA ALETAS MESNOLITICAS Y PANTALLAS0ACT  NO CONTRACTUALES</t>
  </si>
  <si>
    <t>CONCRETO CLASE D 28 MPA PARA PLACA DE ACCESO0ACT  NO CONTRACTUALES</t>
  </si>
  <si>
    <t>CONCRETO 28 MPA PARA DADOS (ANCLAJE ACTIVO)0ACT  NO CONTRACTUALES</t>
  </si>
  <si>
    <t>CONCRETO 28 MPA0ACT  NO CONTRACTUALES</t>
  </si>
  <si>
    <t>SACOS DE SUELO CEMENTO0ACT  NO CONTRACTUALES</t>
  </si>
  <si>
    <t>MURO GAVIÓN 0ACT  NO CONTRACTUALES</t>
  </si>
  <si>
    <t>CONCRETO DE 21 MPA PARA CICLOPEO0ACT  NO CONTRACTUALES</t>
  </si>
  <si>
    <t>CONCRETO 35 MPA PARA VIGA POSTENSADA0ACT  NO CONTRACTUALES</t>
  </si>
  <si>
    <t>APOYOS EN NEOPRENO D60 400X400X60 MM0ACT  NO CONTRACTUALES</t>
  </si>
  <si>
    <t>APOYOS EN NEOPRENO D60 450X500X60 MM0ACT  NO CONTRACTUALES</t>
  </si>
  <si>
    <t>JUNDTA DE DILATACIÓN PUENTES0ACT  NO CONTRACTUALES</t>
  </si>
  <si>
    <t>BOLSACRETO PUENTE MARRANO LOCO</t>
  </si>
  <si>
    <t>X - OBRA - TODO COSTO</t>
  </si>
  <si>
    <t>GLO - GLOBAL</t>
  </si>
  <si>
    <t>078 - OBRAS ADICIONALES CIERRE</t>
  </si>
  <si>
    <t>17/04/2024</t>
  </si>
  <si>
    <t>RELLENO CON GRAVILLA0ACT  NO CONTRACTUALES</t>
  </si>
  <si>
    <t>CONCRETO 14 MPA PARA SOLADO0ACT  NO CONTRACTUALES</t>
  </si>
  <si>
    <t>CONCRETO 21 MPA PARA CUNDETAS F, SITIO0ACT  NO CONTRACTUALES</t>
  </si>
  <si>
    <t>DEMESLICION PARCIAL LOSAS EN CONCRETO TÚNELES0ACT  NO CONTRACTUALES</t>
  </si>
  <si>
    <t>PAVIMENTO EN CONCRETO HIDRÁULICO MR 45 TÚNELES 0ACT  NO CONTRACTUALES</t>
  </si>
  <si>
    <t>TUBERIA EN CONCRETO REFORZADO CLASE I DE 1,20M (48")0ACT  NO CONTRACTUALES</t>
  </si>
  <si>
    <t>TUBERIA EN CONCRETO REFORZADO CLASE II DE 1,20M (48")0ACT  NO CONTRACTUALES</t>
  </si>
  <si>
    <t>DESABOMBE DE ROCAS SOBRE TALUDES0ACT  NO CONTRACTUALES</t>
  </si>
  <si>
    <t>ALQUILER DATAFONOS</t>
  </si>
  <si>
    <t>APOYOS ADICIONALES PERSONAL CANGURO</t>
  </si>
  <si>
    <t>BIDONES CERTIFICADOS PARA COMBUSTIBLE</t>
  </si>
  <si>
    <t>BOLETERIA PEAJES</t>
  </si>
  <si>
    <t>038 - PEAJES</t>
  </si>
  <si>
    <t>20/01/2025</t>
  </si>
  <si>
    <t>BROCHA 5"</t>
  </si>
  <si>
    <t>CAMARAS DE VIDEO</t>
  </si>
  <si>
    <t>CINTA DE ENMASCARAR 36MM ROLLO X 50 MTS</t>
  </si>
  <si>
    <t>CINTA REFLECTIVA 3M</t>
  </si>
  <si>
    <t>CONOS 90 CMS</t>
  </si>
  <si>
    <t>FLASHER SOLAR</t>
  </si>
  <si>
    <t>LAMPARAS TIPO LED 18 VOLTIOS</t>
  </si>
  <si>
    <t>LAMPARAS TIPO LED 24 VOLTIOS</t>
  </si>
  <si>
    <t>MANTENIIENTO CAJAS FUERTES</t>
  </si>
  <si>
    <t>MANTENIMIENTO EQUIPO UPS</t>
  </si>
  <si>
    <t>MANTENIMIENTO PLATAFORMA ESTÁTICA</t>
  </si>
  <si>
    <t>PINTURA ANTICORROSIVA 0 PEAJESY PESAJES</t>
  </si>
  <si>
    <t>PINTURA ACRILICA PARA DEMARCACION VIAL TRAFICO PESADO COLOR AZUL X 1 GL</t>
  </si>
  <si>
    <t>PINTURA NEGRA ACEITE  0 PEAJESY PESAJES</t>
  </si>
  <si>
    <t>PINTUTA MARTILLADA COLOR GRIS 0 PEAJESY PESAJES</t>
  </si>
  <si>
    <t xml:space="preserve"> LIJA DE AGUA GRANO 80 PLIEGO DE 28X23CM</t>
  </si>
  <si>
    <t>RODILLO DE FELPA DE 9"</t>
  </si>
  <si>
    <t>ROLLO TERMICO 0 PEAJESY PESAJES</t>
  </si>
  <si>
    <t>095 - OTROS COMPRAS OPERACION VIAL</t>
  </si>
  <si>
    <t>24/02/2025</t>
  </si>
  <si>
    <t>SERVICIO DE ACUERDUCTO MUNICIPAL LASOGU</t>
  </si>
  <si>
    <t>SERVICIO DE CALIBRACIÓN AÑO BÁSCULAS ESTÁTICAS</t>
  </si>
  <si>
    <t>SERVICIO DE INTERNET</t>
  </si>
  <si>
    <t>058 - INTERNET CTA</t>
  </si>
  <si>
    <t>MANTENIMIENTO AIRES ACONDICIONADOS</t>
  </si>
  <si>
    <t>SERVICIO DE VIGILANCIA PRIVADA 24 HORAS</t>
  </si>
  <si>
    <t>045 - SERVICIO DE ASEO Y VIGILANCIA</t>
  </si>
  <si>
    <t>SERVICIO IP PUBLICA</t>
  </si>
  <si>
    <t>MANTENIMIENTO EQUIPO DE BOMBEO</t>
  </si>
  <si>
    <t>MANTENIMIENTO POZO SÉPTICO</t>
  </si>
  <si>
    <t>SERVICIO OPERACIÓN DE RECAUDO</t>
  </si>
  <si>
    <t>SERVICIO TÉCNICO SISTEMA DE RECAUDO HADWARE</t>
  </si>
  <si>
    <t>SERVICIO TÉCNICO SISTEMA DE RECAUDO SOFTWAR</t>
  </si>
  <si>
    <t>SERVICIO VISITA AÑO CONFORMIDAD METROLEGAL</t>
  </si>
  <si>
    <t>TARJETAS DE IDENTIFICACIÓN ELECTRÓNICA</t>
  </si>
  <si>
    <t>THINER</t>
  </si>
  <si>
    <t>TIQUETES PREPAGADOS</t>
  </si>
  <si>
    <t>TIRILLAS VALLAS INFORMATIVAS</t>
  </si>
  <si>
    <t>TRANSPORTE RESIDUOS POZO SÉPTICO</t>
  </si>
  <si>
    <t>VALLAS INFORMATIVAS</t>
  </si>
  <si>
    <t>VIDRIOS CABINAS DE RECAUDO</t>
  </si>
  <si>
    <t>ACETATO FOTOCOPIADORA LASER </t>
  </si>
  <si>
    <t>AZ CARTA AZUL PLASTIFICADO MARCA, ABASTECE</t>
  </si>
  <si>
    <t>BANDERITAS NOTAS ADHESIVAS COLORES SURTIDOS 45 X 12</t>
  </si>
  <si>
    <t>BANDERITAS POST IT AMARILLO REF: 68005 0 3M</t>
  </si>
  <si>
    <t>BISTURI GRANDE PLASTICO</t>
  </si>
  <si>
    <t>BOLSA DE VINILO CARTA DELGADA</t>
  </si>
  <si>
    <t>BOLSA DE VINILO CARTA GRUESA CALIBRE 3 PAQ, X 100 U,</t>
  </si>
  <si>
    <t>BOLSA PARA CD</t>
  </si>
  <si>
    <t>BORRADOR PARA TABLERO MAGNETICO ARTLINE</t>
  </si>
  <si>
    <t>BORRADOR NATA PELIKAN</t>
  </si>
  <si>
    <t>CAJA PARA CD X 25</t>
  </si>
  <si>
    <t>CALCULADORA 12 DIGITOS KADIO REF: 8837B</t>
  </si>
  <si>
    <t>CARPETA BLANCA DE PRESENTACION CARTA</t>
  </si>
  <si>
    <t>CARPETA EN L CARTA ORGANIZADOR DE DOC, KEEPER X 6 VERDE</t>
  </si>
  <si>
    <t>CARPETA PRESENTACION CARTA CON BOLSILLO BLANCA X 6 UNIDADES</t>
  </si>
  <si>
    <t>CARPETA LEGAJADORA OFICIO PROPALCOTE 320 GR, ALETA VERTICAL</t>
  </si>
  <si>
    <t>CDR X 50U, IMPRIMIBLE</t>
  </si>
  <si>
    <t>CINTA CERA 110MM X 300 MTS GENERICA</t>
  </si>
  <si>
    <t>CINTA MAGICA 19 X 33 TESA</t>
  </si>
  <si>
    <t>CINTA PARA ENMASCARAR 12X40 TESA BASICA</t>
  </si>
  <si>
    <t>CINTA PARA ENMASCARAR 48X40 TESA</t>
  </si>
  <si>
    <t>CINTA PEGANTE TRANSPARENTE 12X50 CINTANDINA</t>
  </si>
  <si>
    <t>CINTA PEGANTE TRANSPARENTE 24X50 CINTANDINA</t>
  </si>
  <si>
    <t>CINTA PEGANTE TRANSPARENTE 72X100 CINTANDINA</t>
  </si>
  <si>
    <t>CLIP MARIPOSA JUMBO WINGO X 100U,</t>
  </si>
  <si>
    <t>CLIP MARIPOSA TRITON X 50U,</t>
  </si>
  <si>
    <t>CLIP X 100 TRITON</t>
  </si>
  <si>
    <t>CLIP X 100 TRITON JUMBO</t>
  </si>
  <si>
    <t>COLBON 225 GRAMESS</t>
  </si>
  <si>
    <t>CORRECTOR BLANCO ROLLER X 12M, OFFI0ESCO OE0264</t>
  </si>
  <si>
    <t>COSEDORA BATES 550</t>
  </si>
  <si>
    <t>CUCHILLA BISTURI GRANDE X 10</t>
  </si>
  <si>
    <t>DISPENSADOR 12X50 PLASTICO</t>
  </si>
  <si>
    <t>DVD GABRABLE DUAL0LAYER 8,7 GB TORRE X 50</t>
  </si>
  <si>
    <t>ESFERO BIC CRISTAL AZUL</t>
  </si>
  <si>
    <t>ESFERO BIC CRISTAL NEGRO</t>
  </si>
  <si>
    <t>ESFERO KILOMETRICO 100 RETRACTIL NEGRO PUNTA 1,0 MM</t>
  </si>
  <si>
    <t>ESFERO KILOMETRICO 100 RETRACTIL ROJO PUNTA 1,0 MM</t>
  </si>
  <si>
    <t>ESFERO BIC ROJO</t>
  </si>
  <si>
    <t>ESFERO OFFI0ESCO OE0052F SEMI GEL NEGRO 0,7 RETRACTIL</t>
  </si>
  <si>
    <t>ESFERO OFFI0ESCO OE0076F SEMI GEL NEGRO 0,7 TAPA</t>
  </si>
  <si>
    <t>ESFERO KILOMETRICO 100 AZUL TAPA PUNTA FINA 1,0</t>
  </si>
  <si>
    <t>ESFERO KILOMETRICO 100 FUCCIA(MAGENTA)TAPA PUNTA FINA 1,0</t>
  </si>
  <si>
    <t>ESFERO KILOMETRICO 100 MESRADO TAPA PUNTA FINA 0,7</t>
  </si>
  <si>
    <t>ESFERO KILOMETRICO 100 VERDE TAPA PUNTA FINA 1,0</t>
  </si>
  <si>
    <t>FOLDER CELUGUIA HORIZONTAL CARTA 250GR</t>
  </si>
  <si>
    <t>FOLDER CELUGUIA VERTICAL SUPERIOR OFICIO NORMA</t>
  </si>
  <si>
    <t>ARCHIVADOR FUELLE</t>
  </si>
  <si>
    <t>GANCHO COSEDORA GALVANIZADO TRITON X 5000</t>
  </si>
  <si>
    <t>GANCHO COSEDORA INDUSTRIAL 5/8 C058 TRITON X 2,000 GRAPA</t>
  </si>
  <si>
    <t>GANCHO COSEDORA INDUSTRIAL 23008</t>
  </si>
  <si>
    <t>GANCHO COSEDORA STANDARD 26/6</t>
  </si>
  <si>
    <t>GANCHO LEGAJADOR PLASTICO REDONDO</t>
  </si>
  <si>
    <t>GANCHO LEGAJADOR PLASTICO TRANSPARENTE X 20  TRITON</t>
  </si>
  <si>
    <t>GUIA CLASIFICADORA 1 AL 12 CARTA NORMA</t>
  </si>
  <si>
    <t>GUIA CLASIFICADORA 105 ALFABETICA A0Z</t>
  </si>
  <si>
    <t>GUIA CLASIFICADORA CARTA ENERO0DICIEMBRE</t>
  </si>
  <si>
    <t>HUELLERO</t>
  </si>
  <si>
    <t>HUMEDECEDOR DE DEDOS SORTKWIK 50 GR,</t>
  </si>
  <si>
    <t>LAPIZ NEGRO MIRADO NO, 2 NACIONAL (*)</t>
  </si>
  <si>
    <t>LAPIZ NEGRO TRITON</t>
  </si>
  <si>
    <t>MANECILLA DOBLE 1 PULGADA CAJA POR 12</t>
  </si>
  <si>
    <t>MANECILLA DOBLE 1/2 PULGADA CAJA X 12</t>
  </si>
  <si>
    <t>MANECILLA DOBLE 2 PULGADAS CAJA X 12</t>
  </si>
  <si>
    <t>MANECILLA DOBLE 3/4 PULGADAS CAJA X 12</t>
  </si>
  <si>
    <t>MARBETE FOLDER CORRIENTE VERDE CLARO IMPRENTAR</t>
  </si>
  <si>
    <t>MARCADOR PERMANENTE PELIKAN 420 NEGRO</t>
  </si>
  <si>
    <t>MARCADOR PERMANENTE PUNTA BISELADA BEROL AZUL</t>
  </si>
  <si>
    <t>MARCADOR PERMANENTE PUNTA BISELADA BEROL ROJO</t>
  </si>
  <si>
    <t>MARCADOR SECO BORRABLE BEROL NEGRO</t>
  </si>
  <si>
    <t>MARCADOR SECO BORRABLE BEROL ROJO</t>
  </si>
  <si>
    <t>MARCADOR SECO BORRABLE BEROL VERDE</t>
  </si>
  <si>
    <t>MARCADOR SECO BORRABLE EXPO AZUL</t>
  </si>
  <si>
    <t>MARCADOR SECO BORRABLE EXPO NEGRO</t>
  </si>
  <si>
    <t>MARCADOR SECO BORRABLE FABER0CASTELL AZUL REF:1540Z</t>
  </si>
  <si>
    <t>MARCADOR SECO BORRABLE FABER0CASTELL ROJO REF: 1540R</t>
  </si>
  <si>
    <t>MARCADOR SECO BORRABLE PELIKAN 424 NEGRO</t>
  </si>
  <si>
    <t>MARCADOR SECO BORRABLE PELIKAN 424 ROJO</t>
  </si>
  <si>
    <t>MARCADOR SECO BORRABLE PELIKAN 424 VERDE</t>
  </si>
  <si>
    <t>MARCADOR SHARPIE PERMANENTE PUNTA FINA AZUL</t>
  </si>
  <si>
    <t>MARCADOR SHARPIE PERMANENTE PUNTA FINA NEGRO</t>
  </si>
  <si>
    <t>MARCADOR SHARPIE PERMANENTE PUNTA FINA ROJO</t>
  </si>
  <si>
    <t>MARCADOR SHARPIE PERMANENTE PUNTA FINA VERDE</t>
  </si>
  <si>
    <t>MEMESRIA USB</t>
  </si>
  <si>
    <t>MICROPUNTA ROTULADOR PUNTA FINA 0,5 MM NEGRO PELIKAN</t>
  </si>
  <si>
    <t>MICROPUNTA ROTULADOR PUNTA FINA 0,5 MM AZUL PELIKAN</t>
  </si>
  <si>
    <t>MICROPUNTA ROTULADOR PUNTA FINA 0,5 MM ROJO PELIKAN</t>
  </si>
  <si>
    <t>MICROPUNTA ROTULADOR PUNTA FINA 0,5 MM VERDE PELIKAN</t>
  </si>
  <si>
    <t>MINA 0,5 HB TUBO X 12 MINAS FABER CASTELL</t>
  </si>
  <si>
    <t>MINA 0,7 HB TUBO X 12 MINAS FABER CASTELL</t>
  </si>
  <si>
    <t>MINA 0,5 HB TUBO X 12 MINAS PELIKAN</t>
  </si>
  <si>
    <t>MINA 0,7 HB TUBO X 12 MINAS PELIKAN</t>
  </si>
  <si>
    <t>NOTAS ADHESIVAS NEON 75X75 MEDIANA PAQ, X 5 COLORES</t>
  </si>
  <si>
    <t>NOTAS ADHESIVAS NEON 40X50 MM</t>
  </si>
  <si>
    <t>PAPELERA ESCRITORIO DOBLE MALLA METALICA</t>
  </si>
  <si>
    <t>PASTA 3 ARGOLLAS 105 1 PULGADA BLANCA</t>
  </si>
  <si>
    <t>PASTA 3 ARGOLLAS 105 1,5 PULGADAS BLANCA</t>
  </si>
  <si>
    <t>PASTA 3 ARGOLLAS 105 2 PULGADAS BLANCA</t>
  </si>
  <si>
    <t>PASTA 3 ARGOLLAS 105 3 PULGADAS BLANCA</t>
  </si>
  <si>
    <t>PASTA 3 ARGOLLAS 105 4 PULGADAS BLANCA HERRAJE EN D</t>
  </si>
  <si>
    <t>PEGANTE EN BARRA 40 GRAMESS</t>
  </si>
  <si>
    <t>PEGANTE SUPER BONDER 3 GRAMESS</t>
  </si>
  <si>
    <t>PERFORADORA 2 HUECOS 15 HOJAS GIPAO REF:GP005</t>
  </si>
  <si>
    <t>PILA ENERGIZER RECARGABLE AA X 2</t>
  </si>
  <si>
    <t>PILA ENERGIZER RECARGABLE AAA X 2</t>
  </si>
  <si>
    <t>PILA RECARGABLE 9 VOLTIOS</t>
  </si>
  <si>
    <t>PORTAGUIA PLASTICA COLGANTE PAQ,X 10</t>
  </si>
  <si>
    <t>PORTALAPIZ MALLA METALICO</t>
  </si>
  <si>
    <t>PORTAMINAS 0,5 MM FABER POLY0TRI REF: PT 0,5</t>
  </si>
  <si>
    <t>PORTAMINAS 0,7 MM FABER POLY0TRI REF: PT 0,7</t>
  </si>
  <si>
    <t>PRESS APLIQUE 108 X 25 CARPETA LASER REF: 3035</t>
  </si>
  <si>
    <t>PRESS APLIQUE 108 X 25 CARPETA LASER REF: 3117</t>
  </si>
  <si>
    <t>PRESS APLIQUE 116 MM CARPETA CD LASER X 60 RÓTULOS REF: 3150</t>
  </si>
  <si>
    <t>PRESS APLIQUE 118MM CARPETA LASER REF: 3151 (PARA CD)</t>
  </si>
  <si>
    <t>PRESS APLIQUE 22 X 28 CARPETA LASER REF 3129</t>
  </si>
  <si>
    <t>PRESS APLIQUE 31 X 45,5 CARPETA LASER REF: 3155</t>
  </si>
  <si>
    <t>RECIBO CAJA MENOR</t>
  </si>
  <si>
    <t>REFUERZOS AUTOADHESIVOS X 100</t>
  </si>
  <si>
    <t>REGLA PLANA 30 CMS TRANSPARENTE</t>
  </si>
  <si>
    <t>RESALTADOR FABER0CASTELL AZUL REF: 490Z</t>
  </si>
  <si>
    <t>RESALTADOR MARK 2 AZUL PELIKAN</t>
  </si>
  <si>
    <t>RESALTADOR MARK 2 ROSADO PELIKAN</t>
  </si>
  <si>
    <t>RESALTADOR MARK 2 VERDE PELIKAN</t>
  </si>
  <si>
    <t>RESALTADOR SHARPIE AMARILLO</t>
  </si>
  <si>
    <t>RESALTADOR SHARPIE AZUL</t>
  </si>
  <si>
    <t>RESALTADOR SHARPIE NARANJA</t>
  </si>
  <si>
    <t>RESALTADOR SHARPIE VERDE</t>
  </si>
  <si>
    <t>RESMA DOBLE CARTA 11 X 17 PULGADAS 75 GRS,</t>
  </si>
  <si>
    <t>RESMA FOTOCOPIADORA T, CARTA 75 GRS, REPROGRAFT</t>
  </si>
  <si>
    <t>RESMA FOTOCOPIADORA T, OFICIO 75 GRS, CARTOPRINT</t>
  </si>
  <si>
    <t>ROLLO VINIPEL X 500 MTS</t>
  </si>
  <si>
    <t>SACAGANCHOS TRITON</t>
  </si>
  <si>
    <t>SEPARADOR DE CARTON BLANCA CARTA 22,5 X 28 CMS PAQ X 5</t>
  </si>
  <si>
    <t>SEPARADOR PLASTICO DE ARGOLLA CARTA 105 PASTA 3 ARGOLLAS</t>
  </si>
  <si>
    <t>SEPARADOR PLASTICO DE ARGOLLA OFICIO</t>
  </si>
  <si>
    <t>SILICONA BARRA GRUESA</t>
  </si>
  <si>
    <t>SOBRE BLANCO T, OFICIO 75 GR, 23,4 X 12</t>
  </si>
  <si>
    <t>SOBRE (CARPETA) HILO OFICIO VERTICAL COLOR HUMES</t>
  </si>
  <si>
    <t>SOBRE MANILA CARTA</t>
  </si>
  <si>
    <t>SOBRE MANILA CARTA ESPECIAL 25X31</t>
  </si>
  <si>
    <t>SOBRE MANILA ECOLOGICO 60 GR, MEDIA CARTA 17,5 X 24</t>
  </si>
  <si>
    <t>SOBRE MANILA EXTRAOFICIO 60 GR, 27X37 CMS</t>
  </si>
  <si>
    <t>SOBRE MANILA PARA PAGO 10 X 16,5</t>
  </si>
  <si>
    <t>SOBRE MANILA RADIOGRAFIA 36 X 44</t>
  </si>
  <si>
    <t>TAJALAPIZ METALICO PEQUEÑO</t>
  </si>
  <si>
    <t>TIJERA MULTIUSOS MANGO PLASTICO ERGONONICA 7,5PG, GIPAO</t>
  </si>
  <si>
    <t>TINTA PARA SELLOS NEGRA 28 CC, ONIX</t>
  </si>
  <si>
    <t>TINTA PARA SELLOS ROJA 28 CC, ONIX</t>
  </si>
  <si>
    <t>ALCOHOL AL 70% GALON X 3800 CC</t>
  </si>
  <si>
    <t>AMBIENTADOR GLADE AEROSOL X 400ML CAMPOS DE LAVANDA</t>
  </si>
  <si>
    <t>AMBIENTADOR GLADE AEROSOL X 400ML PARAISO AZUL 5 EN 1</t>
  </si>
  <si>
    <t>AROMATICA CIDRÓN FRUTOS DEL BOSQUE</t>
  </si>
  <si>
    <t>AROMATICA FRUTOS ROJOS HINDU</t>
  </si>
  <si>
    <t>AROMÁTICA HINDÚ DE FRUTAS (FRUTOS VERDES)</t>
  </si>
  <si>
    <t>AROMATICA JAIBEL TRADICIONAL X 100</t>
  </si>
  <si>
    <t>AROMATICA ORQUIDEA CANELA</t>
  </si>
  <si>
    <t>AROMÁTICA PANELA JAIBEL X 25 SOBRES SABORES SURTIDO</t>
  </si>
  <si>
    <t>AZUCAR 2,5 RIOPAILA</t>
  </si>
  <si>
    <t>AZUCAR RIOPAILA BLANCA SUPREMA BOLSA POR 200 STICKPACK</t>
  </si>
  <si>
    <t>BAYETILLA DULCEABRIGO BLANCA METRO 70X100</t>
  </si>
  <si>
    <t>BLANQUEADOR BLANCOX 3800 ML PODER NATURAL</t>
  </si>
  <si>
    <t>BLANQUEADOR DESINFECTANTE CLOROX MAGIA FLORAL 3800ML</t>
  </si>
  <si>
    <t>BOLSA BASURA 40 X 60 PARA PAPELERA GRIS CAL,2,3 PAQ,X6U,</t>
  </si>
  <si>
    <t>BOLSA BASURA 40 X 60 PARA PAPELERA ROJA CAL,2,3 PAQ,X6U,</t>
  </si>
  <si>
    <t>BOLSA BASURA 40X60 PARA PAPELERA CALIBRE 2 NEGRA  X 10U</t>
  </si>
  <si>
    <t>BOLSA BASURA 65 X 87 JUMBO BLANCA 6 UNIDADES C2,3</t>
  </si>
  <si>
    <t>BOLSA BASURA 65 X 87 JUMBO NEGRA 6 UNIDADES C2,3</t>
  </si>
  <si>
    <t>BOLSA BASURA 65 X 87 JUMBO ROJA 6 UNIDADES C2,3</t>
  </si>
  <si>
    <t>BOLSA BASURA 65 X 87 JUMBO VERDE 6 UNIDADES C2,3</t>
  </si>
  <si>
    <t>BOLSA BASURA 70 X 100 INDUSTRIAL GRIS PAQ,X6U, C, 2,3</t>
  </si>
  <si>
    <t>BOLSA DE BASURA ROJA 51X76</t>
  </si>
  <si>
    <t>BOTELLÓN DE AGUA CON AGARRE 18,9 LT</t>
  </si>
  <si>
    <t>CAFE OMA X 500 GRS LINEA SELECTA MESLIDO</t>
  </si>
  <si>
    <t>CAFE SELLO ROJO INSTITUCIONAL MESLIDO 500 G (=)</t>
  </si>
  <si>
    <t>CARTEL HOLOGRÁFICO DE FELIZ CUMPLEAÑOS X 2 UNIDADES</t>
  </si>
  <si>
    <t>CHUPA PARA BAÑO</t>
  </si>
  <si>
    <t>CUCHARA DESECHABLE GRANDE DOMINGO X 20</t>
  </si>
  <si>
    <t>CUCHARAS DESECHABLES PEQUEÑAS</t>
  </si>
  <si>
    <t>DETERGENTE EN POLVO</t>
  </si>
  <si>
    <t>ESCOBA GRUESA</t>
  </si>
  <si>
    <t>ESCOBA SUAVE</t>
  </si>
  <si>
    <t>FILTRO PARA CAFE PAPEL 8 TIPO CANASTA AGUILA ROJA X 10</t>
  </si>
  <si>
    <t>GEL ANTIBACTERIA X 1000 ML</t>
  </si>
  <si>
    <t>GLOBOS SEMPERTEX R12 X 50</t>
  </si>
  <si>
    <t>GUANTES AMARILLOS TALLA 8</t>
  </si>
  <si>
    <t>CREMA NO LACTEA INSTACREM ORIGINAL BOLSA POR 100 SOBRES 4 G</t>
  </si>
  <si>
    <t>JABON EN POLVO INDUSTRIAL DERSA X 1000 GRAMESS</t>
  </si>
  <si>
    <t>JABON PARA MANOS LIQUIDO X 3000 ML</t>
  </si>
  <si>
    <t>JABON REY BARRA 300 GR,</t>
  </si>
  <si>
    <t>LAVALOZA AXION CREMA 850 GRS</t>
  </si>
  <si>
    <t>LIMPIADOR MULTIUSOS FABULOSO</t>
  </si>
  <si>
    <t>LIMPIAVIDRIOS 3000 ML POTENTE</t>
  </si>
  <si>
    <t>LIMPION 60X40</t>
  </si>
  <si>
    <t>MEZCLADORES BOLSA CAFES X 1000</t>
  </si>
  <si>
    <t>PLATO DESECHABLE BLANCO DOMINGO PEQUEÑO X 20</t>
  </si>
  <si>
    <t>REMESVEDOR DE CERA 1X 3000</t>
  </si>
  <si>
    <t>SABRA ESPUMA DOBLE USO</t>
  </si>
  <si>
    <t>SELLADOR PARA PISOS ORION X3000 ML</t>
  </si>
  <si>
    <t>SERPENTINA SATINADA PAQUETE DE TRES</t>
  </si>
  <si>
    <t>SERVILLETAS DE LUJO</t>
  </si>
  <si>
    <t>SERVILLETAS FAMILIA REF, 725830X200 (JULIO X 100)</t>
  </si>
  <si>
    <t>TE HINDU VERDE</t>
  </si>
  <si>
    <t>TENEDOR GRANDE DESECHABLE PAQX100U,</t>
  </si>
  <si>
    <t>TOALLA MANOS EN Z NATURAL</t>
  </si>
  <si>
    <t>TOALLITAS DESINFECTANTES CLOROX EXPERT POTE X35U</t>
  </si>
  <si>
    <t>TRAPERO ROSCA 1A MANGO METALICO 1,20 MECHA 380 GRS</t>
  </si>
  <si>
    <t>VASO 6 ONZAS DESECHABLE CARTON BLANCO  X 50U</t>
  </si>
  <si>
    <t>VASO DESECHABLE 7 ONZAS</t>
  </si>
  <si>
    <t>CONSULTORÍA AUDITORÍA EXTERNA AL SISTEMA DE GESTIÓN INTEGRAL</t>
  </si>
  <si>
    <t>NORMAS ESTÁNDAR DE SISTEMAS DE GESTIÓN ISO</t>
  </si>
  <si>
    <t>PROGRAMA DE FORMACIÓN EN ISO 31000:2018 SISTEMA DE GESTIÓN DEL RIESGO</t>
  </si>
  <si>
    <t>VOLANTES CAPACITACIÓN INTERNA SISTEMAS INTEGRADOS DE GESTIÓN</t>
  </si>
  <si>
    <t>PAPELERIA Y FOTOCOPIAS</t>
  </si>
  <si>
    <t>SERVICIO TRANSARCHIVOS</t>
  </si>
  <si>
    <t>TRANSPORTE  0TRANSARCHIVO</t>
  </si>
  <si>
    <t>054 - TRANSPORTE FLETES Y ACARREOS</t>
  </si>
  <si>
    <t>ASESORÍAS LABORALES</t>
  </si>
  <si>
    <t>BATERÍA DE RIESGO PSICOSOCIAL</t>
  </si>
  <si>
    <t>SOFTWARE BITAKORA</t>
  </si>
  <si>
    <t>CARNETIZACIÓN Y OTROS</t>
  </si>
  <si>
    <t>FIESTA DE FIN DE AÑO</t>
  </si>
  <si>
    <t>NOMINA ELECTRÓNICA</t>
  </si>
  <si>
    <t>REGALOS DE LOS NIÑOS Y EMPLEADOS</t>
  </si>
  <si>
    <t>CAMISAS MUJER BLANCA TALLA XS</t>
  </si>
  <si>
    <t>CAMISAS MUJER BLANCA TALLA S</t>
  </si>
  <si>
    <t>CAMISAS MUJER BLANCA TALLA M</t>
  </si>
  <si>
    <t>CAMISAS MUJER BLANCA TALLA L</t>
  </si>
  <si>
    <t>CAMISAS MUJER BLANCA TALLA XL</t>
  </si>
  <si>
    <t>CAMISAS MUJER BLANCA TALLA XXL</t>
  </si>
  <si>
    <t>CAMISAS MUJER BLANCA TALLA L MATERNA</t>
  </si>
  <si>
    <t>CAMISAS HOMBRE BLANCAS TALLA S</t>
  </si>
  <si>
    <t>CAMISAS HOMBRE BLANCAS TALLA M</t>
  </si>
  <si>
    <t>CAMISAS HOMBRE BLANCAS TALLA L</t>
  </si>
  <si>
    <t>CAMISAS HOMBRE BLANCAS TALLA XL</t>
  </si>
  <si>
    <t>CAMISAS HOMBRE BLANCAS TALLA XXL</t>
  </si>
  <si>
    <t>CAMISAS HOMBRE BLANCAS TALLA XXXL</t>
  </si>
  <si>
    <t>CAMISAS HOMBRE AZUL TALLA M 0 CONSERJE</t>
  </si>
  <si>
    <t>CAMISAS HOMBRE AZUL TALLA L 0 CONSERJE</t>
  </si>
  <si>
    <t>CAMISAS HOMBRE AZUL TALLA XL 0 CONSERJE</t>
  </si>
  <si>
    <t>PANTALÓN JEANS MUJER TALLA 6</t>
  </si>
  <si>
    <t>PANTALÓN JEANS MUJER TALLA 8</t>
  </si>
  <si>
    <t>PANTALÓN JEANS MUJER TALLA 10</t>
  </si>
  <si>
    <t>PANTALÓN JEANS MUJER TALLA 12</t>
  </si>
  <si>
    <t>PANTALÓN JEANS MUJER TALLA 14</t>
  </si>
  <si>
    <t>PANTALÓN JEANS MUJER TALLA 18</t>
  </si>
  <si>
    <t>PANTALÓN JEANS HOMBRE TALLA 30</t>
  </si>
  <si>
    <t>PANTALÓN JEANS HOMBRE TALLA 32</t>
  </si>
  <si>
    <t>PANTALÓN JEANS HOMBRE TALLA 34</t>
  </si>
  <si>
    <t>PANTALÓN JEANS HOMBRE TALLA 36</t>
  </si>
  <si>
    <t>PANTALÓN JEANS HOMBRE TALLA 38</t>
  </si>
  <si>
    <t>PANTALÓN JEANS HOMBRE TALLA 40</t>
  </si>
  <si>
    <t>PANTALÓN JEANS HOMBRE TALLA 42</t>
  </si>
  <si>
    <t>CHAQUETA TALLA S DAMA</t>
  </si>
  <si>
    <t>CHAQUETA TALLA M DAMA</t>
  </si>
  <si>
    <t>CHAQUETA TALLA L DAMA</t>
  </si>
  <si>
    <t>CHAQUETA TALLA XL DAMA</t>
  </si>
  <si>
    <t>CHAQUETA TALLA XXL DAMA</t>
  </si>
  <si>
    <t>CHAQUETA TALLA S HOMBRE</t>
  </si>
  <si>
    <t>CHAQUETA TALLA M HOMBRE</t>
  </si>
  <si>
    <t>CHAQUETA TALLA L HOMBRE</t>
  </si>
  <si>
    <t>CHAQUETA TALLA XL HOMBRE</t>
  </si>
  <si>
    <t>CHAQUETA TALLA XXL HOMBRE</t>
  </si>
  <si>
    <t>CONJUNTO ANTIFLUIDO TALLA S</t>
  </si>
  <si>
    <t>CONJUNTO ANTIFLUIDO TALLA M</t>
  </si>
  <si>
    <t>CONJUNTO ANTIFLUIDO TALLA L</t>
  </si>
  <si>
    <t>OVEROL 2 PIEZAS GRIS - NARANJA TALLA XS</t>
  </si>
  <si>
    <t>05/03/2024</t>
  </si>
  <si>
    <t>OVEROL 2 PIEZAS GRIS - NARANJA TALLA S</t>
  </si>
  <si>
    <t>OVEROL 2 PIEZAS GRIS - NARANJA TALLA M</t>
  </si>
  <si>
    <t>OVEROL 2 PIEZAS GRIS - NARANJA TALLA L</t>
  </si>
  <si>
    <t>OVEROL 2 PIEZAS GRIS - NARANJA TALLA XL</t>
  </si>
  <si>
    <t>OVEROL 2 PIEZAS GRIS - NARANJA TALLA XXL</t>
  </si>
  <si>
    <t>ZAPATOS TIPO CROCS TALLA 35</t>
  </si>
  <si>
    <t>ZAPATOS TIPO CROCS TALLA 36</t>
  </si>
  <si>
    <t>ZAPATOS TIPO CROCS TALLA 37</t>
  </si>
  <si>
    <t>ARRENDAMIENTO OFICINA BOGOTÁ</t>
  </si>
  <si>
    <t>ADMINISTRACIÓN OFICINA BOGOTÁ</t>
  </si>
  <si>
    <t>SERVICIO DE ENERGIA PASOS SEGUROS</t>
  </si>
  <si>
    <t>017 - ENERGIA ELECTRICA CTA</t>
  </si>
  <si>
    <t>19/02/2025</t>
  </si>
  <si>
    <t>MANTENIMIENTOS LOCATIVOS BOGOTA</t>
  </si>
  <si>
    <t>MANTENIMIENTO MOBILIARIO</t>
  </si>
  <si>
    <t>11/12/2023</t>
  </si>
  <si>
    <t>ARREGLO  ESCRITORIO EN L DE 1,50</t>
  </si>
  <si>
    <t>ARREGLO ESCRITORIO DE 1,20</t>
  </si>
  <si>
    <t>ARREGLO DE SILLAS ERGONOMICA</t>
  </si>
  <si>
    <t>ARREGLO DE SILLAS ASISTENCIAL</t>
  </si>
  <si>
    <t>ARREGLO DE BIBLIOTECA</t>
  </si>
  <si>
    <t>CONSULTAS INSPEKTOR</t>
  </si>
  <si>
    <t>ANCHETAS NAVIDEÑAS</t>
  </si>
  <si>
    <t>TRANSPORTE PERSONAL</t>
  </si>
  <si>
    <t>INSCRIPCIÓN CONGRESO CCI 0FONDO ROTATORIO</t>
  </si>
  <si>
    <t>MANTENIMIENTO ESCRITORIO EN L DE 1,50</t>
  </si>
  <si>
    <t>MANTENIMIENTO ESCRITORIO DE 1,20</t>
  </si>
  <si>
    <t>MANTENIMIENTO SILLAS ERGONOMICA</t>
  </si>
  <si>
    <t>MANTENIMIENTO SILLAS ASISTENCIAL</t>
  </si>
  <si>
    <t>MANTENIMIENTO BIBLIOTECA</t>
  </si>
  <si>
    <t>FONDEO SOPORTE CONTRACTUAL</t>
  </si>
  <si>
    <t>050 - SUBCUENTA SOPORTE CONTRACTUAL</t>
  </si>
  <si>
    <t>FONDEO  MASC</t>
  </si>
  <si>
    <t>048 - SUBCUENTA MASC</t>
  </si>
  <si>
    <t>FONDEO REDES</t>
  </si>
  <si>
    <t>049 - SUBCUENTA REDES</t>
  </si>
  <si>
    <t>FONDEO SUBCUENTA INTERVENTORIA</t>
  </si>
  <si>
    <t>052 - SUPERVISION E INTERVENTORIA ANI</t>
  </si>
  <si>
    <t>SERVICIO TRATAMIENTO Y DISPOSICIÓN DE RESIDUOS LIQUIDOS CON EQUIPO DE SUCCIÓN DE PRESIÓN 0OPERACIONES</t>
  </si>
  <si>
    <t>SERVICIO DE TRANSPORTE D RESIDUOS LIQUIDOS EN EQUIPO DE SUCCIÓN DE PRESIÓN PARA MANTENIMIENTO DEL POZO SÉPTICO0OPERACIONES</t>
  </si>
  <si>
    <t xml:space="preserve">INSUMOS PTAR </t>
  </si>
  <si>
    <t>13/09/2024</t>
  </si>
  <si>
    <t>SERVICIO TRANSPORTE DE AGUA CRUDA0OPERACIONES</t>
  </si>
  <si>
    <t>ACUEDUCTO Y ALCANTARILLADO</t>
  </si>
  <si>
    <t>098 - ACUEDUCTO Y ALCANTARILLADO</t>
  </si>
  <si>
    <t>04/03/2025</t>
  </si>
  <si>
    <t>SERVICIO RECOLECCIÓN RESIDUOS SÓLIDOS0OPERACIONES</t>
  </si>
  <si>
    <t>SERVICIO DE ENERGÍA0OPERACIONES</t>
  </si>
  <si>
    <t>044 TAM, CON EQUIPOS DE EXTRICACION VEHICULAR0OPERACIONES</t>
  </si>
  <si>
    <t>044 - SERVICIO DE AMBULANCIA</t>
  </si>
  <si>
    <t>ALQUILER DE GRUA PLATAFORMA0OPERACIONES</t>
  </si>
  <si>
    <t>046 - SERVICIO DE GRUA</t>
  </si>
  <si>
    <t>ALQUILER DE GRUA GANCHO,0OPERACIONES</t>
  </si>
  <si>
    <t>SERVICIO DE MANTENIMIENTO Y ADMINISTRACIÒN DEL SERVIDOR SISTEMA INFORMATICO DE CONTABILIZACION Y CONTROL (S,I,C,C),0OPERACIONES</t>
  </si>
  <si>
    <t>CERTIFICACIÓN DE DISPONIBILIDAD DEL SICC 0 INDICADOR "O6"0OPERACIONES</t>
  </si>
  <si>
    <t>TALORANARIO DE FORMATO DE 044S0OPERACIONES</t>
  </si>
  <si>
    <t>TALONARIO DE FORMATO DE PRESTACION DE S (CARRO TALLER 0 GRUAS)0OPERACIONES</t>
  </si>
  <si>
    <t>TALONARIO DE CROQUIS DEL EVENTO0OPERACIONES</t>
  </si>
  <si>
    <t>BANNERS PARA VALLAS DEL PROYECTO0OPERACIONES</t>
  </si>
  <si>
    <t>MANTENIMIENTO VALLAS DEL PROYECTO0OPERACIONES</t>
  </si>
  <si>
    <t>CAMPANAS CON CINTAS REFELCTIVAS0OPERACIONES</t>
  </si>
  <si>
    <t>BARRERA PLASTICA GRANDE CON MATERIAL REFLECTIVO0OPERACIONES</t>
  </si>
  <si>
    <t xml:space="preserve">SEÑALIZADOR TUBULAR COLOMBINA CONICO CON MATERIAL REFLECTIVO0OPERACIONES </t>
  </si>
  <si>
    <t xml:space="preserve">CINTA AISLANTE 3M SCOTCH SUPER 33+ 19MM X 20,1M X 0,177MM </t>
  </si>
  <si>
    <t>PALETA PARE Y SIGA DE 45 CM 0 REFLECTIVAS0OPERACIONES</t>
  </si>
  <si>
    <t>CONOS EN CAUCHO DE 90 CM CON TRES FRANJAS REFLECTIVAS0OPERACIONES</t>
  </si>
  <si>
    <t>BASTONES LUMINOSOS TRICOLOR CON LINTERNA RECARGABLES0OPERACIONES</t>
  </si>
  <si>
    <t>FLASHER LUMINOSOS RECARGABLE0OPERACIONES</t>
  </si>
  <si>
    <t>SEÑAL PREVENTIVA 0 PARA EVENTOS ESPECIALES0OPERACIONES</t>
  </si>
  <si>
    <t>TRIPODE PARA SEÑAL PREVENTIVA DE EVENTO ESPECIAL0OPERACIONES</t>
  </si>
  <si>
    <t>PICA0OPERACIONES</t>
  </si>
  <si>
    <t>ESCOBON0OPERACIONES</t>
  </si>
  <si>
    <t>BARRAS0OPERACIONES</t>
  </si>
  <si>
    <t>MACHETE 3 CANALES 22" HERRAGRO SIN FUNDA</t>
  </si>
  <si>
    <t>ESLINGAS DE 4" X 6 METROS DE LARGO0OPERACIONES</t>
  </si>
  <si>
    <t>RACHET PARA ESLINGA DE 4"0OPERACIONES</t>
  </si>
  <si>
    <t>ESLINGA EN V CON GANCHO EN J0OPERACIONES</t>
  </si>
  <si>
    <t>CADENA EN V CON GANCHO EN J0OPERACIONES</t>
  </si>
  <si>
    <t>POLIZA DRONE0OPERACIONES</t>
  </si>
  <si>
    <t>MANTENIMIENTO PREVENTIVO DRONE0OPERACIONES</t>
  </si>
  <si>
    <t>MANTENIMIENTO CORRECTIVO DRONE0OPERACIONES</t>
  </si>
  <si>
    <t>BATERIAS DRONE0OPERACIONES</t>
  </si>
  <si>
    <t>HELICES DRONE0OPERACIONES</t>
  </si>
  <si>
    <t>JOSTICK CONTROL DRONE0OPERACIONES</t>
  </si>
  <si>
    <t>HELIPUERTO DRONE0OPERACIONES</t>
  </si>
  <si>
    <t>MEMESRIA MICRO SD DE 250 GB0OPERACIONES</t>
  </si>
  <si>
    <t>LLAVE DE CRUZ CROMADA PARA PERNOS DE AUTOMÓVIL DE 17X19X21X23 MM  MARCA STANLEY0OPERACIONES</t>
  </si>
  <si>
    <t>MULTÍMETRO DIGITAL CON PINZAS MARCA STANLEY 0OPERACIONES</t>
  </si>
  <si>
    <t>CARGADOR ARRANCADOR DE BATERÍAS MARCA STANLEY0OPERACIONES</t>
  </si>
  <si>
    <t>CALIBRADOR DE PRESIÓN DE LLANTAS0OPERACIONES</t>
  </si>
  <si>
    <t>TESTER PROBADOR DE CORRIENTE DE 6V, 12V Y 12 V MARCA HELLA 0OPERACIONES</t>
  </si>
  <si>
    <t>JUEGO LLAVE BRISTOL 1,5010MM 1/1603/8 20 PIEZAS STANLEY0OPERACIONES</t>
  </si>
  <si>
    <t>JUEGO LLAVES TORX LARGAS X 9 PCS TORK PISTILLO ALLEN L0OPERACIONES</t>
  </si>
  <si>
    <t>JUEGO LLAVE MIXTA 10032MM 14PIEZAS MARCA STANLEY0OPERACIONES</t>
  </si>
  <si>
    <t>JUEGO LLAVE MIXTA 3/801,1/4 STANLEY 14 PIEZAS MARCA STANLEY0OPERACIONES</t>
  </si>
  <si>
    <t>JUEGO DESTORNILLADORES X 10 PZS, (5 DE ESTRELLA Y 5 DE PALA) MARCA STANLEY0OPERACIONES</t>
  </si>
  <si>
    <t>KIT JUEGOS COPAS CUADRANTE 1/2 (12MMA 30MM) STANLEY0OPERACIONES</t>
  </si>
  <si>
    <t>LLAVE DE BANDA METÁLICA PARA FILTROS DE ACEITE 2 1/2 0 3 1/40OPERACIONES</t>
  </si>
  <si>
    <t>LÁMPARA LED PORTÁTIL PARA AUTO, POTENTE, 12V 64 LED0OPERACIONES</t>
  </si>
  <si>
    <t>PINZA DE PUNTA RECTA DE 6"0OPERACIONES</t>
  </si>
  <si>
    <t>ALICATE CORTA FRIO DE 6"</t>
  </si>
  <si>
    <t>BARRA O PALANCA ACERADA LLAVE ARTILLERA DE 40 CM DE LARGO0OPERACIONES</t>
  </si>
  <si>
    <t>COPA NO, 32 MM PARA MULTIPLICADOR DE FUERZA0OPERACIONES</t>
  </si>
  <si>
    <t>GATO HIDRAULICO EN BOTELLA PARA 30 TONELADAS0OPERACIONES</t>
  </si>
  <si>
    <t>GATO EN ZORRA DE 3 TONELADAS0OPERACIONES</t>
  </si>
  <si>
    <t>CADENA DE 3 METROS 1/2" CON GANCHOS0OPERACIONES</t>
  </si>
  <si>
    <t>CADENA DE 3 METROS 3/4" CON GANCHOS0OPERACIONES</t>
  </si>
  <si>
    <t>GRILLETES 1/2"0OPERACIONES</t>
  </si>
  <si>
    <t>POLEA DE MANIOBRAS AMERICANA0OPERACIONES</t>
  </si>
  <si>
    <t>RACHES PARA CADENA0OPERACIONES</t>
  </si>
  <si>
    <t>MANILA DE 12 METROS EN 1/2 PULGADA0OPERACIONES</t>
  </si>
  <si>
    <t>LINTERNA LED RECARGABLE</t>
  </si>
  <si>
    <t>LINTERNA TIPO MINERA MANOS LIBRES RECARGABLE ZOOM 3 FUNCIONES REF. XQ-33</t>
  </si>
  <si>
    <t>BIDON DE AGUA POTABLE X 18 LITROS0OPERACIONES</t>
  </si>
  <si>
    <t>COMBUSTIBLE  MTO VIAL</t>
  </si>
  <si>
    <t>084 - COMBUSTIBLES Y LUBRICANTES MTO</t>
  </si>
  <si>
    <t>GASTOS BANCARIOS</t>
  </si>
  <si>
    <t xml:space="preserve">020 - GASTOS BANCARIOS </t>
  </si>
  <si>
    <t>SERVICIO ALQUILER BAÑO PORTATIL</t>
  </si>
  <si>
    <t>003 - ALQUILER DE UNIDAD SANITARIA PORTATIL</t>
  </si>
  <si>
    <t>EQUIPO DE POLICIA</t>
  </si>
  <si>
    <t>OTROS POLICIA</t>
  </si>
  <si>
    <t>035 - OTROS POLICIA</t>
  </si>
  <si>
    <t>IMPUESTO DE ICA</t>
  </si>
  <si>
    <t>I - IMPUESTOS</t>
  </si>
  <si>
    <t>024 - IMPUESTO DE ICA</t>
  </si>
  <si>
    <t>IMPUESTO DE SOBRETASA ICA</t>
  </si>
  <si>
    <t>025 - IMPUESTO DE SOBRETASA ICA</t>
  </si>
  <si>
    <t>IMPUESTO  DE VEHICULOS</t>
  </si>
  <si>
    <t>CONTRIBUCION FONSECOM</t>
  </si>
  <si>
    <t>014 - CONTRIBUCION FONSECOM</t>
  </si>
  <si>
    <t>CONTRIBUCION FONTUR</t>
  </si>
  <si>
    <t>015 - CONTRIBUCION FONTUR</t>
  </si>
  <si>
    <t>ALQUILER DE EQUIPOS TOPOGRAFICOS</t>
  </si>
  <si>
    <t>12/12/2023</t>
  </si>
  <si>
    <t>TRANSPORTE DE MATERIALES</t>
  </si>
  <si>
    <t>SOAT</t>
  </si>
  <si>
    <t>047 - SOAT</t>
  </si>
  <si>
    <t>ESTUDIOS Y DISEÑOS</t>
  </si>
  <si>
    <t>059 - ESTUDIOS Y DISEÑOS ANC</t>
  </si>
  <si>
    <t>22/05/2024</t>
  </si>
  <si>
    <t>CONTRATO DEL   EPC SISGA</t>
  </si>
  <si>
    <t>018 - EPC - CONSORCIO SISGA</t>
  </si>
  <si>
    <t>CASCO DE SEGURIDAD BLANCO MARCA INSAFE CON RACHET</t>
  </si>
  <si>
    <t>CASCO DE SEGURIDAD AMARILLO MARCA INSAFE CON RACHET</t>
  </si>
  <si>
    <t>CASCO DE SEGURIDAD NARANJA MARCA INSAFE CON RACHET</t>
  </si>
  <si>
    <t>CASCO DE SEGURIDAD AZUL</t>
  </si>
  <si>
    <t>CASCO DE SEGURIDAD GRIS</t>
  </si>
  <si>
    <t>GAFAS LENTE CLARO</t>
  </si>
  <si>
    <t>GAFAS LENTE OSCURO</t>
  </si>
  <si>
    <t>PROTECTOR AUDITIVO TIPO COPA</t>
  </si>
  <si>
    <t>PROTECTOR AUDITIVO TIPO INSERCIÓN</t>
  </si>
  <si>
    <t>TAPABOCAS DESECHABLE INDUSTRIAL NEGRO</t>
  </si>
  <si>
    <t>FILTRO CARTUCHO PARA VAPORES ORGANICOS 3M CLASE 1 REF. 6001 PARA MASCARA MEDIA CARA</t>
  </si>
  <si>
    <t>MASCARILLA MEDIA CARA 3M</t>
  </si>
  <si>
    <t>GUANTES DE NYLON TALLA M</t>
  </si>
  <si>
    <t>26/06/2024</t>
  </si>
  <si>
    <t>GUANTES DE NYLON TALLA L</t>
  </si>
  <si>
    <t>GUANTES DE VAQUETA TALLA UNICA</t>
  </si>
  <si>
    <t xml:space="preserve">DELANTAL O PETO EN CARNAZA </t>
  </si>
  <si>
    <t>GUANTES ANTICAÍDA TALLA UNICA</t>
  </si>
  <si>
    <t>GUANTES DE CAUCHO CALIBRE 35 TALLA 9</t>
  </si>
  <si>
    <t>GUANTES DE CAUCHO CALIBRE 35 TALLA 10</t>
  </si>
  <si>
    <t>GUANTES DE NITRILO  CALIBRE 18 PUÑO MEDIO TALLA 9</t>
  </si>
  <si>
    <t>GUANTES DE NITRILO  CALIBRE 18 PUÑO MEDIO TALLA 10</t>
  </si>
  <si>
    <t>GUANTES DE NITRILO  CALIBRE 18 PUÑO LARGO TALLA 9</t>
  </si>
  <si>
    <t>GUANTES DE NITRILO  CALIBRE 18 PUÑO LARGO TALLA 10</t>
  </si>
  <si>
    <t>BOTAS DE SEGURIDAD  DE CAUCHO CON PUNTERA TALLA 35</t>
  </si>
  <si>
    <t>BOTAS DE SEGURIDAD  DE CAUCHO CON PUNTERA TALLA 36</t>
  </si>
  <si>
    <t>BOTAS DE SEGURIDAD  DE CAUCHO CON PUNTERA TALLA 37</t>
  </si>
  <si>
    <t>BOTAS DE SEGURIDAD  DE CAUCHO CON PUNTERA TALLA 38</t>
  </si>
  <si>
    <t>BOTAS DE SEGURIDAD  DE CAUCHO CON PUNTERA TALLA 39</t>
  </si>
  <si>
    <t>BOTAS DE SEGURIDAD  DE CAUCHO CON PUNTERA TALLA 40</t>
  </si>
  <si>
    <t>BOTAS DE SEGURIDAD  DE CAUCHO CON PUNTERA TALLA 41</t>
  </si>
  <si>
    <t>BOTAS DE SEGURIDAD  DE CAUCHO CON PUNTERA TALLA 42</t>
  </si>
  <si>
    <t>BOTAS DE SEGURIDAD  DE CAUCHO CON PUNTERA TALLA 43</t>
  </si>
  <si>
    <t>BOTAS DE SEGURIDAD  DE CAUCHO CON PUNTERA TALLA 44</t>
  </si>
  <si>
    <t>BOTAS DE SEGURIDAD  DE CAUCHO CON PUNTERA TALLA 45</t>
  </si>
  <si>
    <t>BOTAS DE SEGURIDAD  DE CAUCHO SIN PUNTERA TALLA 35</t>
  </si>
  <si>
    <t>BOTAS DE SEGURIDAD  DE CAUCHO SIN PUNTERA TALLA 36</t>
  </si>
  <si>
    <t>BOTAS DE SEGURIDAD  DE CAUCHO SIN PUNTERA TALLA 37</t>
  </si>
  <si>
    <t>BOTAS DE SEGURIDAD  MATERIAL CON PUNTERA TALLA 35</t>
  </si>
  <si>
    <t>BOTAS DE SEGURIDAD  MATERIAL CON PUNTERA TALLA 36</t>
  </si>
  <si>
    <t>BOTAS DE SEGURIDAD  MATERIAL CON PUNTERA TALLA 37</t>
  </si>
  <si>
    <t>BOTAS DE SEGURIDAD  MATERIAL CON PUNTERA TALLA 38</t>
  </si>
  <si>
    <t>BOTAS DE SEGURIDAD  MATERIAL CON PUNTERA TALLA 39</t>
  </si>
  <si>
    <t>BOTAS DE SEGURIDAD  MATERIAL CON PUNTERA TALLA 40</t>
  </si>
  <si>
    <t>BOTAS DE SEGURIDAD  MATERIAL CON PUNTERA TALLA 41</t>
  </si>
  <si>
    <t>BOTAS DE SEGURIDAD  MATERIAL CON PUNTERA TALLA 42</t>
  </si>
  <si>
    <t>BOTAS DE SEGURIDAD  MATERIAL CON PUNTERA TALLA 43</t>
  </si>
  <si>
    <t>BOTAS DE SEGURIDAD  MATERIAL CON PUNTERA TALLA 44</t>
  </si>
  <si>
    <t>BOTAS DE SEGURIDAD  TIPO INGENIERO MUJER TALLA 35</t>
  </si>
  <si>
    <t>BOTAS DE SEGURIDAD  TIPO INGENIERO HOMBRE TALLA 35</t>
  </si>
  <si>
    <t>BOTAS DE SEGURIDAD  TIPO INGENIERO HOMBRE TALLA 36</t>
  </si>
  <si>
    <t>BOTAS DE SEGURIDAD  TIPO INGENIERO HOMBRE TALLA 37</t>
  </si>
  <si>
    <t>BOTAS DE SEGURIDAD  TIPO INGENIERO HOMBRE TALLA 38</t>
  </si>
  <si>
    <t>BOTAS DE SEGURIDAD  TIPO INGENIERO HOMBRE TALLA 39</t>
  </si>
  <si>
    <t>BOTAS DE SEGURIDAD  TIPO INGENIERO HOMBRE TALLA 40</t>
  </si>
  <si>
    <t>BOTAS DE SEGURIDAD  TIPO INGENIERO HOMBRE TALLA 41</t>
  </si>
  <si>
    <t>BOTAS DE SEGURIDAD  TIPO INGENIERO HOMBRE TALLA 42</t>
  </si>
  <si>
    <t>BOTAS DE SEGURIDAD  TIPO INGENIERO HOMBRE TALLA 43</t>
  </si>
  <si>
    <t>BOTAS DE SEGURIDAD  TIPO INGENIERO HOMBRE TALLA 44</t>
  </si>
  <si>
    <t>BOTAS LISA TIPO MESTORIZADO CON REFLECTIVO TALLA 40</t>
  </si>
  <si>
    <t>BOTAS CAÑA ALTA CON PUNTERA TALLA 38</t>
  </si>
  <si>
    <t>BOTAS CAÑA ALTA CON PUNTERA TALLA 39</t>
  </si>
  <si>
    <t>BOTAS CAÑA ALTA CON PUNTERA TALLA 40</t>
  </si>
  <si>
    <t>BOTAS CAÑA ALTA CON PUNTERA TALLA 41</t>
  </si>
  <si>
    <t>BOTAS CAÑA ALTA CON PUNTERA TALLA 42</t>
  </si>
  <si>
    <t>BOTAS CAÑA ALTA CON PUNTERA TALLA 43</t>
  </si>
  <si>
    <t>BOTAS CAÑA ALTA CON PUNTERA TALLA 44</t>
  </si>
  <si>
    <t>IMPERMEABLE DOS PIEZAS COLOR NARANJA CALIBRE 20 CON CINTAS REFLECTIVAS TALLA M</t>
  </si>
  <si>
    <t>IMPERMEABLE DOS PIEZAS COLOR NARANJA CALIBRE 20 CON CINTAS REFLECTIVAS TALLA L</t>
  </si>
  <si>
    <t>IMPERMEABLE DOS PIEZAS COLOR NARANJA CALIBRE 20 CON CINTAS REFLECTIVAS TALLA XL</t>
  </si>
  <si>
    <t>IMPERMEABLE DOS PIEZAS COLOR NARANJA CALIBRE 20 CON CINTAS REFLECTIVAS TALLA XXL</t>
  </si>
  <si>
    <t>IMPERMEABLE DOS PIEZAS COLOR NARANJA CALIBRE 20 CON CINTAS REFLECTIVAS TALLA XXXL</t>
  </si>
  <si>
    <t>CHAQUETA Y PANTALON MESTO ANTIFRICCIÓN CON REFLECTIVO TALLA  M</t>
  </si>
  <si>
    <t>CHALECO REFLECTIVO EMPRESARIAL MUJER TALLA 6</t>
  </si>
  <si>
    <t>CHALECO REFLECTIVO EMPRESARIAL MUJER TALLA 8</t>
  </si>
  <si>
    <t>CHALECO REFLECTIVO EMPRESARIAL MUJER TALLA 10</t>
  </si>
  <si>
    <t>CHALECO REFLECTIVO EMPRESARIAL MUJER TALLA 12</t>
  </si>
  <si>
    <t>CHALECO REFLECTIVO EMPRESARIAL MUJER TALLA 14</t>
  </si>
  <si>
    <t>CHALECO REFLECTIVO EMPRESARIAL MUJER TALLA 16</t>
  </si>
  <si>
    <t>CHALECO REFLECTIVO EMPRESARIAL HOMBRE TALLA S</t>
  </si>
  <si>
    <t>CHALECO REFLECTIVO EMPRESARIAL HOMBRE TALLA M</t>
  </si>
  <si>
    <t>CHALECO REFLECTIVO EMPRESARIAL HOMBRE TALLA L</t>
  </si>
  <si>
    <t>CHALECO REFLECTIVO EMPRESARIAL HOMBRE TALLA XL</t>
  </si>
  <si>
    <t>CHALECO REFLECTIVO EMPRESARIAL HOMBRE TALLA XXL</t>
  </si>
  <si>
    <t>CHALECO REFLECTIVO EMPRESARIAL HOMBRE TALLA XXXL</t>
  </si>
  <si>
    <t>CHALECO REFLECTIVO CONTROLADOR TALLA  S</t>
  </si>
  <si>
    <t>CHALECO REFLECTIVO CONTROLADOR TALLA  M</t>
  </si>
  <si>
    <t>CHALECO REFLECTIVO CONTROLADOR TALLA L</t>
  </si>
  <si>
    <t>CHALECO REFLECTIVO CONTROLADOR TALLA XL</t>
  </si>
  <si>
    <t>CHALECO REFLECTIVO CONTROLADOR TALLA XXL</t>
  </si>
  <si>
    <t>CHALECO REFLECTIVO CONTROLADOR TALLA XXXL</t>
  </si>
  <si>
    <t>RODILLERAS INDUSTRIALES</t>
  </si>
  <si>
    <t>VISOR CARETA EN POLICARBONATO PARA BASCULANTE  AJUSTABLE A CASCO</t>
  </si>
  <si>
    <t>VISOR CARETA EN MALLA DE GUADAÑAR PARA BASCULANTE AJUSTABLE A CASCO</t>
  </si>
  <si>
    <t xml:space="preserve">BARBUQUEJO DE SUJECCION PARA CASCO </t>
  </si>
  <si>
    <t>05/08/2024</t>
  </si>
  <si>
    <t>CANILLERA ALTA PARA GUADAÑADOR</t>
  </si>
  <si>
    <t xml:space="preserve"> MANGAS EN CARNAZA</t>
  </si>
  <si>
    <t>RECARGA PARA EXTINTOR ABC DE 5 LIBRAS</t>
  </si>
  <si>
    <t>RECARGA PARA EXTINTOR ABC DE 10 LIBRAS</t>
  </si>
  <si>
    <t>RECARGA PARA EXTINTOR ABC DE 20 LIBRAS</t>
  </si>
  <si>
    <t>RECARGA PARA EXTINTOR ABC DE 30 LIBRAS</t>
  </si>
  <si>
    <t>RECARGA PARA EXTINTOR ABC DE 150 LIBRAS, TIPO SATÉLITE</t>
  </si>
  <si>
    <t>RECARGA PARA EXTINTOR DE ACETATO DE POTASIO TIPO K DE 3,5 KILOGRAMESS DE CAPACIDAD</t>
  </si>
  <si>
    <t>EXTINTOR ABC MULTIPROPOSITO DE 5 LIBRAS DE CAPACIDAD</t>
  </si>
  <si>
    <t>EXTINTOR ABC MULTIPROPOSITO DE 10 LIBRAS DE CAPACIDAD</t>
  </si>
  <si>
    <t>EXTINTOR ABC MULTIPROPOSITO DE 20 LIBRAS DE CAPACIDAD</t>
  </si>
  <si>
    <t>EXTINTOR ABC MULTIPROPOSITO DE 30 LIBRAS DE CAPACIDAD</t>
  </si>
  <si>
    <t>EXTINTOR ABC MULTIPROPOSITO DE 150 LIBRAS DE CAPACIDAD</t>
  </si>
  <si>
    <t>EXTINTOR DE ACETATO DE POTASIO TIPO K DE 3,5 KILOGRAMESS DE CAPACIDAD</t>
  </si>
  <si>
    <t>EXTINTOR BC 10 DE LIBRAS</t>
  </si>
  <si>
    <t>MANOMETRO</t>
  </si>
  <si>
    <t>PINTURA EN ESMALTE COLOR ROJO FIESTA X 1GL</t>
  </si>
  <si>
    <t>MANGUERA</t>
  </si>
  <si>
    <t>MANIJA</t>
  </si>
  <si>
    <t>BASE EXTINTOR</t>
  </si>
  <si>
    <t>FORRO PARA EXTINTOR SATELITE 150LB</t>
  </si>
  <si>
    <t>VALVULA</t>
  </si>
  <si>
    <t>DESPRESURIZADO</t>
  </si>
  <si>
    <t>ESPARADRAPO 4 X 5 Y</t>
  </si>
  <si>
    <t>GUANTES LATEZ EXAMEN X 100 UND</t>
  </si>
  <si>
    <t>VENDA ELÁSTICA 2 X5</t>
  </si>
  <si>
    <t>VENDA DE ALGODÓN LAMINADO 3X5</t>
  </si>
  <si>
    <t>TIJERAS PRIMEROS AUXILIOS</t>
  </si>
  <si>
    <t xml:space="preserve">LINTERNA DE DINAMO RECARGA MANUAL </t>
  </si>
  <si>
    <t>09/07/2024</t>
  </si>
  <si>
    <t>TERMOMETRO DIGITAL FLEXIBLE</t>
  </si>
  <si>
    <t>SILBATO EN ALUMINIO MED 10,5 LARGO 1 CM</t>
  </si>
  <si>
    <t>GASAS ESTERILES DE 7,5 X 7,5 X 5</t>
  </si>
  <si>
    <t>BAJALENGUAS X 20 UND</t>
  </si>
  <si>
    <t>SOLUCIÓN SALINA 500 CC</t>
  </si>
  <si>
    <t>CURAS ( CAJA)</t>
  </si>
  <si>
    <t>TAPABOCA TERMOSELLADO DESECHABLE</t>
  </si>
  <si>
    <t>VENDA ELÁSTICA 5 X 5</t>
  </si>
  <si>
    <t>VENDA ELASTICA3 X 5 YARDAS</t>
  </si>
  <si>
    <t>TOALLAS HIGIENICAS</t>
  </si>
  <si>
    <t>OCLUSORES OCULARES</t>
  </si>
  <si>
    <t>SOLUCIÓN YODADA 120 ML</t>
  </si>
  <si>
    <t>MORRAL PARA BOTIQUIN PEQUEÑO</t>
  </si>
  <si>
    <t>PITO</t>
  </si>
  <si>
    <t xml:space="preserve">CAMILLA RIGIDA DE EMERGENCIA PARA PRIMEROS AUXILIOS </t>
  </si>
  <si>
    <t>ARAÑA PARA CAMILLA DE EMERGENCIA</t>
  </si>
  <si>
    <t>INMESVILIZADOR CERVICAL</t>
  </si>
  <si>
    <t>KIT INMESVILIZADOR DE EXTREMIDADES</t>
  </si>
  <si>
    <t>REVISIÓN GENERAL Y LIMPIEZA DE ALCOSENSOR</t>
  </si>
  <si>
    <t>SERVICIO DE REPARACIÓN ALCOSENSOR</t>
  </si>
  <si>
    <t>SERVICIO DE CALIBRACION</t>
  </si>
  <si>
    <t xml:space="preserve">036 - OTROS SERVICIOS OPERACION VIAL </t>
  </si>
  <si>
    <t>05/02/2025</t>
  </si>
  <si>
    <t xml:space="preserve">BOQUILLAS DESECHABLES EN EMPAQUE INDIVIDUAL PARA ALCOHOSENSOR </t>
  </si>
  <si>
    <t>CURSO JEFES DE ÁREA TRABAJO EN ALTURAS</t>
  </si>
  <si>
    <t>CURSO TRABAJADOR AUTORIZADO</t>
  </si>
  <si>
    <t>CURSO REENTRENAMIENTO</t>
  </si>
  <si>
    <t>CURSO COORDINADOR TRABAJO EN ALTURAS</t>
  </si>
  <si>
    <t>CURSO ACTUALIZACIÓN COORDINADOR TRABAJO EN ALTURAS</t>
  </si>
  <si>
    <t>TRANSPORTE CURSO DE ALTURAS</t>
  </si>
  <si>
    <t>11/02/2025</t>
  </si>
  <si>
    <t>CURSO TRANSPORTE DE SUSTANCIAS PELIGROSAS</t>
  </si>
  <si>
    <t>TOALLAS DE MANOS</t>
  </si>
  <si>
    <t>GEL ANTIBACTERIAL</t>
  </si>
  <si>
    <t>FRASCOS DE REENVASE POR 120 ML</t>
  </si>
  <si>
    <t>ALCOHOL AL 70% CUÑETE X 5 GALONES 20 LITROS</t>
  </si>
  <si>
    <t>ARNES DIELECTRICO INSAFE PARA TRABAJO EN ALTURAS CON FAJA LUMBAR CERTIFICADO</t>
  </si>
  <si>
    <t>20/01/2024</t>
  </si>
  <si>
    <t>ESLINGA EN Y DIELECTRICA SIN ABSORVEDOR REGULABLE UNA
ARGOLLA EN REATA DOS GANCHOS ESTRUCTUREROS DE 2 1/4"</t>
  </si>
  <si>
    <t xml:space="preserve">ESLINGA EN "Y" DIELECTRICA INSAFE REGULABLE CON ABSORVEDOR DE ENERGIA </t>
  </si>
  <si>
    <t>ESLINGA DE POSICIONAMIENTO DIELECTRICA INSAFE LONG. 1,8 MTS REF. IN 8041-D</t>
  </si>
  <si>
    <t>ANCLAJE EN RETA UNA RAGOLLA DE 1,6 MTS</t>
  </si>
  <si>
    <t>MESSQUETON DE ACERO EN D DOBLE SEGURO 50 KN</t>
  </si>
  <si>
    <t>MESSQUETON DE ALUMINIO EN D DOBLE SEGURO 50 KN</t>
  </si>
  <si>
    <t>KIT LINEA DE VIDA DE INSAFE DE 20 MTS</t>
  </si>
  <si>
    <t>PRETALES REGULABLE DIELECTRICO</t>
  </si>
  <si>
    <t>CINTURON PORTA HERRAMIENTA EN REATA Y LONA SEIS BOLSILLOS</t>
  </si>
  <si>
    <t>CUERDA SEMIESTATICA DE 10,5 POR METRO</t>
  </si>
  <si>
    <t>FRENO DE CUERDA</t>
  </si>
  <si>
    <t>ASCEDENDOR PUÑO</t>
  </si>
  <si>
    <t>ASCENDEDOR GRIBS</t>
  </si>
  <si>
    <t>DESCENDEDOR ID</t>
  </si>
  <si>
    <t>POLEA SENCILLA EN ALUMINIO</t>
  </si>
  <si>
    <t>POLEA DOBLE EN ALUMINIO</t>
  </si>
  <si>
    <t>SILLA PARA TRABAJO EN ALTURAS</t>
  </si>
  <si>
    <t>MALETIN PARA EQUIPO DE ALTURAS</t>
  </si>
  <si>
    <t>CINTA AUTOFUNDENTE 3M SCOTCH 23</t>
  </si>
  <si>
    <t>CINTA ANTIDESILIZANTE</t>
  </si>
  <si>
    <t>KIT SEÑALIZACIÓN BRAILE</t>
  </si>
  <si>
    <t>KIT SEÑALIZACIÓN IDENTIFICACIÓN RIESGOS 0 PICTOGRAMAS</t>
  </si>
  <si>
    <t>GUANTE PROTECTOR DIELECTRICO CLASE 0 VOLTAJE 0</t>
  </si>
  <si>
    <t>GUANTE ELECTRICISTA CLASE 00 500 V</t>
  </si>
  <si>
    <t>GUANTE PROTECTOR DIELECTRICO CLASE 2 VOLTAJE 2</t>
  </si>
  <si>
    <t>GUANTES DIELÉCTRICOS CLASE 2</t>
  </si>
  <si>
    <t>TAPETE DIELECTRICO</t>
  </si>
  <si>
    <t>BOTILITOS</t>
  </si>
  <si>
    <t>LLAVEROS</t>
  </si>
  <si>
    <t>MESNJAS</t>
  </si>
  <si>
    <t>BLOQUEADOR SOLAR</t>
  </si>
  <si>
    <t>LONCHERAS</t>
  </si>
  <si>
    <t>BOLSAS DE TELA</t>
  </si>
  <si>
    <t>BATERÍA GEL 12V 100AH TB0PLUS</t>
  </si>
  <si>
    <t>INTERCOMUNICADOR IP</t>
  </si>
  <si>
    <t>PANELES SOLARES</t>
  </si>
  <si>
    <t>SWITCH DE COMUNICACIONES</t>
  </si>
  <si>
    <t>MICRO0SWITCH DE PALANCA</t>
  </si>
  <si>
    <t>CONVERSOR DE MEDIOS DUAL NET LINK FIBRA ETHERNET MONO MODO SC</t>
  </si>
  <si>
    <t>07/11/2024</t>
  </si>
  <si>
    <t>DETECTOR DE LOOP</t>
  </si>
  <si>
    <t>ESPIRA ELECTROMAGNETICA</t>
  </si>
  <si>
    <t>SENSORES INFRARROJOS CONJUNTO EMISOR LA61/115  RESEPTOR LK610Z/115</t>
  </si>
  <si>
    <t>MATRIZ DE COLOR AMBAR</t>
  </si>
  <si>
    <t>CAMARA TIPO DOMO PTZ AI 2MP 60FPS ZOOM 25X WDR 120DB H265+ IP66 IR 100M POE+</t>
  </si>
  <si>
    <t>REPOSCION DE PANELES SOLARES</t>
  </si>
  <si>
    <t>CONTROLADOR DE CARGA REGULADOR SOLAR 30AMPS PWN 30AMPS</t>
  </si>
  <si>
    <t>INVERSOR DE CARGA</t>
  </si>
  <si>
    <t>DISCO DURO DE ESTADO SOLIDO 8TB</t>
  </si>
  <si>
    <t>MATRIZ DE COLOR RGB</t>
  </si>
  <si>
    <t>SWITCH DE COMUNICACIÓN/ROUTER</t>
  </si>
  <si>
    <t>ROUTER</t>
  </si>
  <si>
    <t>FUENTE DE ALIMENTACION MEAN WELL DR-45-15 LED DE 15V - 3A CON INPUT: 100-240 VAC - 1.8A Y OUTPUT: +15V - 3.0A</t>
  </si>
  <si>
    <t>27/02/2024</t>
  </si>
  <si>
    <t>RECEIVER</t>
  </si>
  <si>
    <t>HUB R30</t>
  </si>
  <si>
    <t>HUB 75</t>
  </si>
  <si>
    <t>CONTROLADOR MESDBUS TCP</t>
  </si>
  <si>
    <t>CONTROLADOR LED ROCH K10</t>
  </si>
  <si>
    <t>CAMARA OCR</t>
  </si>
  <si>
    <t>LASER DE PUNTOS DECTECTOR DE SOBRECATEGORIZACION</t>
  </si>
  <si>
    <t>PANEL DE SEÑAL OCULTA</t>
  </si>
  <si>
    <t>BOCINA DE ALARMA</t>
  </si>
  <si>
    <t>ANTENA GP TRANSMISORA FMUSER FM GP100 AL AIRE LIBRE</t>
  </si>
  <si>
    <t>READER RFID</t>
  </si>
  <si>
    <t>SENSOR LEADER ENTRADA Y SENTIDO DE CARRIL</t>
  </si>
  <si>
    <t>LICENCIA OCR</t>
  </si>
  <si>
    <t>SEMAFORO CRUZ 0 FLECHA</t>
  </si>
  <si>
    <t>TARJETA I/O</t>
  </si>
  <si>
    <t>DISCO SSD 1TB</t>
  </si>
  <si>
    <t>PERFILES DE PEANAS</t>
  </si>
  <si>
    <t>PEANA 1900MM</t>
  </si>
  <si>
    <t>UPS UNITEC REF. U-650 650VA</t>
  </si>
  <si>
    <t>CONTACTOR CTX3 100 75A,3P, TYPE AC</t>
  </si>
  <si>
    <t>2NO, 2NC MARCA LEGRAND</t>
  </si>
  <si>
    <t>CONTACTOR CF 22E,240 V,2NO,2NC</t>
  </si>
  <si>
    <t>MARCA ALLEN BRADLEY</t>
  </si>
  <si>
    <t>VIGILANTE DE TENSIÓN 480VAC MARCA WEG</t>
  </si>
  <si>
    <t>CONTACTOR CTX3 22 32A, 3P,TYPE AC MARCA LEGRAND</t>
  </si>
  <si>
    <t>TRANSFORMADOR DE CONTROL PURO MONOFASICO SECO DE 500 VA, BIFASICO 490/224V MARCA EL WATTIO</t>
  </si>
  <si>
    <t>18/06/2024</t>
  </si>
  <si>
    <t>CONTACTOR CTX3 22 40A, 3P, TYPE AC MARCA LEGRAND</t>
  </si>
  <si>
    <t>CONTACTOR CTX3 22 12A,3P,TYPE AC MARCA LEGRAND</t>
  </si>
  <si>
    <t>RELÉ EBCHQ 10A 250V</t>
  </si>
  <si>
    <t>CABLE NO, 18 ROJO POR ROLLO DE 100M</t>
  </si>
  <si>
    <t>LUMINARIA LED SYLVANIA SYL-STREET DE 66 - 100W REF. P25902</t>
  </si>
  <si>
    <t>16/05/2024</t>
  </si>
  <si>
    <t>FOTOCELDA CON BASE 110/220 V</t>
  </si>
  <si>
    <t>CONECTOR DE TORNILLO DE PERFORACION DE CHAQUETA AISLADA PRINCIPAL 8 A 300 0 DERIVACION 2 A 12</t>
  </si>
  <si>
    <t>CABLE 3X12 CU</t>
  </si>
  <si>
    <t>FUSIBLE HILO 5A 0 15KV TIPO K</t>
  </si>
  <si>
    <t>FUSIBLE HILO 10A 0 15KV TIPO K STAVOL</t>
  </si>
  <si>
    <t>CABLE RED TRENZADA 3X4+4 AWG</t>
  </si>
  <si>
    <t>CABLE DE COBRE ENCAUCHETADO 3 X 8 AWG METRO</t>
  </si>
  <si>
    <t>CABLE DE COBRE ENCAUCHETADO 3 X 12 AWG METRO</t>
  </si>
  <si>
    <t>POSTE EN CONCRETO 10 M 1050</t>
  </si>
  <si>
    <t>GRAPA DE RETENCION PARA RED TRENZADA</t>
  </si>
  <si>
    <t>GRAPA DE SUSPENSION PARA RED TRENZADA</t>
  </si>
  <si>
    <t>PRETALES DIELECTRICOS</t>
  </si>
  <si>
    <t>LINEA DE VIDA/TRABAJO CUERDA 11MM</t>
  </si>
  <si>
    <t>KIT DE RESCATE PARA TRABAJO EN ALTURAS</t>
  </si>
  <si>
    <t>TAPETE DIELECTRICO CLASE 2 DE SEGURIDAD 1 X1 MT</t>
  </si>
  <si>
    <t xml:space="preserve">GUANTE DIELECTRICO CLASE 2 ELSEC 20 TALLA 9 </t>
  </si>
  <si>
    <t>BASCULANTE ADAPTABLE AL CASCO PARA VISOR EN POLICARBONATO O VISOR EN MALLA</t>
  </si>
  <si>
    <t>LINTERNA LED DE CABEZA RECARGABLE LINTERNA MINERA 2000 LUMEN</t>
  </si>
  <si>
    <t>ESCALERA DIELECTRICA</t>
  </si>
  <si>
    <t>TALADRO INHALAMBRICO 24 V</t>
  </si>
  <si>
    <t>BOMBA SUMERGIBLE 1/2 HP</t>
  </si>
  <si>
    <t>PERTIGA FIBRA 12 M</t>
  </si>
  <si>
    <t>TELUROMETRO</t>
  </si>
  <si>
    <t>PINZA AMPERIMETRICA</t>
  </si>
  <si>
    <t>DETECTOR DE TENSIÓN PARA PERTIGA</t>
  </si>
  <si>
    <t>PONCHADORA HIDRAUILICA</t>
  </si>
  <si>
    <t>JUEGO DE DESTORNILLADORES AISLADOS 1000V</t>
  </si>
  <si>
    <t>CORTAFRIOS</t>
  </si>
  <si>
    <t>ALICATES AISLADOS 1000V</t>
  </si>
  <si>
    <t>JUEGO DE LLAVES MIXTAS 4MM A LA 24MM</t>
  </si>
  <si>
    <t>JUEGO DE RACHE CON COPAS DE 4MM A LA 24MM</t>
  </si>
  <si>
    <t>JUEGO DE LLAVES BRISTOL EN MILIMETROS</t>
  </si>
  <si>
    <t>JUEGO DE LLAVES TORX</t>
  </si>
  <si>
    <t xml:space="preserve">ARCO MARCO PARA SEGUETA 12" STANLEY </t>
  </si>
  <si>
    <t>TORQUIMETRO DE 10NM A 120NM</t>
  </si>
  <si>
    <t>BISTURI INDUSTRIAL</t>
  </si>
  <si>
    <t>JUEGO DE ATORNILLADORES DE PRECISION PEQUEÑOS</t>
  </si>
  <si>
    <t>ZUNCHADORA</t>
  </si>
  <si>
    <t>SONDA 30 METROS</t>
  </si>
  <si>
    <t>LLAVE EXPANSIVA AJUSTABLE CROMADA 12" STANLEY</t>
  </si>
  <si>
    <t>HOMBRESOLO 10R VISE GRIP IRWIN</t>
  </si>
  <si>
    <t>CAJA METALICA PORTA HERRAMIENTA</t>
  </si>
  <si>
    <t>PAPELERIA</t>
  </si>
  <si>
    <t>17/11/2023</t>
  </si>
  <si>
    <t>CAFETERIA Y ASEO</t>
  </si>
  <si>
    <t>ASEO</t>
  </si>
  <si>
    <t>SERVICIO DE RESTAURANTE ATENCION VISITAS O REUNIONES</t>
  </si>
  <si>
    <t>24/12/2023</t>
  </si>
  <si>
    <t>ARRIENDO BODEGA GUATEQUE</t>
  </si>
  <si>
    <t>MANTENIMIETNO CONTENEDORES</t>
  </si>
  <si>
    <t>MANTENIMIENTO INSTALACIONES</t>
  </si>
  <si>
    <t>MOBILIARIO</t>
  </si>
  <si>
    <t>NORMAS ISO</t>
  </si>
  <si>
    <t>ARRENDAMIENTO ARCHIVO INACTIVO</t>
  </si>
  <si>
    <t>ACTIVIDADES DE BIENESTAR</t>
  </si>
  <si>
    <t>EXAMENES MEDICOS</t>
  </si>
  <si>
    <t xml:space="preserve">019 - EXAMENES MEDICOS DE INGRESO Y EGRESO </t>
  </si>
  <si>
    <t>HERRAMIENTAS TI</t>
  </si>
  <si>
    <t xml:space="preserve">MANTENIMIENTO DE EQUIPOS DE COMPUTO </t>
  </si>
  <si>
    <t>SERVICIO TELEFONIA SEDE BOGOTA</t>
  </si>
  <si>
    <t>LINEAS MOVILES CORPORATIVAS</t>
  </si>
  <si>
    <t>SERVICIO FIRMA DIGITAL</t>
  </si>
  <si>
    <t>SERVICIO MI FACTURA</t>
  </si>
  <si>
    <t>EQUIPOS Y PERIFERICOS TECNOLOGIA</t>
  </si>
  <si>
    <t>096 - EQUIPO DE COMPUTACION</t>
  </si>
  <si>
    <t>27/02/2025</t>
  </si>
  <si>
    <t>DOTACION ADMIN</t>
  </si>
  <si>
    <t>113 - DOTACION ADMIN</t>
  </si>
  <si>
    <t>SUSCRIPCION CCI</t>
  </si>
  <si>
    <t>CAJA MENOR</t>
  </si>
  <si>
    <t xml:space="preserve">H - CAJA MENOR </t>
  </si>
  <si>
    <t>HONORARIOS POR PROCESO DE EXPROPIACION JUDICIAL</t>
  </si>
  <si>
    <t>063 - PREDIAL</t>
  </si>
  <si>
    <t>05/12/2023</t>
  </si>
  <si>
    <t>NOMINA</t>
  </si>
  <si>
    <t>062 - NOMINA</t>
  </si>
  <si>
    <t>CHARLAS</t>
  </si>
  <si>
    <t>REUNIONES</t>
  </si>
  <si>
    <t>IMPRESIONES</t>
  </si>
  <si>
    <t>SERVICIOS</t>
  </si>
  <si>
    <t>SUMINISTROS</t>
  </si>
  <si>
    <t>REPOSICION DE CONJUNTO DE BATERIAS</t>
  </si>
  <si>
    <t>PARCHEO</t>
  </si>
  <si>
    <t>064 - BACHEO</t>
  </si>
  <si>
    <t>BACHEO</t>
  </si>
  <si>
    <t>25/12/2023</t>
  </si>
  <si>
    <t>CONSULTORIAS MEDICION DE TEXTURA</t>
  </si>
  <si>
    <t>CONSULTORIAS MEDICION DE IRI</t>
  </si>
  <si>
    <t>CONSULTORIAS CAPACIDAD ESTRUCTURAL</t>
  </si>
  <si>
    <t>CONSULTORIAS EFICIENCIA EN LA TRANSFERENCIA DE CARGA</t>
  </si>
  <si>
    <t>ATENCION PQRS</t>
  </si>
  <si>
    <t>CONSULTORIA EXTERNA DE SEGURIDAD VIAL</t>
  </si>
  <si>
    <t>DEMARCACION HORIZONTAL</t>
  </si>
  <si>
    <t>065 - PINTURA</t>
  </si>
  <si>
    <t>DEMARCACION DE PICTORAMAS</t>
  </si>
  <si>
    <t>DEMARCACION ZONA DE PEAJES</t>
  </si>
  <si>
    <t>DEMARCACION ZONA DE PESAJES</t>
  </si>
  <si>
    <t>DEMARCACION CCO</t>
  </si>
  <si>
    <t>LAVADO DE PASOS URBANOS PARA DEMARCACION VIAL</t>
  </si>
  <si>
    <t>ALOJAMIENTO</t>
  </si>
  <si>
    <t>SEÑALIZACION VERTICAL</t>
  </si>
  <si>
    <t>067 - AVISOS &amp; DEFENSAS</t>
  </si>
  <si>
    <t>REPOSICION DE DEFENSAS METALICAS POR ACCIDENTES E INCIDENTES</t>
  </si>
  <si>
    <t>POSTE DE CERCA DE PREDIOS</t>
  </si>
  <si>
    <t>ARREGLO DE PARADEROS</t>
  </si>
  <si>
    <t>INSTALACION DE ELEMENTOS REFLECTIVOS EN ALCANTARILLAS</t>
  </si>
  <si>
    <t>SEÑALIZACION DE APROXIMACION CONTROLES VIALES</t>
  </si>
  <si>
    <t>ELEMENTOS DE SEGURIDAD VIAL</t>
  </si>
  <si>
    <t>ADECUACION DE ACCESIBILIDAD</t>
  </si>
  <si>
    <t>INSTALACION DE ESTOPEROLES</t>
  </si>
  <si>
    <t>ESTUDIOS Y DISEÑOS GEOTECNICOS</t>
  </si>
  <si>
    <t>PINTURA DE NEW JERSEY</t>
  </si>
  <si>
    <t>REPARACION DE MUROS DE GAVION</t>
  </si>
  <si>
    <t>INSTALACION DE ELEMENTOS REFLECTIVOS CAPTAFAROS EN DEFENSA</t>
  </si>
  <si>
    <t>SELLOS DE FISURAS EN BERNA CUNETA</t>
  </si>
  <si>
    <t>CONSTRUCCION Y REPARACION DE BERMA CUNETA</t>
  </si>
  <si>
    <t>REJILLA TAPA DE CONCRETO CON MEDIDAS DE 83.5 x 45.5 x14</t>
  </si>
  <si>
    <t>PINTURA DE CABEZALES</t>
  </si>
  <si>
    <t>CONSTRUCCION Y REPARACION DE ALCANTARILLAS BOX</t>
  </si>
  <si>
    <t>HERRAMIENTAS ACTIVIDADES RUTINARIAS</t>
  </si>
  <si>
    <t>PROTECCION DE CORRIENTES LIMPIEZA DE CAUSES</t>
  </si>
  <si>
    <t>069 - LIMPIEZA DE ALCANTARILLAS</t>
  </si>
  <si>
    <t>TAPAS DE POZOS</t>
  </si>
  <si>
    <t>SUMIDEROS</t>
  </si>
  <si>
    <t>MANTENIMIENTO DE TALUDES CONTRACTUAL</t>
  </si>
  <si>
    <t>070 - MANTENIMIENTO DE TALUDES</t>
  </si>
  <si>
    <t>13/12/2023</t>
  </si>
  <si>
    <t>DESPEDRADO DE TALUDES</t>
  </si>
  <si>
    <t>ALQUILER MAQUINARIA INCIDENTES IMPREVISTOS</t>
  </si>
  <si>
    <t>INSTRUMENTACION SITIOS INESTABLES</t>
  </si>
  <si>
    <t>FICHAS SIPUCOL</t>
  </si>
  <si>
    <t>071 - MANTENIMIENTO DE PUENTES</t>
  </si>
  <si>
    <t>PINTURA DE BARANDAS (INCLUYE LIMPIEZA)</t>
  </si>
  <si>
    <t>CONCRETO CICLOPEO PARA RECALCE EN SOCAVACION</t>
  </si>
  <si>
    <t>CONCRETO DE 28MPA PARA REPARACION</t>
  </si>
  <si>
    <t>REPARACION DE BARANDAS</t>
  </si>
  <si>
    <t>PARCHEO PUENTES</t>
  </si>
  <si>
    <t>SELLO DE FISURAS EN PAVIMENTO</t>
  </si>
  <si>
    <t>072 - SELLOS Y FISURAS</t>
  </si>
  <si>
    <t>LAVADO DE TUNELES</t>
  </si>
  <si>
    <t>073 - MANTENIMIENTO DE TUNELES</t>
  </si>
  <si>
    <t>INSTALACION DE TACHAS</t>
  </si>
  <si>
    <t>066 - TACHAS</t>
  </si>
  <si>
    <t>INSTALACION DE CAPTAFAROS</t>
  </si>
  <si>
    <t>CORRECCION DE ESCALONAMIENTO</t>
  </si>
  <si>
    <t>SELLO DE GRIETAS</t>
  </si>
  <si>
    <t>REPARACION DE DESPOSTILLAMIENTOS DE JUNTAS</t>
  </si>
  <si>
    <t>REPOSICION DETERERIO DE SELLOS DE JUNTAS</t>
  </si>
  <si>
    <t>TRANSFERENCIA DE CARGA</t>
  </si>
  <si>
    <t>AJUSTE RIGUROSIDAD LONGITUDINAL(IRI)</t>
  </si>
  <si>
    <t>CONSTRUCCION DE PLACAS (IRI)</t>
  </si>
  <si>
    <t>REPOSICION GEOMEMBRANA</t>
  </si>
  <si>
    <t>CONCRETO LANZADO EN ARCO DE TUNELES</t>
  </si>
  <si>
    <t>EMPRESAS DE MANTENIMIENTO ROCERIA</t>
  </si>
  <si>
    <t>074 - ROCERIA</t>
  </si>
  <si>
    <t>14/12/2023</t>
  </si>
  <si>
    <t>VEHICULO CAMION WGQ-777</t>
  </si>
  <si>
    <t>VEHICULO CAMION CARRO PINTURA GES-325</t>
  </si>
  <si>
    <t>VEHICULO SZO-158</t>
  </si>
  <si>
    <t>VEHICULO SZO-167</t>
  </si>
  <si>
    <t>DOTACION MANTENIMIENTO VIAL</t>
  </si>
  <si>
    <t>111 - DOTACION MTO VIAL</t>
  </si>
  <si>
    <t>LICENCIAS OFFICE 365</t>
  </si>
  <si>
    <t>LICENCIAS AUTODESK</t>
  </si>
  <si>
    <t>LINEAS MOVILES</t>
  </si>
  <si>
    <t>CAJA MENOR MANTENIMIENTO VIAL</t>
  </si>
  <si>
    <t xml:space="preserve">INSUMOS PARA CAPACITACION </t>
  </si>
  <si>
    <t xml:space="preserve">CONSULTORIA Y/O ASESORIA </t>
  </si>
  <si>
    <t xml:space="preserve">ATENCIÓN A VISITAS Y EVENTOS </t>
  </si>
  <si>
    <t xml:space="preserve">PAGOS POR CIERRE DE PERMISOS </t>
  </si>
  <si>
    <t>SEÑALES</t>
  </si>
  <si>
    <t>ACTIVIDADES DE GESTIÓN DE RESIDUOS SOLIDOS CONVENCIONALES JUNTO A COMUNIDAD</t>
  </si>
  <si>
    <t>REPOSICION DE MICROSWITCH DE PALANCA</t>
  </si>
  <si>
    <t>Guillermo Rodriguez</t>
  </si>
  <si>
    <t>REPOSICION DE MICROSWITCH  DE PALANCA (BATERIAS, PANELES)</t>
  </si>
  <si>
    <t>REPOSICION DE CONTROLADOR DE CARGA</t>
  </si>
  <si>
    <t>REPOSICION DE INTERCOMUNICADOR IP</t>
  </si>
  <si>
    <t>REPOSICION DE SWITCH DE COMUNICACIONES</t>
  </si>
  <si>
    <t>PTAP PESAJE UF1</t>
  </si>
  <si>
    <t>SENSORES INFRARROJOS CONJUNTO</t>
  </si>
  <si>
    <t>CAMARA TPZ HIKVISION</t>
  </si>
  <si>
    <t>VISITAS DE PROVEEDOR / MANTENIMIENTOS CORRECTIVOS</t>
  </si>
  <si>
    <t>TANQUE DE AGUA</t>
  </si>
  <si>
    <t xml:space="preserve">RECARGA DE EXTINTORES </t>
  </si>
  <si>
    <t>CAMPAÑA SST</t>
  </si>
  <si>
    <t>MANTENIMIENTO Y/O REPOSICION DE EQUIPOS DE ALTURAS</t>
  </si>
  <si>
    <t>SARABIA BRAVO CALIBRACION DE SENSORES DE ALCOHOLEMIA</t>
  </si>
  <si>
    <t>PRUEBAS DE ALCOHOLEMIA Y LABORATORIO</t>
  </si>
  <si>
    <t>ARRIENDO PREDIO SOMONDOCO - SISTEMA DE RADIOCOMUNICACIONES</t>
  </si>
  <si>
    <t>07/12/2023</t>
  </si>
  <si>
    <t>POLIZAS</t>
  </si>
  <si>
    <t>10/12/2023</t>
  </si>
  <si>
    <t>CONSULTA DE LISTAS RESTRICTIVAS</t>
  </si>
  <si>
    <t>COMISION CREDICORP</t>
  </si>
  <si>
    <t>076 - COMISION CREDICORP</t>
  </si>
  <si>
    <t>SUPERTRANSPORTE</t>
  </si>
  <si>
    <t xml:space="preserve">075 - SUPER TRANSPORTE </t>
  </si>
  <si>
    <t>COMISION DE DISPONIBILIDAD</t>
  </si>
  <si>
    <t>011 - COMISIONES DE DISPONIBILIDAD</t>
  </si>
  <si>
    <t>COMISION DE LINEA DE LIQUIDEZ</t>
  </si>
  <si>
    <t>008 - COMISION DE LINEA DE LIQUIDEZ</t>
  </si>
  <si>
    <t>INTERESES DEUDA SENIOR</t>
  </si>
  <si>
    <t>026 - INTERESES DEUDA SENIOR</t>
  </si>
  <si>
    <t>INTERESES DEUDA SUBORDINADA</t>
  </si>
  <si>
    <t>027 - INTERESES DEUDA SUBORDINADA</t>
  </si>
  <si>
    <t>DIFERENCIA CAMBIO UVR</t>
  </si>
  <si>
    <t>056 - VALORACION DE UVR</t>
  </si>
  <si>
    <t>SEGURO TODO RIESGO</t>
  </si>
  <si>
    <t>REVISION TECNICO MECANICA VEHICULOS</t>
  </si>
  <si>
    <t>MANTENIMIENTO PREVENTIVO</t>
  </si>
  <si>
    <t>17/05/2024</t>
  </si>
  <si>
    <t>MANTENIMIENTO CORRECTIVO</t>
  </si>
  <si>
    <t>BATERIA VEHICULO</t>
  </si>
  <si>
    <t>LAVADO VEHICULOS</t>
  </si>
  <si>
    <t>SERVICIO MONTALLANTAS</t>
  </si>
  <si>
    <t>OBRA TODO COSTO</t>
  </si>
  <si>
    <t>GEOCONTENEDOR BOLSA ESTRUCTURAL TEXTIL ESPECIAL / DIMENSIONES: 4.5 X 2.5 X 1.3 METROS</t>
  </si>
  <si>
    <t>19/07/2024</t>
  </si>
  <si>
    <t>CABLEADO UTP Y FO PARA COMUNICACIÓN EN SUBSISTEMAS</t>
  </si>
  <si>
    <t>SERVICIO DE INSTALACION</t>
  </si>
  <si>
    <t xml:space="preserve">SERVICIO DE INSTALACION DE PEANAS, NUEVOS PERFIELES </t>
  </si>
  <si>
    <t>REPOSICION DE UPS 10kVA</t>
  </si>
  <si>
    <t xml:space="preserve">BANCO DE BATERIAS PARA UPS </t>
  </si>
  <si>
    <t>KIT ELEMENTOS DE LIMPIEZA Y REPARACIÓN ELECTRONICA (Estaño, Cautin, Limpiador de Contactos)</t>
  </si>
  <si>
    <t>ELEMENTOS PARA RACK DE COM. PPAL (SERVIDORES)</t>
  </si>
  <si>
    <t>MANTENIMIENTO UPS- 2 DE 15 Kva</t>
  </si>
  <si>
    <t>MANTENIMIENTO SEÑALES ORIENTATIVAS (Baterías y Touch)</t>
  </si>
  <si>
    <t>ARRIENDO PREDIO CALICHANA - SISTEMA DE RADIOCOMUNICACIONES</t>
  </si>
  <si>
    <t xml:space="preserve">EQUIPAMIENTO Y HERRAMIENTAS </t>
  </si>
  <si>
    <t>CURSOS Y CAPACITACION DEL PERSONAL</t>
  </si>
  <si>
    <t>SERVICIO DE TRANSPORTE EQUIPO DE SUCCIÓN DE PRESIÓN PARA MANTENIMIENTO DEL POZO SÉPTICO DEL C.C.O.</t>
  </si>
  <si>
    <t>INSUMOS PTAR C.C.O - BASE DE OPERACIONES  No. 1 - AREA DE SERVICIOS No. 1</t>
  </si>
  <si>
    <t xml:space="preserve"> SERVICIO RECOLECCIÓN RESIDUOS SÓLIDOS</t>
  </si>
  <si>
    <t>SERVICIO DE ENERGÍA C.C.O</t>
  </si>
  <si>
    <t>SERVICIO ENERGIA EDIFICIOS</t>
  </si>
  <si>
    <t>SERVICIO DE AMBULANCIA TAM, CON EQUIPOS DE EXTRICACION VEHICULAR</t>
  </si>
  <si>
    <t>FORMATOS DE SERVICIOS ATENCIÒN USUARIOS</t>
  </si>
  <si>
    <t xml:space="preserve"> MANTENIMIENTO DE VALLAS PROYECTO Y DE SERVICIOS</t>
  </si>
  <si>
    <t>CANECAS PLASTICAS (CAMPANAS CON  REFLECTIVOS)</t>
  </si>
  <si>
    <t xml:space="preserve">BARRERA O MALETIN PLASTICO GRANDE CON REFLECTIVO </t>
  </si>
  <si>
    <t>COLOMBINA PLASTICA O SEÑALIZADOR TUBULAR CONICO APILABLE BASE NEGRA CON TRES FRANJAS REFLECTIVAS</t>
  </si>
  <si>
    <t>CINTA DE SEÑALIZACIÓN (PELIGRO - NO PASE) X 500 M</t>
  </si>
  <si>
    <t xml:space="preserve">SEÑALES PREVENTIVAS EVENTOS ESPECIALES </t>
  </si>
  <si>
    <t>28/07/2025</t>
  </si>
  <si>
    <t>HERRAMIENTAS MANUALES  (PALAS, ESCOBONES, MACHETAS)</t>
  </si>
  <si>
    <t>ELEMENTOS DE AMARRE GRUAS</t>
  </si>
  <si>
    <t>HIDRATACIÓN PERSONAL</t>
  </si>
  <si>
    <t xml:space="preserve">ALIMENTACION </t>
  </si>
  <si>
    <t>13/03/2025</t>
  </si>
  <si>
    <t>REPOSICION INSUMOS ENFERMERIAS AREA DE SERVICIO No. 1 y No.2</t>
  </si>
  <si>
    <t>PASO SEGURO 01</t>
  </si>
  <si>
    <t>INTERSECCIÓN CHOCONTÁ</t>
  </si>
  <si>
    <t>PASO SEGURO 02</t>
  </si>
  <si>
    <t>PASO SEGURO 03</t>
  </si>
  <si>
    <t>PASO SEGURO 04</t>
  </si>
  <si>
    <t>PASO SEGURO 5 - INTERSECCIÓN ÚMBITA</t>
  </si>
  <si>
    <t>PASO SEGURO 6 - INTERSECCIÓN MANTA</t>
  </si>
  <si>
    <t>PASO SEGURO 7 - INTERSECCIÓN TIBIRITA</t>
  </si>
  <si>
    <t>PEAJES</t>
  </si>
  <si>
    <t>CONVERTIDOR DE MEDIOS TP-LINK WDM 10/100MBPS MC111CS</t>
  </si>
  <si>
    <t>PMV 01</t>
  </si>
  <si>
    <t>PMV 02</t>
  </si>
  <si>
    <t>PMV 04</t>
  </si>
  <si>
    <t>PMV 05</t>
  </si>
  <si>
    <t>ETD 01</t>
  </si>
  <si>
    <t>STOCK PARA LUMINARIAS E14</t>
  </si>
  <si>
    <t>MANTENIMIENTO TABLEROS ELECTRICOS PEAJE &amp; PESAJE MACHETA</t>
  </si>
  <si>
    <t>MANTENIMIENTO TRANSFERENCIAS ELECTRICAS PEAJE &amp; PESAJE MACHETA</t>
  </si>
  <si>
    <t>MANTENIMIENTO DE SPT PROYECTOS DE ILUMINACION</t>
  </si>
  <si>
    <t>MANTENIMIENTO DE SPT Y APANTALLAMIENTO ESTACION DE PEAJE MACHETA</t>
  </si>
  <si>
    <t>MANTENIMIENTO DE SPT Y APANTALLAMIENTO ESTACIÓN DE PESAJE MACHETA</t>
  </si>
  <si>
    <t>REPARACIONES Y REPOSICIÓN DE CABLEADO</t>
  </si>
  <si>
    <t>MANTENIMIENTO DE ESTRUCTURAS DE RETENCIÓN Y SUSPENSIÓN</t>
  </si>
  <si>
    <t xml:space="preserve">SISTEMA CONTROL DE TÚNELES </t>
  </si>
  <si>
    <t>PMV 06</t>
  </si>
  <si>
    <t xml:space="preserve">TÚNEL LAS JUNTAS </t>
  </si>
  <si>
    <t xml:space="preserve">TÚNEL POZO AZUL </t>
  </si>
  <si>
    <t xml:space="preserve">TÚNEL EL INFIERNO </t>
  </si>
  <si>
    <t xml:space="preserve">TÚNEL EL VOLADOR </t>
  </si>
  <si>
    <t>SUMINISTRO  DE LUMINARIAS</t>
  </si>
  <si>
    <t>REPARACIÓN Y MANTENIMIENTO LUMINARIAS</t>
  </si>
  <si>
    <t>MANTENIMIENTO TABLEROS ELÉCTRICOS C.C.O Y S/E TÚNELES UF2</t>
  </si>
  <si>
    <t>MANTENIMIENTO TRANSFERENCIAS ELECTRICAS C.C.O Y S/E TUNELES UF2</t>
  </si>
  <si>
    <t>MANTENIMIENTO DE SPT Y APANTALLAMIENTO EDIFICIO C.C.O</t>
  </si>
  <si>
    <t>MANTENIMIENTO DE SPT Y APANTALLAMIENTO S/E TÚNELES UF2</t>
  </si>
  <si>
    <t>TÚNEL TRAPICHE/SALITRE</t>
  </si>
  <si>
    <t xml:space="preserve">TÚNEL VENTARRON </t>
  </si>
  <si>
    <t>TÚNEL EL POLVORÍN I - AGUAS ARRIBA</t>
  </si>
  <si>
    <t>TÚNEL POLVORÍN II - LA ESMERALDA</t>
  </si>
  <si>
    <t>MANTENIMIENTO TABLEROS ELÉCTRICOS S/E TÚNELES UF3</t>
  </si>
  <si>
    <t>MANTENIMIENTO TRANSFERENCIAS ELÉCTRICAS   S/E TÚNELES UF3</t>
  </si>
  <si>
    <t>PMV 08</t>
  </si>
  <si>
    <t>PMV 09</t>
  </si>
  <si>
    <t>ETD 03</t>
  </si>
  <si>
    <t>ETD 04</t>
  </si>
  <si>
    <t>AUXILIOS ECONOMICOS POLCA</t>
  </si>
  <si>
    <t>057 - VIATICOS POLICIA</t>
  </si>
  <si>
    <t>06/02/2025</t>
  </si>
  <si>
    <t>MANTENIMIENTO TABLEROS ELECTRICOS PEAJE &amp; PESAJE SLG</t>
  </si>
  <si>
    <t>Mantenimiento Transferencias Electricas Peaje &amp; Pesaje SLG</t>
  </si>
  <si>
    <t>15/04/2025</t>
  </si>
  <si>
    <t>MANTENIMIENTO DE SPT Y APANTALLAMIENTO PROYECTOS DE ILUMINACIÓN</t>
  </si>
  <si>
    <t>MANTENIMIENTO DE SPT Y APANTALLAMIENTO ESTACIÓN DE PEAJE SLG</t>
  </si>
  <si>
    <t>MANTENIMIENTO PATRULLAS NISSAN URBAN</t>
  </si>
  <si>
    <t>MANTENIMIENTO DE SPT Y APANTALLAMIENTO ESTACIÓN DE PESAJE SLG</t>
  </si>
  <si>
    <t>MANTENIMIENTO PATRULLAS TOYOTA HILUX PICKUP</t>
  </si>
  <si>
    <t>MANTENIMIENTO PATRULLAS MOTOCICLETAS SUZUKI 650 CC</t>
  </si>
  <si>
    <t>CINTA Y ELEMENTOS DE MANO</t>
  </si>
  <si>
    <t>MANTENIMIENTO Y CALIBRACION ALCOHOSENSORES</t>
  </si>
  <si>
    <t xml:space="preserve">MANTENIMIENTO Y CALIBRACION DE RADARES </t>
  </si>
  <si>
    <t>DIFUSIÓN PUBLICACIONES E IMPRESOS</t>
  </si>
  <si>
    <t>OTROS POLCA</t>
  </si>
  <si>
    <t>SUMINISTRO E INSTALACIÓN DE LUMINARIAS ACCURATE</t>
  </si>
  <si>
    <t>KIT COMPARENDERAS ELECTRONICAS + IMPRESORAS TERMICAS</t>
  </si>
  <si>
    <t>KIT PUESTO DE CONTROL</t>
  </si>
  <si>
    <t>OPERACION INTEGRAL ESTACIÓN DE PEAJE MACHETA</t>
  </si>
  <si>
    <t>CARPAS 4X4 MTS</t>
  </si>
  <si>
    <t>VALOR ADICIONAL TERCER CARRIL (SOLO FIN DE SEMANA DE 06:00 A 22:00 HORAS)</t>
  </si>
  <si>
    <t xml:space="preserve">KIT CRIMINALISTICA </t>
  </si>
  <si>
    <t>GAFAS ANTIESQUIRLA</t>
  </si>
  <si>
    <t>SERVICIO ALQUILER DATAFONOS PARA PAGOS TARJETAS - CREDIBANCO</t>
  </si>
  <si>
    <t>EPPS</t>
  </si>
  <si>
    <t xml:space="preserve">COMISION INTEROPERABILIDAD IP/RED CARRILES AUTOMÁTICOS </t>
  </si>
  <si>
    <t>IMPERMEABLES POLCA</t>
  </si>
  <si>
    <t>TIQUETES PREPAGADOS - CLIENTES EXTERNOS E INTERNOS</t>
  </si>
  <si>
    <t>BRAZALETE POLCA</t>
  </si>
  <si>
    <t>ACTUALIZACIÓN VALORES VALLAS TARIFARIAS</t>
  </si>
  <si>
    <t>GUANTES DE REGULACION</t>
  </si>
  <si>
    <t>CHAQUETAS REFLECTIVAS POLCA</t>
  </si>
  <si>
    <t>CASCOS ABATIBLES</t>
  </si>
  <si>
    <t xml:space="preserve">SERVICIO DE ACUEDUCTO  PEAJE MACHETA </t>
  </si>
  <si>
    <t xml:space="preserve">SERVICIO DE ENERGÍA  PEAJE MACHETA </t>
  </si>
  <si>
    <t>SERVICIO TRATAMIENTO Y DISPOSICIÓN DE RESIDUOS LIQUIDOS CON  EQUIPO DE SUCCIÓN DE PRESIÓN PARA MANTENIMIENTO DEL POZO SÉPTICO.</t>
  </si>
  <si>
    <t>MANTENIMIENTO AIRE ACONDICIONADO SALA DE SISTEMAS Y RACK</t>
  </si>
  <si>
    <t>MANTENIMIENTO CAJA FUERTE DUPLEX</t>
  </si>
  <si>
    <t>CINTA REFLECTIVA BLANCA ROJA, PARA SEÑALIZAR BRAZOS DE TALANQUERAS</t>
  </si>
  <si>
    <t>SEÑALIZACIÓN BRAILLER ACCESIBILIDAD</t>
  </si>
  <si>
    <t>REPOSICIÓN TALANQUERAS</t>
  </si>
  <si>
    <t>DAÑOS CABINAS DE RECAUDO</t>
  </si>
  <si>
    <t>LAMPARAS TIPO LED OFICINAS ADMINISTRATIVAS Y CABINAS DE RECAUDO SLG</t>
  </si>
  <si>
    <t>ELEMENTOS CONSUMIBLES Y DE REPOSICIÓN</t>
  </si>
  <si>
    <t>EQUIPOS Y ELEMENTOS ELECTRÓNICOS PARA CARRILES Y VÍAS</t>
  </si>
  <si>
    <t>CERTIFICACIÓN CALIBRACIÓN</t>
  </si>
  <si>
    <t>CERTIFICACIÓN BASCULA CONFORME METROLEGAL</t>
  </si>
  <si>
    <t>PATRULLAS - PICK UP</t>
  </si>
  <si>
    <t>SERVICIO DE ENERGÍA  PESAJE MACHETA</t>
  </si>
  <si>
    <t>PATRULLAS - PANEL</t>
  </si>
  <si>
    <t>MANTENIMIENTO PINTURA PLATAFORMA ESTÁTICA</t>
  </si>
  <si>
    <t>MOTOCICLETAS 650 PISTERA</t>
  </si>
  <si>
    <t>RADIOTELEFONOS</t>
  </si>
  <si>
    <t>CAMARAS MONOFONO</t>
  </si>
  <si>
    <t>SISTEMA DE PERIFONEO</t>
  </si>
  <si>
    <t>PLANTA ELECTRICA</t>
  </si>
  <si>
    <t>MANTENIMIENTO DE TALUDES  NO CONTRACTUAL</t>
  </si>
  <si>
    <t>G - MANT RUTINARIO</t>
  </si>
  <si>
    <t>ESCRITORIO</t>
  </si>
  <si>
    <t>SILLA ERGONOMICA</t>
  </si>
  <si>
    <t>SILLA INTERLOCUTORA</t>
  </si>
  <si>
    <t>CAMARA PANORAMICA</t>
  </si>
  <si>
    <t>ALCOHOSENSOR</t>
  </si>
  <si>
    <t xml:space="preserve">RADARES </t>
  </si>
  <si>
    <t xml:space="preserve">SERVICIO DE ACUEDUCTO PEAJE SAN LUIS DE GACENO </t>
  </si>
  <si>
    <t xml:space="preserve">SERVICIO DE ENERGÍA PEAJE SAN LUIS DE GACENO </t>
  </si>
  <si>
    <t xml:space="preserve">SUMINISTRO ACUEDUCTO  PESAJE SAN LUIS DE GACENO </t>
  </si>
  <si>
    <t xml:space="preserve">SERVICIO DE ENERGÍA PESAJE SAN LUIS DE GACENO </t>
  </si>
  <si>
    <t xml:space="preserve">CASCO BLINDADO </t>
  </si>
  <si>
    <t>TELEVISOR 47 "</t>
  </si>
  <si>
    <t>REPRODUCTOR BLU RAY</t>
  </si>
  <si>
    <t xml:space="preserve">PANEL DE MENSAJERIA VARIABLE </t>
  </si>
  <si>
    <t>MESA PLASTICA</t>
  </si>
  <si>
    <t>SILLA PLASTICA</t>
  </si>
  <si>
    <t>COSTOS NO REALIZADOS CAPEX 2023</t>
  </si>
  <si>
    <t>CONTROL SATELITAL</t>
  </si>
  <si>
    <t>SISTEMA EMBRAGUE</t>
  </si>
  <si>
    <t>REPARACIÓN MOTOR (TURBO, CULATA, INYECTORES Y KIT PISTON)</t>
  </si>
  <si>
    <t xml:space="preserve">AJUSTE DIFERENCIAL </t>
  </si>
  <si>
    <t xml:space="preserve">AJUSTE DE TRANSMISIÓN </t>
  </si>
  <si>
    <t>LLANTAS</t>
  </si>
  <si>
    <t xml:space="preserve">BALIZA Y PERIFONEO </t>
  </si>
  <si>
    <t>DEDUCIBLES</t>
  </si>
  <si>
    <t>EMBLEMAS Y LOGOS</t>
  </si>
  <si>
    <t xml:space="preserve">CADENA DE REPARTICION </t>
  </si>
  <si>
    <t>CHALECO BLINDADO</t>
  </si>
  <si>
    <t>EMPRESAS DE MANTENIMIENTO LIMPIEZA ALCANTARILLAS</t>
  </si>
  <si>
    <t>EMPRESAS DE MANTENIMIENTO CUNETAS</t>
  </si>
  <si>
    <t>DISPOSITO DE CONTROL SATELITAL E INSTALACION</t>
  </si>
  <si>
    <t>19/12/2023</t>
  </si>
  <si>
    <t>SEGURO TODO RIESGO COMPONENTES EQUIPO CARRO PINTURA</t>
  </si>
  <si>
    <t>20/12/2023</t>
  </si>
  <si>
    <t>ACCESORIOS EQUIPO PINTURA</t>
  </si>
  <si>
    <t>SEGURO TODO RIESGO DEL SISTEMA DE GRÚA (SIN CHASIS)</t>
  </si>
  <si>
    <t>MANTENIMIENTO BRAZO ARTICULADO</t>
  </si>
  <si>
    <t>SEGURO TODO RIESGO  REMOLQUE 5 TONELADAS</t>
  </si>
  <si>
    <t>MANTENIEMIENTO PREVENTIVO DIFERENCIALES</t>
  </si>
  <si>
    <t>LLANTAS SEMIREMOLQUE 5 TONELADAS</t>
  </si>
  <si>
    <t>LATONERIA Y PINTURA CABINA</t>
  </si>
  <si>
    <t>MANTENIMIENTO MOTOR DE ARRANQUE Y ALTERNADOR</t>
  </si>
  <si>
    <t>LAVADO, ENGRASE SEMIREMOLQUE 5 TONELADAS</t>
  </si>
  <si>
    <t>COMBUSTIBLE  MOTOR  CUELLO CAMA BAJA</t>
  </si>
  <si>
    <t>21/12/2023</t>
  </si>
  <si>
    <t>MANTENIMIENTO PREVENTIVO  MOTOR  CUELLO CAMA BAJA</t>
  </si>
  <si>
    <t>MANTENIMIENTO CORRECTIVO MOTOR  CUELLO CAMA BAJA</t>
  </si>
  <si>
    <t>REPARACIÓN CAJA DE VELOCIDADES</t>
  </si>
  <si>
    <t>LATONERIA Y PINTURA CHASIS</t>
  </si>
  <si>
    <t>MANTENIMIENTO  SISTEMA BUMM Y WINCHES</t>
  </si>
  <si>
    <t xml:space="preserve">LATONERIA Y PINTURA EQUIPO GRÚA </t>
  </si>
  <si>
    <t>REPARACIÓN BALDE Y TOPADORA</t>
  </si>
  <si>
    <t>26/12/2023</t>
  </si>
  <si>
    <t>CAMBIO DIENTES BALDE</t>
  </si>
  <si>
    <t>SEGURO TODO RIESGO FRESADORA</t>
  </si>
  <si>
    <t>MANTENIMIENTO CORRECTIVO FRESADORA</t>
  </si>
  <si>
    <t xml:space="preserve">MANTENIMIENTO SISTEMA BALIZA </t>
  </si>
  <si>
    <t xml:space="preserve">CUCHILLA Y ESQUINEROS </t>
  </si>
  <si>
    <t>DIENTE FRESADORA 14"/24"/40" KENNAMETAL REF. RK3-01P</t>
  </si>
  <si>
    <t>GRASA GADUX S2 V220-2 CUÑETE X 18KG</t>
  </si>
  <si>
    <t>COMBUSTIBLE PLANTA ELECTRICA</t>
  </si>
  <si>
    <t>083 - COMBUSTIBLES Y LUBRICANTES OP VIAL</t>
  </si>
  <si>
    <t xml:space="preserve">VALERAS DE COMBUSTIBLE </t>
  </si>
  <si>
    <t>VALERAS DE MONTALLANTAS Y LAVADO</t>
  </si>
  <si>
    <t>TALONARIOS CHEQUEO PREOPERACIONAL Y REPORTES DE NOVEDADES</t>
  </si>
  <si>
    <t>INSUMOS TALLER MECANICO</t>
  </si>
  <si>
    <t>MANTENIMIENTO DE SPT Y APANTALLAMIENTO</t>
  </si>
  <si>
    <t>27/12/2023</t>
  </si>
  <si>
    <t>REPOSICION ANUAL ELEMENTOS POLCA (CAPEX)</t>
  </si>
  <si>
    <t>02/01/2024</t>
  </si>
  <si>
    <t>NUEVA INVERSION O&amp;M COMPRAS POLCA CAPEX</t>
  </si>
  <si>
    <t xml:space="preserve">	LAMPARAS TIPO LED OFICINAS ADMINISTRATIVAS Y CABINAS DE RECAUDO MACHETA</t>
  </si>
  <si>
    <t>LAMPARAS TIPO LED OFICINAS ADMINISTRATIVAS Y CABINAS DE RECAUDO MACHETA</t>
  </si>
  <si>
    <t>MANTENIMIENTO DE SPT Y APANTALLAMIENTO S/E TUNELES UF3</t>
  </si>
  <si>
    <t>ACOPLE RAPIDO TIPO CAMLOCK DE 2" EN ALUMINIO PARTE A Y D</t>
  </si>
  <si>
    <t xml:space="preserve">ALMADANA, PORRO DE 18 LBS CON CABO </t>
  </si>
  <si>
    <t>ARANDELA PLANA ZINCADA DE 1/2"</t>
  </si>
  <si>
    <t>ARANDELA PLANA ZINCADA DE 5/16"</t>
  </si>
  <si>
    <t>ARANDELA CUADRADA DE 5/8" x 4" x 4" x 1/4"</t>
  </si>
  <si>
    <t>ARANDELA DE PRESION ZINCADA DE 5/8"</t>
  </si>
  <si>
    <t>BATERIA 18V - 3AH DE REPUESTO PARA PULIDORA INHALAMBRICA BOSCH</t>
  </si>
  <si>
    <t>ESTOPA BULTO X 25KG</t>
  </si>
  <si>
    <t>BROCA PARA METAL AR DE 1/2"</t>
  </si>
  <si>
    <t>BROCA PARA METAL AR DE 3/4"</t>
  </si>
  <si>
    <t>BROCA PARA METAL AR DE 3/8"</t>
  </si>
  <si>
    <t>CINCEL SDS MAX PUNTA PALA 1" X 16" MARCA TOTAL TOOLS</t>
  </si>
  <si>
    <t>CINCEL SDS MAX PUNTA AGUDA 1" X 16" MARCA TOTAL TOOLS</t>
  </si>
  <si>
    <t>CABO EN MADERA PARA PALA</t>
  </si>
  <si>
    <t>CABO EN MADERA PARA PICA</t>
  </si>
  <si>
    <t>CUÑETE PLASTICO 5 GALONES</t>
  </si>
  <si>
    <t>ADHESIVO EPOXICO VULKEM 45 SSL CARTUCHO X 890ML</t>
  </si>
  <si>
    <t>CHAZO EXPANSIVO METALICO ZINCADO DE 5/16" x 1 1/2"</t>
  </si>
  <si>
    <t xml:space="preserve">CHAZO EXPANSIVO PLASTICO DE 1/2" X 1 3/4" CON TORNILLO </t>
  </si>
  <si>
    <t xml:space="preserve">CHAZO EXPANSIVO PLASTICO DE 3/8" X 1 1/4" CON TORNILLO </t>
  </si>
  <si>
    <t xml:space="preserve">CHAZO EXPANSIVO PLASTICO DE 5/16" X 1 3/4" CON TORNILLO </t>
  </si>
  <si>
    <t>CINTA DE ENMASCARAR 38MM ROLLO X 50 MTS</t>
  </si>
  <si>
    <t>CINTA PVC SIKA WATERBAR V-15 PARA SELLO E IMPERMEBLIZACION DE JUNTAS</t>
  </si>
  <si>
    <t>DISCO DIAMANTADO SEGMENTADO DE 7" PARA CONCRETO REF. DW47702HP</t>
  </si>
  <si>
    <t>EPOXICO DYMONIC 100 GRIS SALCHICHA X 600ML TOXEMENT</t>
  </si>
  <si>
    <t>FLEXOMETRO 8 METROS</t>
  </si>
  <si>
    <t>GANCHO ESTANDAR CON DOBLEZ A 180° FIGURADOS EN ACERO 1/2" DIMENSIONES 20X20X40CM</t>
  </si>
  <si>
    <t>GANCHO ESTANDAR CON DOBLEZ A 180° FIGURADOS EN ACERO 1/2" DIMENSIONES 34X34X60CM</t>
  </si>
  <si>
    <t>GEOMEMBRANA HDPE 40 MILS</t>
  </si>
  <si>
    <t xml:space="preserve">COMPRA DE VEHÍCULOS SERVICIO USUARIOS - CAPEX </t>
  </si>
  <si>
    <t>GEOTEXTIL NO TEJIDO 2500</t>
  </si>
  <si>
    <t>CEPILLO MANUAL TIPO GRATA EN ACERO CON MANGO PLASTICO</t>
  </si>
  <si>
    <t>HACHA PICO 1.5 LBS CON CABO</t>
  </si>
  <si>
    <t>23/01/2024</t>
  </si>
  <si>
    <t>HOJA DE SEGUETA 12"</t>
  </si>
  <si>
    <t>JUEGO DE LLAVES MIXTAS STANLEY DE 1/4" A 7/8" Y 8MM A 18MM (20PZS)</t>
  </si>
  <si>
    <t xml:space="preserve">MANTENIMIENTO EQUIPO DE BOMBEO  PESAJE SLG </t>
  </si>
  <si>
    <t xml:space="preserve">MANTENIMIENTO AIRE ACONDICIONADO SALA DE SISTEMAS Y RACK PESAJE SLG </t>
  </si>
  <si>
    <t>MANTENIMIENTO PINTURA PLATAFORMA ESTÁTICA PESAJE SLG</t>
  </si>
  <si>
    <t>CONOS 90 CMS PESAJE SLG</t>
  </si>
  <si>
    <t xml:space="preserve">PALETAS PARE - SISGA PESAJE SLG </t>
  </si>
  <si>
    <t xml:space="preserve">FLASHER SOLAR PESAJE SLG </t>
  </si>
  <si>
    <t xml:space="preserve">CINTA REFLECTIVA BLANCA ROJA, PARA SEÑALIZAR BRAZOS DE TALANQUERAS PESAJE SLG </t>
  </si>
  <si>
    <t>MANTENIMIENTO EQUIPO DE BOMBEO PEAJE SLG</t>
  </si>
  <si>
    <t xml:space="preserve">MANTENIMIENTO AIRE ACONDICIONADO SALA DE SISTEMAS Y RACK PEAJE SLG </t>
  </si>
  <si>
    <t xml:space="preserve">MANTENIMIENTO CAJA FUERTE DUPLEX PEAJE SLG </t>
  </si>
  <si>
    <t>CINTA REFLECTIVA BLANCA ROJA, PARA SEÑALIZAR BRAZOS DE TALANQUERAS PEAJE SLG</t>
  </si>
  <si>
    <t xml:space="preserve">CONOS 90 CMS PEAJE SLG </t>
  </si>
  <si>
    <t xml:space="preserve">PALETAS PARE - SISGA PEAJE SLG </t>
  </si>
  <si>
    <t>FLASHER SOLAR PEAJE SLG</t>
  </si>
  <si>
    <t>SEÑALIZACIÓN BRAILLER ACCESIBILIDAD PEAJE SLG</t>
  </si>
  <si>
    <t>REVISION TECNICOMECANICA</t>
  </si>
  <si>
    <t>INVENTARIO REMANENTE</t>
  </si>
  <si>
    <t>077 - INVENTARIO REMANENTE</t>
  </si>
  <si>
    <t>MANTENIMIENTO VIAL Y SEGURIDAD VIAL</t>
  </si>
  <si>
    <t>17/01/2024</t>
  </si>
  <si>
    <t>VEHÍCULOS SERVICIO USUARIOS</t>
  </si>
  <si>
    <t>FILTRO DE ACEITE FLEETGUARD REF. LF670</t>
  </si>
  <si>
    <t>FILTRO DE COMBUSTIBLE SEPARADOR FLEETGUARD REF. FS1212</t>
  </si>
  <si>
    <t>FILTRO TRAMPA BALDWIN REF. DAHL201</t>
  </si>
  <si>
    <t>BARRA LISA DE ACERO DE 1 ¼ " X 6 METROS LIMITE DE FLUENCIA 2,800 KG/CM2</t>
  </si>
  <si>
    <t>RETEN TRANSFER</t>
  </si>
  <si>
    <t>DESMONTAR TRANSFER CORREGIR FUGA ACEITE</t>
  </si>
  <si>
    <t>CABLE DE COBRE AISLADO #4 AWG THHN COLOR NEGRO</t>
  </si>
  <si>
    <t>CABLE DE COBRE AISLADO #6 AWG THHN COLOR NEGRO</t>
  </si>
  <si>
    <t>CABLE DE COBRE DESNUDO #6</t>
  </si>
  <si>
    <t>TERMINAL BIMETALICO #4</t>
  </si>
  <si>
    <t>TERMINAL BIMETALICO #6</t>
  </si>
  <si>
    <t>BANDA DE ANCLAJE PORTATIL (TIE-OFF) DIELECTRICO REGULABLE INSAFE REF. IN-8052-R LONG. 1.8MTS</t>
  </si>
  <si>
    <t>MOSQUETON DOBLE SEGURO EN ALUMINIO YOKE PARA TRABAJO EN ALTURAS 50KN</t>
  </si>
  <si>
    <t>LINEA DE VIDA VERTICAL 13MM X 20M CON GANCHO PARA TRABAJO EN ALTURAS CERTIFICADA</t>
  </si>
  <si>
    <t>KIT DE CINTURON Y PRETAL PARA TRABAJO DE POSTE CERTIFICADO</t>
  </si>
  <si>
    <t>FRENO ARRESTADOR DE CAIDA PARA TRABAJO EN ALTURAS YOKE AUTOMATICO PARA CUERDA DE 12 A 14MM REF. N616</t>
  </si>
  <si>
    <t>POLEA DOBLE GRANDE EN ALUMINIO YOKE PARA TRABAJO EN ALTURAS COMPATIBLE CON CUERDA 13MM CERTIFICADA</t>
  </si>
  <si>
    <t>LÁMINA SEÑAL COMPLEMENTARIA CON EL TEXTO "CURVA PELIGROSA" 80X35CM CAL. 16 CON REFLECTIVO DIAMANTE AL CUBO TIPO XI 3M. PINTURA ELECTROSTÁTICA + ANTI GRAFITI - SIN PARAL</t>
  </si>
  <si>
    <t>ROTULA INFERIOR IZQUIERDA</t>
  </si>
  <si>
    <t xml:space="preserve">CAMBIO ROTULA INFERIOR IZQUIERDA </t>
  </si>
  <si>
    <t xml:space="preserve">VALVULA SOLENOIDE EGR </t>
  </si>
  <si>
    <t xml:space="preserve">CAMBIO VALVULA SOLENOIDE EGR </t>
  </si>
  <si>
    <t xml:space="preserve">ESPACIADORES HOJAS MUELLES </t>
  </si>
  <si>
    <t xml:space="preserve">DESMONTAR MUELLES PARA CAMBIO ESPACIADORES </t>
  </si>
  <si>
    <t xml:space="preserve">DESMONTAR PEDALERA PARA REPARAR PASADOR EMBRAGUE </t>
  </si>
  <si>
    <t xml:space="preserve">BOMBILLO EXPLORADORA IZQUIERDA </t>
  </si>
  <si>
    <t xml:space="preserve">AMORTIGUADORES DELANTEROS </t>
  </si>
  <si>
    <t xml:space="preserve">CAMBIO AMORTIGUADORES DELANTEROS </t>
  </si>
  <si>
    <t xml:space="preserve">SOPORTE SUPERIOR AMORTIGUADOR DELANTERO IZQUIERDO </t>
  </si>
  <si>
    <t xml:space="preserve">FILTER CARTRIDGE  </t>
  </si>
  <si>
    <t xml:space="preserve">SAFETY FILTER CARTRIDGE </t>
  </si>
  <si>
    <t xml:space="preserve">FILTER CARTRIDGE LUBRIC OIL </t>
  </si>
  <si>
    <t>FUEL FILTER</t>
  </si>
  <si>
    <t xml:space="preserve">ACEITE MOTOR 15W40 X 1GL </t>
  </si>
  <si>
    <t xml:space="preserve">DESPLAZAMIENTO </t>
  </si>
  <si>
    <t>FILTRO COMBUSTIBLE BALDWIN BF1347</t>
  </si>
  <si>
    <t>FILTRO DE COMBUSTIBLE VASO R160P</t>
  </si>
  <si>
    <t>FILTRO DE ACEITE FLEETGUART LF3349</t>
  </si>
  <si>
    <t xml:space="preserve">FILTRO COMBUSTIBLES TODOS </t>
  </si>
  <si>
    <t xml:space="preserve">FILTRO TRAMPA COMBUSTIBLE FLEETGUART </t>
  </si>
  <si>
    <t xml:space="preserve">ACEITE MTR DELO 400 15W-40 </t>
  </si>
  <si>
    <t xml:space="preserve">TAPA RESP HYD S130/S250/S300/T40140 </t>
  </si>
  <si>
    <t xml:space="preserve">FILTRO HIDRAULICO S530/S570 </t>
  </si>
  <si>
    <t xml:space="preserve">BALDE 5 GAL ACEITE HID RAND HDZ ISO 46 </t>
  </si>
  <si>
    <t xml:space="preserve">FILTRO A/C RECIRCULACION S570/750 </t>
  </si>
  <si>
    <t xml:space="preserve">FILTRO A/C PRIMARIO S570/S650/E42/E50 </t>
  </si>
  <si>
    <t xml:space="preserve">ALTERNADOR 24 5F 24V DELCO REMY </t>
  </si>
  <si>
    <t xml:space="preserve">SERVICIO SOLDADURA*HORA ALARGAR CENTRALES </t>
  </si>
  <si>
    <t xml:space="preserve">D/M MUELLE DELANTEROS </t>
  </si>
  <si>
    <t xml:space="preserve">DISPONIBILIDAD TECNICO FONTIBON </t>
  </si>
  <si>
    <t xml:space="preserve">SERVICIO CAMIONETA * HORA  </t>
  </si>
  <si>
    <t xml:space="preserve">TORNILLO CENTRAL 5/8*10-12 </t>
  </si>
  <si>
    <t xml:space="preserve">INSUMOS (TOALLAS, DESENGRASANTE, LIJAS Y OTROS) </t>
  </si>
  <si>
    <t xml:space="preserve">TUERCA ALTA RF 5/8 </t>
  </si>
  <si>
    <t xml:space="preserve">IC-FILTRO ACEITE 500 HRS/ DX225LCA </t>
  </si>
  <si>
    <t xml:space="preserve">FILTRO COMBUSTIBLE /DX225LCA-DX340LCA </t>
  </si>
  <si>
    <t xml:space="preserve">FILTRO COMBUSTIBLE /DX225LCA-DX140LC </t>
  </si>
  <si>
    <t xml:space="preserve">FILTROS AIRE / DX225LCA-DL250A </t>
  </si>
  <si>
    <t xml:space="preserve">FILTRO AIRE CABINA /DX225LCA-DX340LCA </t>
  </si>
  <si>
    <t xml:space="preserve">FILTRO A.A /DX225LCA-DX340LCA </t>
  </si>
  <si>
    <t xml:space="preserve">FILTRO HIDRAULICO RETORNO /DX225LCA </t>
  </si>
  <si>
    <t xml:space="preserve">FILTRO HIDRAULICO PILOTO /DX225LCA-DX140 </t>
  </si>
  <si>
    <t xml:space="preserve">FILTRO DESFOGUE TANQUE /DX225LCA-DL320A7M </t>
  </si>
  <si>
    <t xml:space="preserve">FILTRO FRENOS S180W/DX140W </t>
  </si>
  <si>
    <t xml:space="preserve">ACEITE 15W40 CK - 4 SN x QT (Cuñete) </t>
  </si>
  <si>
    <t xml:space="preserve">ACEITE FL424 x QT (Cuñete)  </t>
  </si>
  <si>
    <t xml:space="preserve">ACEITE 80W90 GL-5 x QT (Tambor) </t>
  </si>
  <si>
    <t xml:space="preserve">BASE FILTRO /DX140LC-DX225LCA-SD310 </t>
  </si>
  <si>
    <t xml:space="preserve">GASTOS DE VIAJE SERVICIO VEH DOOSAN </t>
  </si>
  <si>
    <t xml:space="preserve">REPARAR GUAYA SELECTOR DE CAMBIOS </t>
  </si>
  <si>
    <t xml:space="preserve">TERMINAL SELECTOR DE CAMBIOS </t>
  </si>
  <si>
    <t xml:space="preserve">BOMBA DE AGUA ORIGINAL </t>
  </si>
  <si>
    <t>FILTRO MOTOR VENT S185/S250/S650</t>
  </si>
  <si>
    <t>SARDINEL PREFABRICADO TIPO A80</t>
  </si>
  <si>
    <t>SARDINEL PREFABRICADO BAJO RAMPA TIPO A85</t>
  </si>
  <si>
    <t>20/03/2024</t>
  </si>
  <si>
    <t>SARDINEL PREFABRICADO TIPO A10 DE 50X20X80CM</t>
  </si>
  <si>
    <t>LOSETA PREFABRICADA ALERTA 20X20</t>
  </si>
  <si>
    <t>LOSETA PREFABRICADA GUÍA 20X20</t>
  </si>
  <si>
    <t>LOSETA PREFABRICADA ALERTA 40X40</t>
  </si>
  <si>
    <t>GEOMALLA BIAXIAL COEXTRUIDA BX-3030</t>
  </si>
  <si>
    <t>GEOMALLA FIBRA DE VIDRIO R-100</t>
  </si>
  <si>
    <t>VARILLA DE ACERO CORRUGADO #3 (3/8") X 6 METROS 60.000 PSI</t>
  </si>
  <si>
    <t>VARILLA DE ACERO CORRUGADO #4 (1/2") X 6 METROS 60.000 PS</t>
  </si>
  <si>
    <t>TUBERÍA EN CONCRETO REFORZADO DE 0.90 M (36") CLASE II</t>
  </si>
  <si>
    <t>ROLLO IMPERTEX DE 30M X 5,1M; COLOR ABANO. PROVEDEEDOR GEOMATRIX</t>
  </si>
  <si>
    <t>SACO TIPO TRINCHERA EN POLIPROPILENO CON FILTRO UV</t>
  </si>
  <si>
    <t>ESTACION PORTATIL LAVAOJOS 60 LITROS MARCA STEELPRO</t>
  </si>
  <si>
    <t>SUPERBOARD FIBROCEMENTO LAMINA DE 8MM X 1.22M X 2.44M</t>
  </si>
  <si>
    <t>BOLSACONCRETO MEDIDAS 1M X 2.2M X 0.36M</t>
  </si>
  <si>
    <t>PERFIL PARAL METÁLICO DE 89 MM</t>
  </si>
  <si>
    <t>PERFIL CANAL METÁLICO DE 90 MM</t>
  </si>
  <si>
    <t>LÁMINAS DE YESO DE 3/8" X  1,22M X 2,44 M</t>
  </si>
  <si>
    <t>CINTA DE FIBRA DE VIDRIO PARA JUNTAS</t>
  </si>
  <si>
    <t>MASILLA FLEXIBLE PARA JUNTAS</t>
  </si>
  <si>
    <t>TORNILLOS CABEZA LENTEJA 8 X 1/2"</t>
  </si>
  <si>
    <t>TORNILLOS AVELLANADO PARA LÁMINA 6 X 1"</t>
  </si>
  <si>
    <t xml:space="preserve">PERFIL ÁNGULO METÁLICO PARA CIELO RASOS </t>
  </si>
  <si>
    <t xml:space="preserve">PERFIL VIGUETA METÁLICO PARA CIELO RASOS </t>
  </si>
  <si>
    <t xml:space="preserve">PERFIL OMEGA METÁLICO PARA CIELO RASOS </t>
  </si>
  <si>
    <t>PINTURA BLANCA TIPO 1</t>
  </si>
  <si>
    <t>PINTURA EPOXICA BLANCA</t>
  </si>
  <si>
    <t>DUCHA TIPO BIDET PARA EL SUMINISTRO DE AGUA INDEPENDIENTE</t>
  </si>
  <si>
    <t>ENCHAPE PISO MANCORA ARD CAFE CARAS DIFERENCIADAS 33.8X33.8 REF REF 336474761</t>
  </si>
  <si>
    <t>ENCHAPE PARED MUNICH GRIS CLARO CARAS DIFERENCIADAS 30X45 REF 451239511</t>
  </si>
  <si>
    <t>PEGACOR BOLSA DE 25 KG</t>
  </si>
  <si>
    <t>CAJA DE BOQUILLA COLOR CACAO</t>
  </si>
  <si>
    <t>CAJA DE BOQUILLA COLOR GRIS</t>
  </si>
  <si>
    <t>SANITARIO CORONA REF. ECOCLEAN DE DOS PIEZAS TAZA ALONGADA COMPACTA</t>
  </si>
  <si>
    <t xml:space="preserve">LAVAMANOS CORONA REF. MILANO SIN PEDESTAL </t>
  </si>
  <si>
    <t xml:space="preserve">GRIFO GRIVAL REF. NOGAL </t>
  </si>
  <si>
    <t xml:space="preserve">SIFÓN FLEXIBLE </t>
  </si>
  <si>
    <t xml:space="preserve">DESAGUE SENCILLO CON REBOSE </t>
  </si>
  <si>
    <t>ORINAL MEDIANO BARCELONA, COLOR BALNCO</t>
  </si>
  <si>
    <t xml:space="preserve">GRIFO TIPO PUSH MÉTALICO PARA ORINAL </t>
  </si>
  <si>
    <t>ESPEJO DE 1,10M X 0,60M</t>
  </si>
  <si>
    <t>BARRAS DE SEGURIDAD DE 30 PULGADAS</t>
  </si>
  <si>
    <t xml:space="preserve">BARRA ABATIBLE DE 20CM X 84CM </t>
  </si>
  <si>
    <t xml:space="preserve">BARRAS PARA EL ORINAL </t>
  </si>
  <si>
    <t xml:space="preserve">PUERTA DE 0.9M X 2.2M. MATERIAL METÁLICA </t>
  </si>
  <si>
    <t xml:space="preserve">PUERTA DE 0.9M X 2.2M MATERIAL MADERA </t>
  </si>
  <si>
    <t xml:space="preserve">DISPENSADOR DE PAPEL HIGIÉNICO ACERO INOXIDABLE DIAMETRO DE 26 CM. </t>
  </si>
  <si>
    <t>PERCHA BENTON ACERO INOXIDABLE</t>
  </si>
  <si>
    <t>"SENSOR DE MOVIMIENTO PARA TECHO 360° ALCANCE  6 METROS - HL-95512"</t>
  </si>
  <si>
    <t>DISPENSADOR DE JABÓN LÍQUIDO ACERO INOXIDABLE  1000 ML DE 20X13 CM</t>
  </si>
  <si>
    <t>SECADOR DE MANOS : HAND DRYER MODEL 850015 VOLTAJE:  11-120 V 60HZ POWER: 1350 W</t>
  </si>
  <si>
    <t xml:space="preserve">PAPELERA RESIDUOS EN ACERO INOXIDABLE </t>
  </si>
  <si>
    <t>PARAL PARA SEÑAL SP75 ESTRUCTURA TIPO POSTE DE 2.25M EN ANGULO DE 2"X2"X1/4" BRAZOS DE 2"X2"X1/8" PINTURA ELECTROSTATICA GENERAL</t>
  </si>
  <si>
    <t xml:space="preserve"> IMPRIMANTE TRAFICO ACRILICO BASE SOLVENTE NEGRO</t>
  </si>
  <si>
    <t>CAPTAFARO METÁLICO BIDIRECCIONAL BLANCO-BLANCO SENCILLO</t>
  </si>
  <si>
    <t>PARAL PARA SEÑAL VERTICAL 60X60CM ESTRUCTURA TIPO POSTE DE 3.2M EN ANGULO DE 2"X2"X1/4" BRAZOS DE 2"X2"X1/8" PINTURA ELECTROSTATICA GENERAL</t>
  </si>
  <si>
    <t>PARAL PARA SEÑAL DOLL 80X15CM ESTRUCTURA TIPO POSTE DE 2M EN ANGULO DE 2"X2"X1/4" BRAZOS DE 2"X2"X1/8" PINTURA ELECTROSTATICA GENERAL</t>
  </si>
  <si>
    <t>BATERIA  SECA SELLADA 12V-100AH REF. FL121000GS</t>
  </si>
  <si>
    <t>23/03/2024</t>
  </si>
  <si>
    <t>TUBERÍA METÁLICA 6" DE 6M PARA PROTECCIÓN</t>
  </si>
  <si>
    <t>AVISO LAMINA SEÑALIZACION DOLL PASO POR LA IZQUIERDA - MARCADOR DE OBSTACULO SENCILLO VERTICAL DE 80 x 15CM LAMINA GALVANIZADA CAL. 16 CON REFLECTIVO DIAMANTE AL CUBO TIPO XI  3M + ANTIGRAFFITI</t>
  </si>
  <si>
    <t>FLECHA LUMINOSA BIDIRECCIONAL DE 1.50x0.50MTS CON PANEL SOLAR, 4 FUNCIONES LED CON ESTRUCTURA TIPO H EN ANGULO DE 2 1/8" + TORNILLERIA</t>
  </si>
  <si>
    <t xml:space="preserve">SEÑAL SIO03 "PASO A UN CARRIL A 100M" DE 1.40X0.50M LAMINA GALVANIZADA CAL. 20 CON REFLECTIVO TIPO IV 3M NARANJA +  ANTIGRAFITTY (INCLUYE PARAL) </t>
  </si>
  <si>
    <t xml:space="preserve">SEÑAL SIO03 "PASO A UN CARRIL A 150M" DE 1.40X0.50M LAMINA GALVANIZADA CAL. 20 CON REFLECTIVO TIPO IV 3M NARANJA +  ANTIGRAFITTY (INCLUYE PARAL) </t>
  </si>
  <si>
    <t xml:space="preserve">SEÑAL SIO03 "PASO A UN CARRIL A 200M" DE 2.10X0.75M LAMINA GALVANIZADA CAL. 20 CON REFLECTIVO TIPO IV 3M NARANJA +  ANTIGRAFITTY (INCLUYE PARAL) </t>
  </si>
  <si>
    <t xml:space="preserve">SEÑAL SIO03 "PASO A UN CARRIL A 250M" DE 2.10X0.75M LAMINA GALVANIZADA CAL. 20 CON REFLECTIVO TIPO IV 3M NARANJA +  ANTIGRAFITTY (INCLUYE PARAL) </t>
  </si>
  <si>
    <t xml:space="preserve">SEÑAL SIO03 "FIN PASO A UN CARRIL" DE 1.20X0.50M LAMINA GALVANIZADA CAL. 20 CON REFLECTIVO TIPO IV 3M NARANJA +  ANTIGRAFITTY (INCLUYE PARAL) </t>
  </si>
  <si>
    <t>SEÑAL SIO03 "FIN PASO A UN CARRIL" DE 1.80X0.75M LAMINA GALVANIZADA CAL. 20 CON REFLECTIVO TIPO IV 3M NARANJA +  ANTIGRAFITTY (INCLUYE PARAL)</t>
  </si>
  <si>
    <t>SEÑAL SIO03 "A 30 M" DE 0.81X0.30M LAMINA GALVANIZADA CAL. 20 CON REFLECTIVO TIPO IV 3M NARANJA +  ANTIGRAFITTY (INCLUYE PARAL)</t>
  </si>
  <si>
    <t>SEÑAL SIO03 "A 30 M" DE 0.81X0.30M LAMINA GALVANIZADA CAL. 20 CON REFLECTVO TIPO IV 3M NARANJA +  ANTIGRAFITTY</t>
  </si>
  <si>
    <t>SEÑAL SIO03 "A 60 M" DE 0.81X0.30M LAMINA GALVANIZADA CAL. 20 CON REFLECTVO TIPO IV 3M NARANJA +  ANTIGRAFITTY</t>
  </si>
  <si>
    <t>SEÑAL SIO03 "A 80 M" DE 0.81X0.30M LAMINA GALVANIZADA CAL. 20 CON REFLECTVO TIPO IV 3M NARANJA +  ANTIGRAFITTY</t>
  </si>
  <si>
    <t>BARRA ANTIVOLCO DE LUJO CROMADA</t>
  </si>
  <si>
    <t>CUBRE PLATON</t>
  </si>
  <si>
    <t>MATRICULA VEHICULO</t>
  </si>
  <si>
    <t>023 - IMPUESTO DE VEHICULOS</t>
  </si>
  <si>
    <t>DISCO CORTE METAL 9" x 5/64" x 7/8" REF. DW8067-LA</t>
  </si>
  <si>
    <t>DISCO DIAMANTADO SEGMENTADO PARA CONCRETO MARCA BOSCH DE 7" (180 X 22,23MM)</t>
  </si>
  <si>
    <t xml:space="preserve">PALA HOYADORA HERRAGRO CON CABO </t>
  </si>
  <si>
    <t>AMARRES PLASTICOS 25CM PAQUETE X 100UND</t>
  </si>
  <si>
    <t>PISON COMPACTADOR MANUAL 20X20 EN HIERRO CON MANGO</t>
  </si>
  <si>
    <t>MARTILLO DE GOMA #4 CABO DE MADERA</t>
  </si>
  <si>
    <t>MARTILLO DE UÑA 27MM HERRAGRO</t>
  </si>
  <si>
    <t>PUNTILLA LISA DE 2" CAJA x 400G</t>
  </si>
  <si>
    <t>PUNTILLA LISA DE 2 1/2" CAJA x 400G</t>
  </si>
  <si>
    <t>PUNTILLA LISA 3" CAJA x 400G</t>
  </si>
  <si>
    <t>PINTURA EN AEROSOL USO GENERAL COLOR ROJO 400 ML</t>
  </si>
  <si>
    <t>ALICATE DIABLO MACHO 10" INCOLMA</t>
  </si>
  <si>
    <t>LLAVE EXPANSIVA AJUSTABLE CROMADA 15" STANLEY</t>
  </si>
  <si>
    <t xml:space="preserve">TARJETA GRAFICADORA DDR5 PARA TORRE - UND </t>
  </si>
  <si>
    <t>PENDON TIPO BANNER VERTICAL "SEÑALES INFORMATIVAS" DE 1MX1.80M</t>
  </si>
  <si>
    <t>PENDON TIPO BANNER VERTICAL "SEÑALES PREVENTIVAS" DE 1MX1.80M</t>
  </si>
  <si>
    <t>PENDON TIPO BANNER VERTICAL "SEÑALES REGLAMENTARIAS" DE 1MX1.80M</t>
  </si>
  <si>
    <t>PENDON TIPO BANNER VERTICAL "SEÑALES TRANSITORIAS" DE 1MX1.80M</t>
  </si>
  <si>
    <t>PENDON TIPO BANNER VERTICAL "CÓMO CONDUCIR BICICLETA"  DE 1MX1.80M</t>
  </si>
  <si>
    <t>PENDON TIPO BANNER VERTICAL "CÓMO CONDUCIR MOTOCICLETA"  DE 1MX1.80M</t>
  </si>
  <si>
    <t>PENDON TIPO BANNER VERTICAL "CÓMO CONDUCIR AUTO"  DE 1MX1.80M</t>
  </si>
  <si>
    <t>PLEGABLE EN PROPALCOTE TAMAÑO CARTA "PASO SEGURO"</t>
  </si>
  <si>
    <t>CORDON DE RESPALDO SELLATON DE 3/8" CAJA X 1097 MTS</t>
  </si>
  <si>
    <t>09/02/2024</t>
  </si>
  <si>
    <t>ODOMETRO O RUEDA DE MEDICION MP TOOLS CON MALETIN</t>
  </si>
  <si>
    <t>CHAZO EXPANSIVO METALICO ZINCADO DE 3/8" x 2"</t>
  </si>
  <si>
    <t>PINCELES DIFERENTES TAMAÑOS PAQUETE X 5 UND</t>
  </si>
  <si>
    <t>MULTIPUERTOS LAN USB</t>
  </si>
  <si>
    <t>14/02/2024</t>
  </si>
  <si>
    <t>CLONADORA DE DISCOS</t>
  </si>
  <si>
    <t>ESPIRAL ORGANIZADOR DE CABLES</t>
  </si>
  <si>
    <t>CAJA ADAPTADOR SSD M2</t>
  </si>
  <si>
    <t>ADHESIVO EPOXICO SIKADUR 32 PRIMER X 6KG COMPONETE A Y B</t>
  </si>
  <si>
    <t xml:space="preserve">SEÑAL SPO04 "ANGOSTAMIENTO A AMBOSLADOS" 60X60CM EN LAMINA GALVANIZADA CAL. 20 CON REFLECTIVO TIPO IV 3M NARANJA + ANTIGRAFITTY </t>
  </si>
  <si>
    <t>TORNILLO AUTOPERFORANTE PARA MADERA/DRYWALL 1 1/2"</t>
  </si>
  <si>
    <t>CORRECTOR LIQUIDO EN LAPIZ PUNTA 0.8MM CONTENIDO: 9ML</t>
  </si>
  <si>
    <t>CARRETE DE NYLON 35LBS</t>
  </si>
  <si>
    <t>BOLSA PARA BASURA ROJA 100X80 CM, CALIBRE 4</t>
  </si>
  <si>
    <t>LICENCIAS SINCO ERP</t>
  </si>
  <si>
    <t>26/02/2024</t>
  </si>
  <si>
    <t>FUENTE DE ALIMENTACION MEAN WELL DR-60-24 LED DE 24V - 2.5A CON INPUT: 100-240 VAC - 1.8A Y OUTPUT: 24V - 2.5A</t>
  </si>
  <si>
    <t>RIEL CHANEL PERFORADO GALVANIZADO DE 2X4CM X 3MTS</t>
  </si>
  <si>
    <t>TORNILLO HEXAGONAL ZINCADO MDT G2 DE 1/4" X 1"</t>
  </si>
  <si>
    <t>TUERCA DE SEGURIDAD HEXAGONAL ZINCADA G2 PARA TORNILLO DE 1/4"</t>
  </si>
  <si>
    <t>ARANDELA PLANA ZINCADA G2 PARA TORNILLO DE 1/4"</t>
  </si>
  <si>
    <t>TSIS-2 VINGTOR STETOFON INTERCOMUNICADOR</t>
  </si>
  <si>
    <t>CABLE ILUMINACIÓN CENTELSA #16AWG VEHICULAR ROLLO X 100MTS</t>
  </si>
  <si>
    <t>CABLE DROP FIBRA OPTICA 2 HILOS CON MENSAJERO 1000 METROS</t>
  </si>
  <si>
    <t>CONVERTIDOR DE MEDIOS MC112CS 10/100MBPS RJ45 TO 100MBPS SINGLE-MODE SC 1 HILO</t>
  </si>
  <si>
    <t>AMARRE PLASTICO NEGRO 7X400MM (40 CM) X 100 UNDS</t>
  </si>
  <si>
    <t>PROTECTORES DE EMPALME DE 1 H CON ENFRENTADOR SC/LC ATK</t>
  </si>
  <si>
    <t>VARSOL INDUSTRIAL</t>
  </si>
  <si>
    <t>28/02/2024</t>
  </si>
  <si>
    <t>CAFETERA HAMILTON BEACH</t>
  </si>
  <si>
    <t>CARRETILLA ELEVADORA - MINI MONTACARGA ECO-OX TRUCK (CON ACCESORIO DE GRÚA Y TAMBOR)</t>
  </si>
  <si>
    <t>CANAL INOXIDABLE DE MATERIAL EN ACERO 304 CALIBRE 20 EN BAHÍA DE PASAJEROS</t>
  </si>
  <si>
    <t>MACROFIBRA SINTETICA PARA REFUERZO DE CONCRETO</t>
  </si>
  <si>
    <t>ROCERIA PREDIOS ANI</t>
  </si>
  <si>
    <t>LADRILLO TOLETE RECOCIDO (6*10*22)</t>
  </si>
  <si>
    <t>PALUSTRE JAGUAR DE 6" CON MANGO PLASTICO</t>
  </si>
  <si>
    <t xml:space="preserve">PALUSTRE JAGUAR DE 9" CON MANGO MADERA </t>
  </si>
  <si>
    <t xml:space="preserve">PLATINA EN ALUMINIO LISA SIN MARCAR DE 7,5CM DE DIAMETRO X 6CM DE ALTURA PARA DEMARCACION TOPOGRAFIA </t>
  </si>
  <si>
    <t>CINCEL PUNTERO HECHIZO DE 1CM X 2CM X 30CM</t>
  </si>
  <si>
    <t>SOLDADURA LIQUIDA PVC X 1/16 DE GALON MARCA MG INDUSTRIA COLOMBIANA</t>
  </si>
  <si>
    <t>OVEROL 1 PIEZA ENTERIZO GRIS - NARANJA TALLA S</t>
  </si>
  <si>
    <t>OVEROL 1 PIEZA ENTERIZO GRIS - NARANJA TALLA M</t>
  </si>
  <si>
    <t>OVEROL 1 PIEZA ENTERIZO GRIS - NARANJA TALLA L</t>
  </si>
  <si>
    <t>OVEROL 1 PIEZA ENTERIZO GRIS - NARANJA TALLA XL</t>
  </si>
  <si>
    <t>OVEROL 2 PIEZAS NARANJA CONTROLADOR VIAL (SEGUN MANUAL DE SEÑALIZACION VIAL INVIAS 2015) TALLA XS</t>
  </si>
  <si>
    <t>OVEROL 2 PIEZAS NARANJA CONTROLADOR VIAL (SEGUN MANUAL DE SEÑALIZACION VIAL INVIAS 2015) TALLA S</t>
  </si>
  <si>
    <t>OVEROL 2 PIEZAS NARANJA CONTROLADOR VIAL (SEGUN MANUAL DE SEÑALIZACION VIAL INVIAS 2015) TALLA M</t>
  </si>
  <si>
    <t>OVEROL 2 PIEZAS NARANJA CONTROLADOR VIAL (SEGUN MANUAL DE SEÑALIZACION VIAL INVIAS 2015) TALLA L</t>
  </si>
  <si>
    <t>OVEROL 2 PIEZAS NARANJA CONTROLADOR VIAL (SEGUN MANUAL DE SEÑALIZACION VIAL INVIAS 2015) TALLA XL</t>
  </si>
  <si>
    <t>OVEROL 2 PIEZAS NARANJA CONTROLADOR VIAL (SEGUN MANUAL DE SEÑALIZACION VIAL INVIAS 2015) TALLA XXL</t>
  </si>
  <si>
    <t>CARRO DE LIMPIEZA CON BOLSA AMARILLA</t>
  </si>
  <si>
    <t>Darleen Carolina Forero Nieves</t>
  </si>
  <si>
    <t>CARRO BALDE EXPRIMIDOR DE 24 LTS</t>
  </si>
  <si>
    <t>REJILLA PARA CARCAMO CON MEDIDAS DE 30 X 50 X 7CM</t>
  </si>
  <si>
    <t>REJILLA PARA CARCAMO CON MEDIDAS DE 40 X 50 X 7CM</t>
  </si>
  <si>
    <t>REJILLA METALICA EN ANGULO DE 2" x 3/16" Y PLATINA DE 2" x 1/4" PARA ENTRE ANDEN Y POMPEYANOS PASO SEGURO</t>
  </si>
  <si>
    <t>MEZCLA SINTÉTICA MOBIL EXTRA 2T</t>
  </si>
  <si>
    <t>ACEITE MOBIL SUPER 2000 10W30 4T X 1 GALON</t>
  </si>
  <si>
    <t>ACEITE MOBIL SUPER 2000 10W30 4T X 1/4 DE GALON</t>
  </si>
  <si>
    <t>TRANSFORMADOR DE 45KVA, VOLTAJE PRIMARIO 13,2kVA, VOLTAJE SECUNDARIO 480V / 277V, tipo de conexion DyN5</t>
  </si>
  <si>
    <t>FOTOCONTROLES PARA LUMINARIA DE ALUMBRADO PUBLICO REFERENCIA (FOTOCONTROL 120-277VAC / NC / FAIL ON / LONG LIFE / 640J / PCE-3NC51A)</t>
  </si>
  <si>
    <t>MANILA DE 3/8 (10MM) SINTÉTICA</t>
  </si>
  <si>
    <t>EQUIPO DRON</t>
  </si>
  <si>
    <t>MARCADOR DE OBSTACULO VERTICAL SENCILLO TABLERO DE 30x10CM EN LAMINA GALVANIZADA CAL. 16 CON REFLECTIVO DE ALTA DENSIDAD PRISMATICO GHIP TIPO IV COLOR AMARILLO 3M E IMPRESION EN CINTAS TRASLUCIDAS 3M</t>
  </si>
  <si>
    <t>VARILLA ZINCADA ROSCADA DE 1/2" X 1M</t>
  </si>
  <si>
    <t xml:space="preserve">GRASA MULTIUSOS AZUL </t>
  </si>
  <si>
    <t>ALMACENAMIENTO NUBE</t>
  </si>
  <si>
    <t>VARIOS PEAJE</t>
  </si>
  <si>
    <t xml:space="preserve">CUARTO DE DATOS </t>
  </si>
  <si>
    <t>INYECTOR POE DE 8 PUERTOS DC 12-48V</t>
  </si>
  <si>
    <t>SWITCH DE ESCRITORIO TP-LINK 5 PUERTOS REF. TL-SF1005D</t>
  </si>
  <si>
    <t>CONVERTIDOR DE MEDIOS MC111CS 10/100MBPS RJ45 TO 100MBPS SINGLE-MODE SC 1 HILO</t>
  </si>
  <si>
    <t>CONECTOR DE RED RJ45 CATEGORIA 5</t>
  </si>
  <si>
    <t>CONECTOR DE RED RJ45 CATEGORIA 6</t>
  </si>
  <si>
    <t>ANTENA RADIOENLACE UBIQUITI LBE-5AC-GEN2 5GHZ LITEBEAM AC</t>
  </si>
  <si>
    <t xml:space="preserve">INYECTOR POE SPLITTER PASIVO ADAPTADOR DE 5-48V HEMBRA - MACHO </t>
  </si>
  <si>
    <t>PROTECTOR CONTRA DESCARGAS UBIQUITI ETH-SP-G2</t>
  </si>
  <si>
    <t>CONECTOR DE EMPALME DE GEL K1 TIPO UY</t>
  </si>
  <si>
    <t>FUSIBLE DE VIDRIO CILINDRICO CORTO 5X20MM DE 20 A 20 AMPS</t>
  </si>
  <si>
    <t>FUSIBLE DE VIDRIO CILINDRICO CORTO 5X20MM DE 3 A 3 AMPS</t>
  </si>
  <si>
    <t>CAJA TERMINAL DE FIBRA OPTICA 4 PUERTOS</t>
  </si>
  <si>
    <t>RELEVO RELPOL 12DVC REF. RM699BV-3011-85-1012 / 46983</t>
  </si>
  <si>
    <t>RELÉ TEMPORIZADOR MULTIFUNCION GEYA REF. GRT8-M DE 16A</t>
  </si>
  <si>
    <t>UNIDAD CORTADORA IMPRESORA EPSON AUTO CUTTER TM-T88V</t>
  </si>
  <si>
    <t>CABEZAL TERMICO IMPRESORA EPSON THERMAL PRINT REF. TM-T88V</t>
  </si>
  <si>
    <t>PANEL LED REDONDO DE INCRUSTAR 18W LUZ FRIA PHILLIPS</t>
  </si>
  <si>
    <t>LECTOR HID OMNIKEY 5422 INTERFAZ DUAL LECTOR USB</t>
  </si>
  <si>
    <t>CABLE DE EXTENSION USB 2.0 LONG. 3MTS HEMBRA - MACHO BLINDADO</t>
  </si>
  <si>
    <t>CARGADOR DE PORTATIL</t>
  </si>
  <si>
    <t>08/04/2024</t>
  </si>
  <si>
    <t>KIT LIMPIEZA TECNOLOGICA</t>
  </si>
  <si>
    <t>PASTA TERMICA</t>
  </si>
  <si>
    <t>CABLE HDMI</t>
  </si>
  <si>
    <t>DIADEMA USB</t>
  </si>
  <si>
    <t>VARIOS TI</t>
  </si>
  <si>
    <t>OBRAS CIERRE</t>
  </si>
  <si>
    <t>ACOMETIDAS ELECTRICAS</t>
  </si>
  <si>
    <t>CONECTOR DE TORNILLO DE PERFORACION CDP 6 DE CHAQUETA AISLADA PRINCIPAL 10 A 120MM - DERIVACION 1.5 A 6MM INTELLI</t>
  </si>
  <si>
    <t>TAFILETE O ARAÑA DE SUJECCION PARA CASCO INSAFE</t>
  </si>
  <si>
    <t>TAPABOCAS RESPIRADOR CONTRA PARTICULAS N95 REF. IN 1020 INSAFE</t>
  </si>
  <si>
    <t>FILTRO PARA PARTICULAS 3M P100 REF. 2096 PARA MASCARA MEDIA CARA</t>
  </si>
  <si>
    <t>FILTRO PARA PARTICULAS N95 REF. 5N11 3M PARA CARTUCHO MASCARA MEDIA CARA</t>
  </si>
  <si>
    <t>RETENEDOR PARA FILTRO 5N11 MASCARA MEDIA CARA</t>
  </si>
  <si>
    <t>ABRIGO IMPERMEABLE CALIBRE 16 CON CINTA REFLECTIVA DE 2" EN ESPALDA Y MANGAS - TALLA: M</t>
  </si>
  <si>
    <t>ABRIGO IMPERMEABLE CALIBRE 16 CON CINTA REFLECTIVA DE 2" EN ESPALDA Y MANGAS - TALLA: L</t>
  </si>
  <si>
    <t>ABRIGO IMPERMEABLE CALIBRE 16 CON CINTA REFLECTIVA DE 2" EN ESPALDA Y MANGAS - TALLA: XL</t>
  </si>
  <si>
    <t>ABRIGO IMPERMEABLE CALIBRE 16 CON CINTA REFLECTIVA DE 2" EN ESPALDA Y MANGAS - TALLA: XXL</t>
  </si>
  <si>
    <t>GUANTE PROTECTOR EN VAQUETA DIELECTRICO CLASE 0</t>
  </si>
  <si>
    <t>POLAINAS EN CARNAZA</t>
  </si>
  <si>
    <t>Accesorios Vehiculos</t>
  </si>
  <si>
    <t>07/05/2024</t>
  </si>
  <si>
    <t>ALCANCIA MISS PIGGY ROSADO</t>
  </si>
  <si>
    <t>09/05/2024</t>
  </si>
  <si>
    <t>ALCANCIA MISS PIGGY AZUL OSCURO</t>
  </si>
  <si>
    <t>ALCANCIA MISS PIGGY AZUL CIELO</t>
  </si>
  <si>
    <t>BOLIGRAFO ITALIA PUZZLE ROSADO</t>
  </si>
  <si>
    <t>BOLIGRAFO ITALIA PUZZLE ROJO</t>
  </si>
  <si>
    <t>BOLIGRAFO ITALIA PUZZLE AZUL</t>
  </si>
  <si>
    <t>BOLIGRAFO ITALIA PUZZLE BLANCO</t>
  </si>
  <si>
    <t>BOLIGRAFO ECO STYLUS AZUL</t>
  </si>
  <si>
    <t>BOLIGRAFO ECO STYLUS VERDE LIMON</t>
  </si>
  <si>
    <t>BOLIGRAFO ECO STYLUS BEIGE</t>
  </si>
  <si>
    <t>BOLIGRAFO ECO STYLUS ROSADO</t>
  </si>
  <si>
    <t>BOLIGRAFO CON RESALTADOR</t>
  </si>
  <si>
    <t>BOLIGRAFO VENTURA RESALTADOR CERA ROJO</t>
  </si>
  <si>
    <t>BOLIGRAFO VENTURA RESALTADOR CERA VERDE</t>
  </si>
  <si>
    <t>BOLIGRAFO VENTURA RESALTADOR CERA NARANJA</t>
  </si>
  <si>
    <t>BOLIGRAFO VENTURA RESALTADOR CERA PLATA</t>
  </si>
  <si>
    <t>BOLIGRAFO VENTURA RESALTADOR CERA AMARILLO</t>
  </si>
  <si>
    <t>CUELLO PROTECTOR EN TELA LICRADA PARA CICLISTA / MOTOCICLISTA</t>
  </si>
  <si>
    <t>ABANICO CUERPO PLASTICO (TELA IMPRESA PROD NAL)</t>
  </si>
  <si>
    <t>BOLSA PAPELERA AZUL PARA CARRO</t>
  </si>
  <si>
    <t>KIT ESCOLAR EN MADERA #2</t>
  </si>
  <si>
    <t>LINTERNA SNAKE COLOR AZUL PARA BICICLETA REF. IL-123</t>
  </si>
  <si>
    <t>BOTILITO SILUET 500ML AZUL</t>
  </si>
  <si>
    <t>BOTILITO SILUET 500ML ROJO</t>
  </si>
  <si>
    <t>BOTILITO SILUET 500ML VERDE</t>
  </si>
  <si>
    <t>CORAZON ANTIESTRES TRICOLOR</t>
  </si>
  <si>
    <t xml:space="preserve">PROTECTOR SOLAR SILVER PARA PANORAMICO CARRO </t>
  </si>
  <si>
    <t>BOLSA EN CAMBREL JANSEN AZUL</t>
  </si>
  <si>
    <t>BOLSA EN CAMBREL JANSEN ROJA</t>
  </si>
  <si>
    <t>SET DE HERRAMIENTAS NEUMATIC</t>
  </si>
  <si>
    <t>RESALTADOR LUANDA 5 COLORES</t>
  </si>
  <si>
    <t>LONCHERA KATNISS NEGRO - GRIS</t>
  </si>
  <si>
    <t>CALIBRADOR DE LLANTAS ERGO AZUL</t>
  </si>
  <si>
    <t>MULTITOOL BRUCE AZUL</t>
  </si>
  <si>
    <t>MULTITOOL BRUCE PLATA</t>
  </si>
  <si>
    <t>BOTILITO WAVE PVC 650ML AZUL</t>
  </si>
  <si>
    <t>BOTILITO WAVE PVC 650ML NARANJA</t>
  </si>
  <si>
    <t>MOCHIILA SPORTY BAG WHIP NARANJA</t>
  </si>
  <si>
    <t>MOCHIILA SPORTY BAG WHIP NEGRA</t>
  </si>
  <si>
    <t>MOCHIILA SPORTY BAG WHIP AZUL REY</t>
  </si>
  <si>
    <t>LLAVERO CONSTRUCTOR BLANCO</t>
  </si>
  <si>
    <t>PARAGUAS TRENDY POLIESTER 27" NEGRO</t>
  </si>
  <si>
    <t>CARTUCHERA SET ESCOLAR COLLEGE AZUL REY</t>
  </si>
  <si>
    <t>LINTERNA SNAKE COLOR NEGRO PARA BICICLETA REF. IL-123</t>
  </si>
  <si>
    <t>ALCANCIA MAXI PIGGY AZUL</t>
  </si>
  <si>
    <t>10/05/2024</t>
  </si>
  <si>
    <t>BOLIGRAFO HUNGRIA METALIZADO ROSADO</t>
  </si>
  <si>
    <t>BOLIGRAFO HUNGRIA METALIZADO AZUL REY</t>
  </si>
  <si>
    <t>BOLIGRAFO HUNGRIA METALIZADO VERDE AGUA MARINA</t>
  </si>
  <si>
    <t>BOLIGRAFO HUNGRIA METALIZADO VERDE MILITAR</t>
  </si>
  <si>
    <t>DRIVER DE 50W</t>
  </si>
  <si>
    <t>DRIVER DE 100W</t>
  </si>
  <si>
    <t>DRIVER DE 200W</t>
  </si>
  <si>
    <t>LUMINARIA LED SYLVANIA SYL-STREET DE 94 - 120W REF. P25903</t>
  </si>
  <si>
    <t>MANTENIMIENTO BASCULAS</t>
  </si>
  <si>
    <t>LUMINARIA PARA TUNEL 323W, 4000K, 120-277V, 34486 IM, DISTRIBUCION CLN, GRIS (INCLUYE UN CABLE DE 50CM 3X12) FUSIBLE DE 20A</t>
  </si>
  <si>
    <t>20/05/2024</t>
  </si>
  <si>
    <t>LUMINARIA PARA TUNEL 246W, 4000K, 120-277V, 30204 IM, DISTRIBUCION CLN, GRIS (INCLUYE UN CABLE DE 50CM 3X12) FUSIBLE DE 20A</t>
  </si>
  <si>
    <t>VARILLA CORRUGADA DE 1 1/4" ROSCADA EN UN EXTREMO PARA PERNO DE ANCLAJE LONG: 9MTS</t>
  </si>
  <si>
    <t>MANTENIMIENTO LOCATIVOS PEAJE</t>
  </si>
  <si>
    <t>28/05/2024</t>
  </si>
  <si>
    <t>ALQUILER EQUIPO OPERACION</t>
  </si>
  <si>
    <t>CUÑAS RADIALES EMISORA ONDAS DEL LUPIA</t>
  </si>
  <si>
    <t>VARIOS PESAJE</t>
  </si>
  <si>
    <t>04/06/2024</t>
  </si>
  <si>
    <t xml:space="preserve">ADECUACIONES </t>
  </si>
  <si>
    <t>07/06/2024</t>
  </si>
  <si>
    <t>FILTRO DE COMBUSTIBLE SAKURA REF. FC1702 PARA TORRE DE ILUMINACION</t>
  </si>
  <si>
    <t>12/06/2024</t>
  </si>
  <si>
    <t>FILTRO DE COMBUSTIBLE BALDWIN REF. BF1110</t>
  </si>
  <si>
    <t>FILTRO DE AIRE PREMIUM FILTERS REF. AIP-977</t>
  </si>
  <si>
    <t>FILTRO DE ACEITE BALDWIN REF. BT233</t>
  </si>
  <si>
    <t>FILTRO DE COMBUSTIBLE PREMIUM FILTERS REF. FLP-476</t>
  </si>
  <si>
    <t>FILTRO DE AIRE ACONDICIONADO PREMIUM FILTERS REF. ACP-071</t>
  </si>
  <si>
    <t>FILTRO DE AIRE NHR NKR NQR REF. 5070-1</t>
  </si>
  <si>
    <t xml:space="preserve">FILTRO DE ACEITE ELEMFIL FILTER PARA NHR REF. DOJ412D </t>
  </si>
  <si>
    <t>FILTRO DE COMBUSTIBLE SAKURA PARA NHR REF. F-1111</t>
  </si>
  <si>
    <t>FILTRO DE ACEITE PREMIUM FILTERS PARA NKR REF. OLP-100</t>
  </si>
  <si>
    <t>FILTRO DE COMBUSTIBLE ACDELCO PARA NKR - NQR REF. 19279641</t>
  </si>
  <si>
    <t>FILTRO TRAMPA COMBUSTIBLE ACDELCO PARA NKR - NQR REF. 19279642</t>
  </si>
  <si>
    <t>FILTRO DE ACEITE ELEMFIL FILTER PARA NQR REF. DOJ518D</t>
  </si>
  <si>
    <t xml:space="preserve">ARANDELA DE COBRE PARA TAPON DEL CARTER </t>
  </si>
  <si>
    <t xml:space="preserve">FILTRO DE COMBUSTIBLE BALDWIN REF.BF790 PARA COMPRESOR KAESSER CARRO PINTURA </t>
  </si>
  <si>
    <t xml:space="preserve">FILTRO DE ACEITE BALDWIN REF. B161-S PARA COMPRESOR KAESSER CARRO PINTURA </t>
  </si>
  <si>
    <t xml:space="preserve">FILTRO DE AIRE REF. RS3990 PARA COMPRESOR KAESSER CARRO PINTURA </t>
  </si>
  <si>
    <t>FILTRO PLASTICO PASO DE COMBUSTIBLE BALDWIN REF.BF7725 PARA COMPRESOR KAESSER CARRO PINTURA</t>
  </si>
  <si>
    <t>FILTRO DE ACEITE HIDRAULICO SAKURA REF. C-1908 PARA COMPRESOR KAESSER CARRO PINTURA</t>
  </si>
  <si>
    <t>ACEITE 15W40 RUBIA OPT. 1100 TOTAL ENERGY</t>
  </si>
  <si>
    <t xml:space="preserve"> TENSOR ABONADO PLASTICO ENSAMBLADO CON GANCHO</t>
  </si>
  <si>
    <t>17/06/2024</t>
  </si>
  <si>
    <t>TROMPO PLATINA ALUMINIO PARA FIBRA OPTICA</t>
  </si>
  <si>
    <t>HERRAJE DE RETENCION HELICOIDAL 80CM (CABLE DE 12.1 A 12.9MM)</t>
  </si>
  <si>
    <t>MUFLA TIPO DOMO 48 HILOS MECANICA 4 SALIDAS</t>
  </si>
  <si>
    <t>GALVANIZADO EN FRIO SPRAY N-COKS 400ML</t>
  </si>
  <si>
    <t>TUERCA DE ACOPLE 3/8" EN ACERO GALVANIZADO PARA UNIR VARILLA ROSCADA</t>
  </si>
  <si>
    <t>GRAPA DE SUJECCION BANDEJA A MENSULA EN ACERO LAMINADO EN FRIO CALIBRE 12, ACABADO GALVANIZADO POR INMERSION EN CALIENTE , MEDIDAS 50 X 41MM</t>
  </si>
  <si>
    <t>ARANDELA PLANA CUADRADA 3/8" EN ACERO LAMINADO EN CALIENTE</t>
  </si>
  <si>
    <t>TUERCA HEXAGONAL 3/8" EN ACERO, ACABADO GALVANIZADO POR INMERSION EN CALIENTE</t>
  </si>
  <si>
    <t xml:space="preserve">ARANDELA PLANA REDONDA 3/8" EN ACERO LAMINADO EN FRIO CALIBRE 14, ACABADO GALVANIZADO POR INMERSION EN CALIENTE </t>
  </si>
  <si>
    <t>VARILLA ROSCADA 3/8" X 3M EN ACERO, ACABADO GALVANIZADO POR INMERSION EN CALIENTE</t>
  </si>
  <si>
    <t>CANAL ESTRUCTURAL SENCILLA BAJA 7/8" X 3MTS TROQUELADA EN ACERO LAMINADO EN FRIO CALIBRE 14, ACABADO GALVANIZADO POR INMERSION EN CALIENTE</t>
  </si>
  <si>
    <t>BANDEJA PORTACABLES SOLDADA EN ACERO LAMINADO EN FRIO, ACABADO GALVANIZADO POR INMERSION EN CALIENTE, ANCHO NOMINAL 30CM, LONG. 240CM, LATERAL DE 15CM CAL. 16 Y 14 PELDAÑOS CAL. 18 (INCLUYE 1 DIVISION CAL. 20)</t>
  </si>
  <si>
    <t xml:space="preserve">TORNILLO DE CARRUAJE EN ACERO DE 3/8" X 1" </t>
  </si>
  <si>
    <t>PLATINA DE UNION PARA BANDEJA CON LATERAL 12-15CM CALIBRE 16</t>
  </si>
  <si>
    <t>GUASA DE PRESION EN ACERO 3/8"</t>
  </si>
  <si>
    <t>PLATINA DE UNION PARA CURVA DE BANDEJA</t>
  </si>
  <si>
    <t>CANAL ESTRUCTURAL TROQUELADO 4 X 4CM X 2.40MTS  EN ACERO LAMINADO EN FRIO, ACABADO GALVANIZADO POR INMERSION EN CALIENTE</t>
  </si>
  <si>
    <t>TUBO EMT DE 3/4" X 3MTS</t>
  </si>
  <si>
    <t>TUBO EMT DE 1" X 3MTS</t>
  </si>
  <si>
    <t>CURVA EMT DE 1"</t>
  </si>
  <si>
    <t xml:space="preserve">GRAPA VIGA CANAL 1/4" PLATINA GALVANIZADA EN CALIENTE </t>
  </si>
  <si>
    <t>POSTE PARA REDES MONOLITICO EN FIBRA DE VIDRIO LONG. 10MTS</t>
  </si>
  <si>
    <t>UNION IMC DE 1"</t>
  </si>
  <si>
    <t>TUBO IMC DE 1" X 3MTS</t>
  </si>
  <si>
    <t xml:space="preserve">HEBILLA PARA CINTA BANDIT 3/4" </t>
  </si>
  <si>
    <t>TUBO IMC 3/4" X 6MTS</t>
  </si>
  <si>
    <t>SWITCH DE COMUNICACIONES ALLIED TELESIS MOD. AT-IS230-10GP</t>
  </si>
  <si>
    <t>MICROSWITCH XURUI MIC/SW PALANCA LARGA MET 15A 125V/250VAC REF. XZ15HW24-B</t>
  </si>
  <si>
    <t>MICROSWITCH XURUI F/CRA FINALES DE CARRERA PALANCA AJUSTABLE ROLDANA 10A 250VAC REF. XZ-9108</t>
  </si>
  <si>
    <t>FUENTE DE ALIMENTACION MEAN WELL 24V  100-240VAC MODL: DR-60-24</t>
  </si>
  <si>
    <t xml:space="preserve">CONVERSOR DE MEDIOS TP-LINK MOD. MC200CM DUPLEX SC A ETHERNET 500MTS DE ALCANCE </t>
  </si>
  <si>
    <t>UNIDADES TERMICAS IMPRESORA EPSON (THERMAL PRINT HEAD) REF. TM-T88V</t>
  </si>
  <si>
    <t>UNIDADES CORTADORAS IMPRESORA EPSON (AUTO CUTTER UNIT) TM-T88V POS RECEIPT PRINTERS</t>
  </si>
  <si>
    <t>INVERSOR 100W MOD. DAC-2424 INPUT: DC24V RATED OUTPUT: AC24V 60HZ</t>
  </si>
  <si>
    <t>FILTRO Y DISPOSITIVO DE PROTECCION CONTRA SOBRETENSIONES ALLEN BRADLEY REF. 4893-DC 120VAC 5A 60HZ</t>
  </si>
  <si>
    <t>FUENTE DE ALIMENTACION MEAN WELL MOD. NDR-240-24 INPUT: 100-240VAC 2.8A OUTPUT: 24V 10A</t>
  </si>
  <si>
    <t>RELE CONTACTOR AUXILIAR 2NC/2NO 240VAC ALLEN BRADLEY REF. 700-CF220L</t>
  </si>
  <si>
    <t>TARJETA CONTROLADORA DELL PERC H840 CACHER12GB // (8GB-12GBPS) BACKET LARGO  PARA RACK</t>
  </si>
  <si>
    <t>PELACABLE DE FIBRA CFS-3 FIBER OPTIC STRIPPER</t>
  </si>
  <si>
    <t>PATCH CORD MICROLINK P/N: LCLCT2C-1-AA LC/PC - LC/PC SM 2MM LONG. 1M</t>
  </si>
  <si>
    <t>PATCH CORD MICROLINK P/N: LCSCAT1C-1-AA LC/PC - SC/APC SM 2MM LONG. 1M</t>
  </si>
  <si>
    <t>PATCH CORD MICROLINK P/N: LCSCT1C-1-AA LC/PC - SC/PC SM 2MM LONG. 1M</t>
  </si>
  <si>
    <t>PATCH CORD MICROLINK P/N: SCSCT1C-1-AA SC/PC - SC/PC SM 2MM LONG. 1M</t>
  </si>
  <si>
    <t>PATCH CORD MICROLINK P/N: SCSCAT1C-1-AA SC/PC - SC/APC SM 2MM LONG. 1M</t>
  </si>
  <si>
    <t>PATCH CORD MICROLINK P/N: SCASCAT1C-1-AA SC/APC - SC/APC SM 2MM LONG. 1M</t>
  </si>
  <si>
    <t xml:space="preserve">CONECTOR RAPIDO DE FIBRA OPTICA TIPO CAIMAN MECANICO TIPO: SC/APC-H01 </t>
  </si>
  <si>
    <t>LOCALIZADOR VISUAL DE FALLAS MOD. VFL650-8S-3013 DISTANCIA:30KM POWER OUTPUT: 30NW (INCLUYE ESTUCHE DE TRANSPORTE)</t>
  </si>
  <si>
    <t>TERMOENCOGIBLES FP-06 60MM - PAQUETE X 100UNDS</t>
  </si>
  <si>
    <t>DESCHAQUETADORA PELACABLE DE FIBRA OPTICA (STRIPPER DROP) OR-16</t>
  </si>
  <si>
    <t>TRANSFORMADOR DE CONTROL PURO MONOFASICO SECO DE 200 VA, ENTRADA: 460-440VAC - SALIDA: 220 - 110VAC MARCA EL WATTIO</t>
  </si>
  <si>
    <t>TELEFONO IP CISCO UNIFIED SIP PHONE CP-3905, CHARCOAL, STANDARD HANDSET</t>
  </si>
  <si>
    <t>ADAPTADOR DE CORRIENTE PARA TELEFONO IP CISCO UNIFIED SIP PHONE CP-3905</t>
  </si>
  <si>
    <t xml:space="preserve">SEÑAL VIAL SIT (RADIO FM 94.1) TABLERO DE 60X72CM EN LAMINA GALVANIZADA CAL. 16 CON REFLECTIVO DIAMANTE AL CUBO GD3 TIPO XI COLOR BLANCO 3M E IMPRESION EN TINTAS TRASLUCIDAS COLOR AZUL CON ANTIGRAFFITI, INCLUYE ESTRUCTURA PEDESTAL EN ANGULO DE 2X2X1/4" Y </t>
  </si>
  <si>
    <t>CINTA BANDIT 16MM (5/8") ROLLO X 30.5 METROS</t>
  </si>
  <si>
    <t>CAJA PLASTICA DE PASO O DERIVACION IP-55 10X10X8</t>
  </si>
  <si>
    <t>CAJA PLASTICA DE PASO O DERIVACION 10X10X7</t>
  </si>
  <si>
    <t>CAMARA HIKVISION EXIR TIPO BALA IP 4MP 4MM REF. H.2265+</t>
  </si>
  <si>
    <t>RELEC VIGILANTE DE SOBRETENSION ANALOGO KLEMSAN 480V</t>
  </si>
  <si>
    <t>DISPOSITIVO DE PROTECCION SURGE DPS INADISA REF. SPD - 10KP320</t>
  </si>
  <si>
    <t>DISPOSITIVO DE PROTECCION SURGE DPS INADISA REF. SPD - 10KP275</t>
  </si>
  <si>
    <t>MANETA 150*25 ZK-ZK + L1PST PARA BARANDAS DE PROTECCION PARA S.O.S REF. 4003055</t>
  </si>
  <si>
    <t>BREAKER TIPO RIEL EASY9 C20 SCHNEIDER REF. EZ9F56120</t>
  </si>
  <si>
    <t>CONTROLADOR PLC M221 RELAY ETHERNET SCHNEIDER</t>
  </si>
  <si>
    <t xml:space="preserve">PERNO DE OJO CERRADO DE 5/8" X 12" </t>
  </si>
  <si>
    <t>ABRAZADERA O COLLARIN DE DOS SALIDAS 5-6 PL 1-4 IDEM 140MM</t>
  </si>
  <si>
    <t>CURVA PVC CONDUIT 90° DE 1"</t>
  </si>
  <si>
    <t>MANTO PERMANENTE TERRATRAC TRM-15</t>
  </si>
  <si>
    <t>FIBRA OPTICA Y ACCESORIOS</t>
  </si>
  <si>
    <t>VARIOS POSTES SOS</t>
  </si>
  <si>
    <t>OBRAS EMERGENCIA INVERNAL</t>
  </si>
  <si>
    <t>079 - OBRAS MENORES</t>
  </si>
  <si>
    <t>21/06/2024</t>
  </si>
  <si>
    <t>ESTUDIOS Y DISEÑOS EMERGENCIA INVERNAL</t>
  </si>
  <si>
    <t>ALQUILER EQUIPO EMERGENCIA INVERNAL</t>
  </si>
  <si>
    <t>PULIDORA BOSCH 9" 2200W 15A 6600RPM</t>
  </si>
  <si>
    <t>MAQUINA MOTOSIERRA STIHL DE 50CM 2.9HP 45.4CC MOD. MS250</t>
  </si>
  <si>
    <t>HITO DELINEADOR FLEXIBLE AMARILLO DE 78 CM CON TRES FRANJAS REFLECTIVAS EN ALTA INTENSIDAD (INCLUYE ACCESORIOS PARA INSTALACION).</t>
  </si>
  <si>
    <t>SOBRELAMPRA PARA LUMINARIA 2 BOMBILLAS, CON CELOSIA DE VENTILACION, CALIBRE 20, MEDIDAS 39X34X25</t>
  </si>
  <si>
    <t>SOBRELAMPRA PARA LUMINARIA 4 BOMBILLAS, CON CELOSIA DE VENTILACION, CALIBRE 20, MEDIDAS 80X48X24</t>
  </si>
  <si>
    <t>SOBRELAMPRA PARA LUMINARIA 6 BOMBILLAS, CON CELOSIA DE VENTILACION, CALIBRE 20, MEDIDAS 80X58X24</t>
  </si>
  <si>
    <t>VISOR CARETA EN MALLA DE GUADAÑAR CON BASCULANTE AJUSTABLE A CASCO</t>
  </si>
  <si>
    <t>CEPILLO CIRCULAR DE ALAMBRE HILTI HIT-RB 9/16"</t>
  </si>
  <si>
    <t>BROCA HILTI SDS PLUS TE-CX DE 1/2" X 16" X 18" PARA CONCRETO</t>
  </si>
  <si>
    <t>BROCA HILTI SDS PLUS TE-C DE 1/2" X 16" X 18" PARA CONCRETO</t>
  </si>
  <si>
    <t>MEZCLADOR BOQUILLA HILTI HIT-RE-M</t>
  </si>
  <si>
    <t>BANDEJA DISTRIBUIDORA DE FIBRA OPTICA GLC ADAPTADOR Y PIGTAIL SC/APC X96 PUERTOS</t>
  </si>
  <si>
    <t xml:space="preserve">SPLITTER DESBALANCEADO FIBERHOME TIPO FBT / 1X2 / 20/80 PARA FUSION </t>
  </si>
  <si>
    <t xml:space="preserve">SPLITTER DESBALANCEADO FIBERHOME TIPO FBT / 1X2 / 25/75 PARA FUSION </t>
  </si>
  <si>
    <t>CAJA DE PROTECCION DE EMPALME PARA FIBRA OPTICA TIPO: SC/APC</t>
  </si>
  <si>
    <t>CABLE PIGTAIL LINKEDPRO DE FIBRA OPTICA / MONOMODO SC/APC /SIMPLEX LONG. 1 METRO</t>
  </si>
  <si>
    <t>AIRE ACONDICIONADO MINI SPLIT 9000BTU 115V / MARCA: HACEB / REF. AA BARU 9 ON/OFF 110BL / MODELO: HAO169BT (INCLUYE UNIDAD INTERNA Y UNIDAD EXTERNA)</t>
  </si>
  <si>
    <t>03/07/2024</t>
  </si>
  <si>
    <t>FIBRA OPTICA LINKEDPRO AEREA ADSS G.652D / MONOMODO DE 48 HILOS / SPAN 100 EXTERIOR / LOOSE TUBE</t>
  </si>
  <si>
    <t>04/07/2024</t>
  </si>
  <si>
    <t>PANTALÓN JEANS MUJER TALLA 16</t>
  </si>
  <si>
    <t>05/07/2024</t>
  </si>
  <si>
    <t>PANTALÓN JEANS HOMBRE TALLA 28</t>
  </si>
  <si>
    <t xml:space="preserve">APOSITO OCULAR PARCHE COLOR PIEL PARA ADULTO </t>
  </si>
  <si>
    <t>SOLUCION SALINA / SUERO FISIOLOGICO X 1000ML</t>
  </si>
  <si>
    <t xml:space="preserve">HILO COSTURA IND. 6000 PARA GEOCONTENEDOR </t>
  </si>
  <si>
    <t>SOPORTE Y MTO ROADPASS</t>
  </si>
  <si>
    <t>23/07/2024</t>
  </si>
  <si>
    <t>PARAL DUPLEX PARA SEÑAL VERTICAL 60X60</t>
  </si>
  <si>
    <t>08/08/2024</t>
  </si>
  <si>
    <t>SEÑAL SR06 "PROHIBIDO GIRAR A LA IZQUIERDA" TABLERO 60X60 EN LAMINA GALVANIZADA CAL.16 CON REFLECTIVO DIAMANTE AL CUBO TIPO XI E IMPRESION EN TINTAS TRASLUCIDAS 3M CON PINTURA ELECTROSTATICA EN EL REVERSO + ANTIGRAFITI</t>
  </si>
  <si>
    <t>FILTRO DE AIRE IFL TOYOTA REF. FA0010</t>
  </si>
  <si>
    <t>30/08/2024</t>
  </si>
  <si>
    <t>CANDADO DE SEGURIDAD</t>
  </si>
  <si>
    <t>02/09/2024</t>
  </si>
  <si>
    <t>VARIOS TUNELES</t>
  </si>
  <si>
    <t>09/09/2024</t>
  </si>
  <si>
    <t>MICROESFERA DE VIDRIO ECHOSTAR TIPO 5  - BULTO X 25KG</t>
  </si>
  <si>
    <t>SEÑAL SIO "A 90 M" DE 100 X 25 CM LAMINA GALVANIZADA CAL. 20 CON REFLECTVO TIPO IV 3M NARANJA + ANTIGRAFITTY</t>
  </si>
  <si>
    <t>TUBERIA NOVAFORT DE 6" X 6 MTS</t>
  </si>
  <si>
    <t>23/09/2024</t>
  </si>
  <si>
    <t>MANO DE OBRA</t>
  </si>
  <si>
    <t>23/10/2024</t>
  </si>
  <si>
    <t>MATERIALES</t>
  </si>
  <si>
    <t>INSTALACION PUENTE MILITAR</t>
  </si>
  <si>
    <t>FILTRO DE AIRE PREMIUM FILTERS REF. AIP-928</t>
  </si>
  <si>
    <t>FILTRO DE ACEITE ELEMFIL FILTER REF. DOJ218</t>
  </si>
  <si>
    <t>ASESORIAS FINANCIERAS</t>
  </si>
  <si>
    <t>19/11/2024</t>
  </si>
  <si>
    <t>ACEITE MOBIL SUPER 10W30 4T CUARTO ( VERDE)</t>
  </si>
  <si>
    <t>26/12/2024</t>
  </si>
  <si>
    <t>ACEITE MOBIL  MOTO 4T 20W50 (AZUL)</t>
  </si>
  <si>
    <t>TERPEL CELERITY 2T ANTIHUMO</t>
  </si>
  <si>
    <t>GRASA MOTOR LUB 16L (CANECA)</t>
  </si>
  <si>
    <t>% - Porcentaje</t>
  </si>
  <si>
    <t>28/12/2024</t>
  </si>
  <si>
    <t>FILTRO DE AIRE  AUTO PARTS REF GA1127</t>
  </si>
  <si>
    <t>FILTRO DE ACEITE AUTO PARTS  REF GS457</t>
  </si>
  <si>
    <t>FILTRO COMBUSTIBLE  AUTO PARTS REF  G937</t>
  </si>
  <si>
    <t>PARAL TRIPODE PARA SEÑAL  DE APROXIMACION</t>
  </si>
  <si>
    <t xml:space="preserve">FILTRO ACEITE B179 LUMINARIA FLEETGUARD </t>
  </si>
  <si>
    <t>31/12/2024</t>
  </si>
  <si>
    <t>FILTRO COMBUSTIBLE BF5587-D BALDWIN FILTERS</t>
  </si>
  <si>
    <t xml:space="preserve">FILTRO COMBUSTIBLE  BF825 BALDWIN FILTERS </t>
  </si>
  <si>
    <t>FILTRO DE AIRE  KAESER 6.4163</t>
  </si>
  <si>
    <t>CAMARA COLOMBIANA DE INFRAESTRUCTURA</t>
  </si>
  <si>
    <t>082 - CONTRIBUCIONES Y AFILIACIONES</t>
  </si>
  <si>
    <t>ARRENDAMIENTO USUARIOS SINCO</t>
  </si>
  <si>
    <t>HORAS ACOMPAÑAMIENTO SINCO</t>
  </si>
  <si>
    <t>VEHICULOS, MAQUINARIA Y EQUIPO</t>
  </si>
  <si>
    <t>OPERACION INTEGRAL ESTACIÓN DE PEAJE SLG</t>
  </si>
  <si>
    <t>EMISION FACTURACION ELECTRONICA PEAJES</t>
  </si>
  <si>
    <t>MANTENIMIENTO CORRECTIVO MTO VIAL</t>
  </si>
  <si>
    <t>085 - MANTENIMIENTO VEHICULOS  MTO</t>
  </si>
  <si>
    <t>MANTENIMIENTO PREVENTIVO MTO VIAL</t>
  </si>
  <si>
    <t>LLANTAS MTO VIAL</t>
  </si>
  <si>
    <t>093 - ACCESORIOS MTO</t>
  </si>
  <si>
    <t>BATERIA MTO VIAL</t>
  </si>
  <si>
    <t>ACEITE MOBIL 15W40 GALON</t>
  </si>
  <si>
    <t>21/01/2025</t>
  </si>
  <si>
    <t>ACEITE MOBIL  15W40 CUARTO</t>
  </si>
  <si>
    <t>FILTRO DE ACEITE FLEETGUARD B179</t>
  </si>
  <si>
    <t xml:space="preserve">ACEITE ULTREK 15W40 PLUS  GALON TERPEL </t>
  </si>
  <si>
    <t>ACEITE TERPEL  ULTREK 15W40 CI4 BALDE (5 GALONES)</t>
  </si>
  <si>
    <t xml:space="preserve">BATERIA 27 --R1150 MAC </t>
  </si>
  <si>
    <t>RELEVO REPOL 12VDC RM699BV_3011-85-1012/46983</t>
  </si>
  <si>
    <t>29/01/2025</t>
  </si>
  <si>
    <t>AUTO CUTTER IMPRESORA TM-T88V</t>
  </si>
  <si>
    <t>THERMAL PRINT- CABEZAL TERMICO TM-T88V</t>
  </si>
  <si>
    <t>THERMAL PRINT- CABEZAL  TERMICO TM-T88V</t>
  </si>
  <si>
    <t>PANEL LED 18W PHILIPS INCRUSTAR REDONDO 6500K</t>
  </si>
  <si>
    <t>IMPRESORA TERMICA EPSON T88V</t>
  </si>
  <si>
    <t>MANTENIMIENTO CORRECTIVO OP VIAS</t>
  </si>
  <si>
    <t>090 - MANTENIMIENTO VEHICULOS OP VIAL</t>
  </si>
  <si>
    <t>MANTENIMIENTO PREVENTIVO OP VIAS</t>
  </si>
  <si>
    <t>LLANTAS OP VIAS</t>
  </si>
  <si>
    <t>094 - ACCESORIOS OP VIAL</t>
  </si>
  <si>
    <t>BATERIA OP VIAS</t>
  </si>
  <si>
    <t>COMBUSTIBLE  OP VIAS</t>
  </si>
  <si>
    <t>MANTENIMIENTO CORRECTIVO SOCIAL</t>
  </si>
  <si>
    <t>088 - MANTENIMIENTO VEHICULOS GS</t>
  </si>
  <si>
    <t>MANTENIMIENTO PREVENTIVO SOCIAL</t>
  </si>
  <si>
    <t>LLANTAS SOCIAL</t>
  </si>
  <si>
    <t>091 - ACCESORIOS GS</t>
  </si>
  <si>
    <t>BATERIA SOCIAL</t>
  </si>
  <si>
    <t>COMBUSTIBLE  SOCIAL</t>
  </si>
  <si>
    <t>086 - COMBUSTIBLES Y LUBRICANTES GS</t>
  </si>
  <si>
    <t>MANTENIMIENTO CORRECTIVO ADMIN</t>
  </si>
  <si>
    <t>089 - MANTENIMIENTO VEHICULOS ADMIN</t>
  </si>
  <si>
    <t>MANTENIMIENTO PREVENTIVO ADMIN</t>
  </si>
  <si>
    <t>LLANTAS ADMIN</t>
  </si>
  <si>
    <t>092 - ACCESORIOS ADMIN</t>
  </si>
  <si>
    <t>BATERIA ADMIN</t>
  </si>
  <si>
    <t>COMBUSTIBLE  ADMIN</t>
  </si>
  <si>
    <t>007 - COMBUSTIBLES Y LUBRICANTES CTA</t>
  </si>
  <si>
    <t>COMBUSTIBLE EQUIPOS MENORES</t>
  </si>
  <si>
    <t>30/01/2025</t>
  </si>
  <si>
    <t>MANTENIMIENTO EQUIPOS MENORES</t>
  </si>
  <si>
    <t>BATERIA 12-9 FLU (FL12-9GS)</t>
  </si>
  <si>
    <t>03/02/2025</t>
  </si>
  <si>
    <t>MANTENIMIENTO PLANTA ELECTRICA</t>
  </si>
  <si>
    <t>04/02/2025</t>
  </si>
  <si>
    <t>VIATICOS POLCA</t>
  </si>
  <si>
    <t>KIT DE REPUESTOS (CCTV)</t>
  </si>
  <si>
    <t>KIT DE REPUESTOS CONTROL DE TUNELES</t>
  </si>
  <si>
    <t>KIT DE REPUESTOS (SOS)</t>
  </si>
  <si>
    <t>13/05/2025</t>
  </si>
  <si>
    <t>MANTENIMIENTO EXTINTORES</t>
  </si>
  <si>
    <t>SEÑALIZACIÓN SST</t>
  </si>
  <si>
    <t>080 - COSTOS ADMINISTRATIVOS</t>
  </si>
  <si>
    <t>EQUIPOS DE ALTURAS</t>
  </si>
  <si>
    <t>INSUMOS BOTIQUIN</t>
  </si>
  <si>
    <t>SERVICIO ENERGIA PANELES MENSAJERIA</t>
  </si>
  <si>
    <t>SERVICIO ENERGIA ESTACION TOMA DATOS</t>
  </si>
  <si>
    <t>SERVICIO ENERGIA TUNELES</t>
  </si>
  <si>
    <t>ACCESORIOS GS</t>
  </si>
  <si>
    <t>ACCESORIOS ADMIN</t>
  </si>
  <si>
    <t>ACCESORIOS MTO VIAL</t>
  </si>
  <si>
    <t>ACCESORIOS OP VIAL</t>
  </si>
  <si>
    <t>GORRA DE MALLA FRENTE DE BLANCO CON LOGO COLOR NEGRO</t>
  </si>
  <si>
    <t>Coordinación Administrativa</t>
  </si>
  <si>
    <t>26/02/2025</t>
  </si>
  <si>
    <t>GORRA DE MALLA FRENTE DE BLANCO CON LOGO COLOR AZUL</t>
  </si>
  <si>
    <t xml:space="preserve">BOTILITO 650ML CON LOGO A UNA TINTA </t>
  </si>
  <si>
    <t xml:space="preserve">LINTERNA CON CABLE TIPO C MARCADAS CON LOGO GRABADO LASER </t>
  </si>
  <si>
    <t>LLAVERO TIPO CAMION CON LOGO GRABADO LASER</t>
  </si>
  <si>
    <t xml:space="preserve">ANTIESTRES LIKE  LOGO A UNA TINTA </t>
  </si>
  <si>
    <t xml:space="preserve">MUG VIAJERO SILVER 450 ML </t>
  </si>
  <si>
    <t xml:space="preserve">PARAGUAS POLIESTER 22" APROX. CON MANGO PLASTICO Y VARILLAS METALICAS </t>
  </si>
  <si>
    <t xml:space="preserve">LLAVERO BALON CON CAPA IMPERMEABLE CIERRE DE ROSCA </t>
  </si>
  <si>
    <t>CORREO CERTIFICADO</t>
  </si>
  <si>
    <t>099 - CORREO CERTIFICADO</t>
  </si>
  <si>
    <t>GASTOS NOTARIALES</t>
  </si>
  <si>
    <t>OTRAS COMPRAS</t>
  </si>
  <si>
    <t>PARQUEADEROS</t>
  </si>
  <si>
    <t>100 - PARQUEADEROS</t>
  </si>
  <si>
    <t xml:space="preserve">GRAVAMEN MVTO FINANCIERO	</t>
  </si>
  <si>
    <t>022 - GRAVAMEN A LOS MOVIMIENTOS FINANCIEROS GMF</t>
  </si>
  <si>
    <t>REPARACIONES LOCATIVAS</t>
  </si>
  <si>
    <t>101 - REPARACIONES LOCATIVAS</t>
  </si>
  <si>
    <t>SERVICIO TRANSPORTES FLETES Y ACARREOS</t>
  </si>
  <si>
    <t>TRANSPORTES, TAXIS Y BUSES</t>
  </si>
  <si>
    <t>102 - TRANSPORTES, TAXIS Y BUSES</t>
  </si>
  <si>
    <t>OTROS SERVICIOS</t>
  </si>
  <si>
    <t>PINTURA</t>
  </si>
  <si>
    <t>OTRAS COMPRAS MTO VIAL</t>
  </si>
  <si>
    <t>103 - OTRAS COMPRAS MTO VIAL</t>
  </si>
  <si>
    <t>OTROS SERVICIOS MTO VIAL</t>
  </si>
  <si>
    <t>104 - OTROS SERVICIOS MTO VIAL</t>
  </si>
  <si>
    <t>TRAMITES Y LICENCIAS</t>
  </si>
  <si>
    <t>105 - TRAMITES Y LICENCIAS</t>
  </si>
  <si>
    <t>HONORARIOS JUNTA DIRECTIVA</t>
  </si>
  <si>
    <t>HONORARIOS COMITE GOBIERNO CORPORATIVO</t>
  </si>
  <si>
    <t>HONORARIOS JUNTA DIRECTIVA CS</t>
  </si>
  <si>
    <t>AUDITORIA GOBIERNO CORPORATIVO</t>
  </si>
  <si>
    <t>RETENCION ICA SAN LUIS</t>
  </si>
  <si>
    <t>106 - RETENCION ICA SAN LUIS</t>
  </si>
  <si>
    <t>06/03/2025</t>
  </si>
  <si>
    <t>RETENCION ICA GUATEQUE</t>
  </si>
  <si>
    <t>107 - RETENCION ICA GUATEQUE</t>
  </si>
  <si>
    <t>RETENCION ICA GARAGOA</t>
  </si>
  <si>
    <t>108 - RETENCION ICA GARAGOA</t>
  </si>
  <si>
    <t>RETENCION ICA MACHETA</t>
  </si>
  <si>
    <t>109 - RETENCION ICA MACHETA</t>
  </si>
  <si>
    <t>RETENCION ICA SUTATENZA</t>
  </si>
  <si>
    <t>110 - RETENCION ICA SUTATENZA</t>
  </si>
  <si>
    <t>KIT REPUESTOS PESAJE MACHETA</t>
  </si>
  <si>
    <t>KIT REPUESTOS PESAJE SLG</t>
  </si>
  <si>
    <t>COMPRAS MANTENIMIENTO LOCATIVO PESAJE</t>
  </si>
  <si>
    <t>08/03/2025</t>
  </si>
  <si>
    <t>COMPRAS MANTENIMIENTO LOCATIVO PEAJE</t>
  </si>
  <si>
    <t>SERVICIOS MANTENIMIENTO LOCATIVO PESAJE</t>
  </si>
  <si>
    <t>SERVICIOS MANTENIMIENTO LOCATIVO PEAJE</t>
  </si>
  <si>
    <t>UNIDAD SANITARIA PORTATIL</t>
  </si>
  <si>
    <t>11/03/2025</t>
  </si>
  <si>
    <t>INSUMOS AREAS DE SERVICIOS</t>
  </si>
  <si>
    <t>SERVICIOS MANTENIMIENTO CCO</t>
  </si>
  <si>
    <t>COMPRAS MANTENIMIENTO CCO</t>
  </si>
  <si>
    <t xml:space="preserve">MANGAS DEPORTIVAS COLOR BLANCO AZUL CON FRASE CAMPAÑA Y LOGOS A COLOR </t>
  </si>
  <si>
    <t>12/03/2025</t>
  </si>
  <si>
    <t xml:space="preserve">CUELLO DE 48*48*24 COLOR AZUL CON LOGO </t>
  </si>
  <si>
    <t>ASESORIAS LEGALES</t>
  </si>
  <si>
    <t>DOTACION OP VIAL</t>
  </si>
  <si>
    <t xml:space="preserve">112 - DOTACION OP VIAL </t>
  </si>
  <si>
    <t>BOLSAS PUNTOS ECOLOGICOS</t>
  </si>
  <si>
    <t>GUANTES MANIPULACION RESIDUOS</t>
  </si>
  <si>
    <t>SEÑALIZACION MANEJO AMBIENTAL</t>
  </si>
  <si>
    <t>MEDICION LUMINANCIA</t>
  </si>
  <si>
    <t>HONORARIOS TECNICA</t>
  </si>
  <si>
    <t>24/04/2025</t>
  </si>
  <si>
    <t>15/05/2025</t>
  </si>
  <si>
    <t>OBRAS MENORES</t>
  </si>
  <si>
    <t xml:space="preserve">FILTRO ACEITE BT 223 BALDWIN FILTERS </t>
  </si>
  <si>
    <t>28/04/2025</t>
  </si>
  <si>
    <t>CAPITAL DEUDA SENIOR</t>
  </si>
  <si>
    <t>114 - CAPITAL DEUDA SENIOR</t>
  </si>
  <si>
    <t>29/04/2025</t>
  </si>
  <si>
    <t xml:space="preserve"> DIENTE FRESADORA 14"/24"/40" MARCA BOBCAT REF.  7 287 132  - (M | UND)</t>
  </si>
  <si>
    <t>07/05/2025</t>
  </si>
  <si>
    <t xml:space="preserve">FILTRO COMBUSTIBLE  REF 26560143 CCO . GEN </t>
  </si>
  <si>
    <t>10/05/2025</t>
  </si>
  <si>
    <t xml:space="preserve">FILTRO ACEITE 2654407 GEN   CCO </t>
  </si>
  <si>
    <t xml:space="preserve">FILTRO AIRE EXTERNO 26510353  GEN CCO </t>
  </si>
  <si>
    <t xml:space="preserve">ACEITE COEXITO  GL 15W 40   </t>
  </si>
  <si>
    <t xml:space="preserve">FILTRO COMBUSTIBLE BF 720   GEN ITS Y ELECT </t>
  </si>
  <si>
    <t>KIT DE REPUESTOS (PMVM)</t>
  </si>
  <si>
    <t>KIT DE REPUESTOS (PMVF)</t>
  </si>
  <si>
    <t>KIT DE REPUESTOS (PASOS SEGUROS)</t>
  </si>
  <si>
    <t>KIT DE REPUESTOS ( RADIO COMUNICAICION)</t>
  </si>
  <si>
    <t>KIT DE REPUESTOS (CONTROL DE GALIBOS)</t>
  </si>
  <si>
    <t>KIT DE REPUESTOS Y CALIBRACION (SENSORES AMBIENTALES)</t>
  </si>
  <si>
    <t>FILTRO DE AIRE INTERIOR  RS 3549 GEN ITS  Y ELECTRICA</t>
  </si>
  <si>
    <t>14/05/2025</t>
  </si>
  <si>
    <t>FILTRO DE AIRE EXTERIOR  RS 3703 GEN ITS Y ELECTR</t>
  </si>
  <si>
    <t>FILTRO COMBUSTIBLE  FF5052 GEN  ITS Y ELECTR</t>
  </si>
  <si>
    <t>FILTRO COMBUSTIBLE AUXILIAR LF3345 GEN ITS Y ELECTRIC</t>
  </si>
  <si>
    <t>FILTRO ACEITE 1280 GEN ITS Y ELECTRIC</t>
  </si>
  <si>
    <t>FILTRO AIRE EXTERNO   PA 2913 GEN ITS Y ELECTRICA</t>
  </si>
  <si>
    <t>FILTRO COMBUSTIBLE 26561117 GEN ITS Y ELECTRIC</t>
  </si>
  <si>
    <t>FILTRO COMBUSTIBLE AUXILIAR 26561118 GEN ITS Y ELECTRIC</t>
  </si>
  <si>
    <t>FILTRO ACEITE 2654403 GEN ITS Y ELECTRIC</t>
  </si>
  <si>
    <t>FILTRO AIRE 26510342 GEN ITS Y ELECTRIC</t>
  </si>
  <si>
    <t xml:space="preserve">FILTRO COMBUSTIBLE  FF5052 GEN OPERACIONES Y PEAJE </t>
  </si>
  <si>
    <t xml:space="preserve">FILTRO COMBUSTIBLE BT 339 GEN OPERACIONES Y PEAJE </t>
  </si>
  <si>
    <t xml:space="preserve">FILTRO ACEITE 1280 GEN OPERACIONES Y PEAJE </t>
  </si>
  <si>
    <t>ENSAYOS Y LABORATORIOS OBRAS MENORES</t>
  </si>
  <si>
    <t>FILTRO BASE TRAMPA  26561118  GEN OPERACIONES Y PEAJE</t>
  </si>
  <si>
    <t xml:space="preserve">FILTRO   AIRE EXTERNO  DA2505  GEN OPERACIONES Y PEAJE </t>
  </si>
  <si>
    <t xml:space="preserve">FILTRO COMBUSTIBLE 2656118 GEN OPERACION Y PEAJE </t>
  </si>
  <si>
    <t xml:space="preserve">FILTRO ACEITE B141  GEN  OPERACION Y  PEAJE </t>
  </si>
  <si>
    <t xml:space="preserve">FILTRO  BASE TRAMPA  BT 364 GEN  OPERACION Y PEAJE </t>
  </si>
  <si>
    <t xml:space="preserve">FILTRO AIRE AF 25075  GEN OPERACIONES Y PESAJE </t>
  </si>
  <si>
    <t xml:space="preserve">FILTRO COMBUSTIBLE  26560143 GEN OPERACION Y PESAJE </t>
  </si>
  <si>
    <t xml:space="preserve">FILTRO  ACEITE 2654407  GEN OPERACIONES Y PESAJE </t>
  </si>
  <si>
    <t>19/05/2025</t>
  </si>
  <si>
    <t xml:space="preserve">FILTRO AIRE EXTERNO 26510353  GEN  OPERACIONES Y PESAJE </t>
  </si>
  <si>
    <t xml:space="preserve">FILTRO COMBUSTIBLE BF720 GEN OPERACIONES Y PESAJE </t>
  </si>
  <si>
    <t xml:space="preserve">FILTRO ACEITE B14 GEN OPERACIONES Y PESAJE </t>
  </si>
  <si>
    <t>FILTRO  DE AIRE INERTIOR RS3549 GEN OPERACIONES Y PESAJE</t>
  </si>
  <si>
    <t xml:space="preserve">FILTRO AIRE EXTERIOR RS 3703 GEN OPERACIONES Y PESAJE </t>
  </si>
  <si>
    <t>AUDITORIA MODELO FINANCIERO</t>
  </si>
  <si>
    <t>FILTRO BASE TRAMPA  26561118 GEN ITS Y ELECTR</t>
  </si>
  <si>
    <t>FILTRO COMBUSTIBLE AUXILIAR  26560201 GEN ITS Y ELECTRI</t>
  </si>
  <si>
    <t xml:space="preserve">FILTRO COMBUSTIBLE BT 339 GEN OPERACION Y PEAJE </t>
  </si>
  <si>
    <t>EQUIPO OBRAS MENORES</t>
  </si>
  <si>
    <t>21/05/2025</t>
  </si>
  <si>
    <t>MATERIALES OBRAS MENORES</t>
  </si>
  <si>
    <t>TRANSPORTE OBRAS MENORES</t>
  </si>
  <si>
    <t>MANO DE OBRA OBRAS MENORES</t>
  </si>
  <si>
    <t>HONORARIOS GERENCIA</t>
  </si>
  <si>
    <t>26/05/2025</t>
  </si>
  <si>
    <t xml:space="preserve">FILTRO COMBUSTIBLE  FLP 355 PREMIUN FILTERS </t>
  </si>
  <si>
    <t xml:space="preserve">FILTRO  ACEITE 0LP- 002 PREMIUN FILTERS </t>
  </si>
  <si>
    <t>FILTRO DE AIRE AIP 543</t>
  </si>
  <si>
    <t xml:space="preserve">FILTRO DE AIRE AIP 543 PREMIUN FILTERS </t>
  </si>
  <si>
    <t xml:space="preserve">FILTRO COMBUSTIBLE FLP 355  PREMIUN FILTERS PARA CAMION WGQ </t>
  </si>
  <si>
    <t xml:space="preserve">FILTRO DE ACEITE OLP 002  PREMIUN FILTERS PARA CAMION WGQ </t>
  </si>
  <si>
    <t xml:space="preserve">FILTRO DE AIRE AIP 543 PREMIUN FILTERS PARA CAMION WGQ </t>
  </si>
  <si>
    <t>SERVICIO ALQUILER BAÑO PORTATIL ASEO OBRAS MENORES</t>
  </si>
  <si>
    <t>27/05/2025</t>
  </si>
  <si>
    <t>ALOJAMIENTO OBRAS MENORES</t>
  </si>
  <si>
    <t>HOSPEDAJE OBRAS MENORES</t>
  </si>
  <si>
    <t>HERRAMIENTAS ITS</t>
  </si>
  <si>
    <t>KIT REPUESTOS PEAJE MACHETA</t>
  </si>
  <si>
    <t>KIT REPUESTOS PEAJE SLG</t>
  </si>
  <si>
    <t xml:space="preserve"> SERVICIO ENERGIA  SISTEMA CONTROL TUNELES</t>
  </si>
  <si>
    <t>SEÑALIZACION OBRAS MENORES</t>
  </si>
  <si>
    <t>04/06/2025</t>
  </si>
  <si>
    <t>CONTENEDOR CAMPAMENTOS OBRAS MENORES</t>
  </si>
  <si>
    <t>COMPRAS OBRAS MENORES</t>
  </si>
  <si>
    <t>SERVICIOS OBRAS MENORES</t>
  </si>
  <si>
    <t>INTERESES CREDITO CAPITAL DE TRABAJO</t>
  </si>
  <si>
    <t>CABLEADO ESTRUCTURADO</t>
  </si>
  <si>
    <t xml:space="preserve">LONA DE FIBRA  TIPO TRINCHERA  46 CM * 70 CMS CON FILTRO UV </t>
  </si>
  <si>
    <t>10/06/2025</t>
  </si>
  <si>
    <t xml:space="preserve">BROCA DE TUNGSTENO 5/8" LONGITUD 17CM </t>
  </si>
  <si>
    <t>LLANA METALICA  PLANA MANGO DE PLASTICO CALIBRE 13 CMS * 28CMS</t>
  </si>
  <si>
    <t xml:space="preserve">SERRUCHO PARA MADERA  </t>
  </si>
  <si>
    <t xml:space="preserve">BROCA BOSCH  SDS  MAX  PARA MURO DE 3/4  X 8 X 13 </t>
  </si>
  <si>
    <t xml:space="preserve">ALICATE  8 1/2 " </t>
  </si>
  <si>
    <t xml:space="preserve">CLAVO  DE 1" PARA FIJACION   HILTI CAJA X100 UNIDADES </t>
  </si>
  <si>
    <t>11/06/2025</t>
  </si>
  <si>
    <t>FILTRO DE AIRE AIP 927  (VITARA)</t>
  </si>
  <si>
    <t>13/06/2025</t>
  </si>
  <si>
    <t>FILTRO DE ACEITE   FO4967</t>
  </si>
  <si>
    <t>FILTRO DE ACEITE  F04967 (VITARA )</t>
  </si>
  <si>
    <t xml:space="preserve">LIQUIDO DE FRENO  DOT </t>
  </si>
  <si>
    <t>LT - LITRO</t>
  </si>
  <si>
    <t>17/06/2025</t>
  </si>
  <si>
    <t xml:space="preserve">SERVICIO LINEAS OPERACIONES </t>
  </si>
  <si>
    <t>24/06/2025</t>
  </si>
  <si>
    <t>Retanqueo Consumo Peajes TAG</t>
  </si>
  <si>
    <t xml:space="preserve">CINTA DE ENMASCARAR  PRO FERRETERIA  48MM X 20 MTS TESA </t>
  </si>
  <si>
    <t>26/06/2025</t>
  </si>
  <si>
    <t>BROCA PARA MURO  SDS PLUS 1/2" X 4" X 6" DEWALT</t>
  </si>
  <si>
    <t>BROCA PARA   METAL  5/8" LONGITUD 17MM</t>
  </si>
  <si>
    <t xml:space="preserve">ALICATE DIABLO  MACHO INCOLMA </t>
  </si>
  <si>
    <t>ESCUADRA METALICA  40*60 CMS</t>
  </si>
  <si>
    <t>ESPADADRAPO DE 1"  5 Y</t>
  </si>
  <si>
    <t xml:space="preserve">LINTERNA DINAMO  RECARGABLE </t>
  </si>
  <si>
    <t xml:space="preserve">ALCOHOL  ANTISEPTICO  X345 ML </t>
  </si>
  <si>
    <t>MORRAL PARA BOTIQUIN PEQUEÑO  TIPO A</t>
  </si>
  <si>
    <t>MORRAL PARA BOTIQUIN GRANDE TIPO C</t>
  </si>
  <si>
    <t xml:space="preserve">GUANTE LATEX  EXAMEN   X 100 UND TALLA L </t>
  </si>
  <si>
    <t>SILBATO  FOX 40</t>
  </si>
  <si>
    <t xml:space="preserve">FILTRO DE AIRE ACP 138  PREMIUN FILTERS </t>
  </si>
  <si>
    <t xml:space="preserve">FILTRO DE AIRE AIP- 977 PREMIUN FILTERS </t>
  </si>
  <si>
    <t xml:space="preserve">PANEL  24 WINC REDONDO </t>
  </si>
  <si>
    <t xml:space="preserve">PANEL 24 W  INC  REDONDO </t>
  </si>
  <si>
    <t>PANEL 18 W  INC REDONDO</t>
  </si>
  <si>
    <t>PANEL 12 W  INC REDONDO</t>
  </si>
  <si>
    <t xml:space="preserve">SENSOR TECHO </t>
  </si>
  <si>
    <t xml:space="preserve">DRIVER  PARA PANEL  40 W  SYLVANIA </t>
  </si>
  <si>
    <t>BOTON DE SALIDA  ST// TIPO INTERRUPTOR O ( BOTON DE SALIDA ) PARA EL CONTROL  DE APERTURA DE PUERTAS.</t>
  </si>
  <si>
    <t>28/06/2025</t>
  </si>
  <si>
    <t>RUBO  TERMOENCOGIBLE  3MM ( COLOR NEGRO)</t>
  </si>
  <si>
    <t>TUBO TERMOENCOGIBLE  300  COLOR NEGRO</t>
  </si>
  <si>
    <t xml:space="preserve">AMARRE PLATICO  MULTIUSOS 7.0 *400MM </t>
  </si>
  <si>
    <t xml:space="preserve">CABLE DE PROGRAMACION RADIOS MOTOROLA </t>
  </si>
  <si>
    <t>FOTOCOBNTROLES AREA ELECTRICA</t>
  </si>
  <si>
    <t xml:space="preserve">FOTOCONTROLES AREA ELECTRICA  </t>
  </si>
  <si>
    <t>PANTALLA TACTIL PEAJE (MONITOR  ALLIED TELESIS  AT IE300- 12GP 80*8*10/1000T)</t>
  </si>
  <si>
    <t xml:space="preserve">CONVERTIDOR  DE FIBRA  SC  TP- LINK  MC 111CS MONOMODO DE 10/100 MBPS RJ45 A 100 MBPS // ADAPTADOR DE  CORRIENTE </t>
  </si>
  <si>
    <t xml:space="preserve">CONVERTIDOR  DE FIBRA TIPO  A   SC  TP- LINK  MC 111CS MONOMODO DE 10/100 MBPS RJ45 A 100 MBPS // ADAPTADOR DE  CORRIENTE  </t>
  </si>
  <si>
    <t xml:space="preserve">CONVERTIDOR  DE FIBRA  TIPO B  SC  TP- LINK  MC 111CS MONOMODO DE 10/100 MBPS RJ45 A 100 MBPS // ADAPTADOR DE  CORRIENTE </t>
  </si>
  <si>
    <t>RODILLO  6"</t>
  </si>
  <si>
    <t>02/07/2025</t>
  </si>
  <si>
    <t>PALUSTRE 7" CON MANGO DE PLASTICO</t>
  </si>
  <si>
    <t>MINERAL CORRIENTE  FERROXIDO  ROJO *500gr</t>
  </si>
  <si>
    <t>CUERDA PUITA  HILO DE FIBRA  CABUYA AGRICOLA *500MTS</t>
  </si>
  <si>
    <t>CUERDA PITA  HILO DE FIBRA  CABUYA AGRICOLA *500MTS</t>
  </si>
  <si>
    <t xml:space="preserve">HILO CAÑAMO </t>
  </si>
  <si>
    <t>CINCEL PUNTERO  MANGO PVC</t>
  </si>
  <si>
    <t>POSTE DE MADERA PLASTICA PUNTA DE DIAMANTE  DE DIMERNSIONES DE 8*8*210</t>
  </si>
  <si>
    <t>POSTE DE MADERA PLASTICA PUNTA DE DIAMANTE DE DIMENSIONES  8*8*270</t>
  </si>
  <si>
    <t>FILTRO DE ACEITE TOYOTA  90915-20005</t>
  </si>
  <si>
    <t>14/07/2025</t>
  </si>
  <si>
    <t xml:space="preserve">ACEITE TGMO 5W30 TOYOTA </t>
  </si>
  <si>
    <t xml:space="preserve">BATERIA 1.100 AM </t>
  </si>
  <si>
    <t>MANGUERA  TRANSPARENTE CRISTAL 3/16"-20</t>
  </si>
  <si>
    <t>IVERTRINA 200 EC</t>
  </si>
  <si>
    <t>15/07/2025</t>
  </si>
  <si>
    <t xml:space="preserve">CRECER 500 </t>
  </si>
  <si>
    <t>ABONO TRIPLE 18</t>
  </si>
  <si>
    <t xml:space="preserve">REGADERA PLASTICA DE 5 LITROS </t>
  </si>
  <si>
    <t>PRESOSTATO SWICHT ALTAMIRA 3-116 PSI CONEX.HEM</t>
  </si>
  <si>
    <t>17/07/2025</t>
  </si>
  <si>
    <t xml:space="preserve">TORNILLO  ZINCADO  CABEZA HEXAGONAL  5/16" POR 1" CON UERCA Y ARANDELA </t>
  </si>
  <si>
    <t>18/07/2025</t>
  </si>
  <si>
    <t xml:space="preserve">ROLLO TERMICO 80 MM X 60 MTS IMPRESO </t>
  </si>
  <si>
    <t>AMORTIGUADOR POSTERIOR</t>
  </si>
  <si>
    <t>GESTESXTIL PET 130/130 KN</t>
  </si>
  <si>
    <t>22/07/2025</t>
  </si>
  <si>
    <t xml:space="preserve">GEODRENO 0.5M PLANAR </t>
  </si>
  <si>
    <t xml:space="preserve">GEO BOLSA EN GEO TEXTIL DE POLIPROPILENO DE 72kN </t>
  </si>
  <si>
    <t xml:space="preserve">GEOTEXTIL PET 130/130kN </t>
  </si>
  <si>
    <t>RESCATE Y MANTENIMIENTO DE EPIFITAS</t>
  </si>
  <si>
    <t>CONSULTOR DE SEGUROS</t>
  </si>
  <si>
    <t>IMPREVISTOS ITS</t>
  </si>
  <si>
    <t>PLAN DATOS COMPARENDERAS</t>
  </si>
  <si>
    <t>COMPARENDERAS</t>
  </si>
  <si>
    <t>TABLET PANEL MENSAJERIA</t>
  </si>
  <si>
    <t>PEGANTE EPOXICO FRIO COLREPOX</t>
  </si>
  <si>
    <t>29/07/2025</t>
  </si>
  <si>
    <t>FLASHER SOLAR GENERICO PARA CONOS VIALES</t>
  </si>
  <si>
    <t>MALLA PARA GAVION 2X1X1 CALIBRE 10 CON RECUBRIMIENTO EN PVC</t>
  </si>
  <si>
    <t>30/07/2025</t>
  </si>
  <si>
    <t>TABLA BURRA SIN CEPILLAR</t>
  </si>
  <si>
    <t>VARILLON DE MADERA DE 5X5X3</t>
  </si>
  <si>
    <t>TALONARIOS DE 50 HOJAS CHEQUEO OPERACIONAL DE EQUIPOS NUMERADOS DESDE 10001</t>
  </si>
  <si>
    <t xml:space="preserve">FORMATOS  CHEQUEO OPERACIONAL DE EQUIPOS MENORES  </t>
  </si>
  <si>
    <t>MEZCLADORA DE CONCRETO CAPACIDAD  DE 1 BULTO CON MONTRO DIESEL 7 HP</t>
  </si>
  <si>
    <t xml:space="preserve">ACD TRUCK PLATNUM 15W40 </t>
  </si>
  <si>
    <t>31/07/2025</t>
  </si>
  <si>
    <t>ACD TRUCK PLATNUM 15W40  1/4</t>
  </si>
  <si>
    <t>ELEMENTO FILTRO DE ACEITE PARA NOW 972</t>
  </si>
  <si>
    <t>FILTRO DE COMBUSTIBLE  GF8970 SERIE N 700P PRINCI. NOW 972</t>
  </si>
  <si>
    <t>FILTRO DE COMBUSTIBLE   GF 446 LUV 2.5 02-05/K2700</t>
  </si>
  <si>
    <t>FILTRO DE AIRE  AC DA 1413 NOW 972</t>
  </si>
  <si>
    <t>JUNTA TAPON  DE DRENAJE  ACIETE MOTOR   NOW 972</t>
  </si>
  <si>
    <t>LIMPIRADOR PARTES FRENO   NOW 972</t>
  </si>
  <si>
    <t>FILTOR DE AIRE AIP 651 PREMIUM FILTERS</t>
  </si>
  <si>
    <t>02/08/2025</t>
  </si>
  <si>
    <t>KIT AMBIENTAL DE DERRAMES </t>
  </si>
  <si>
    <t>13/08/2025</t>
  </si>
  <si>
    <t xml:space="preserve">SIKA  ANCHORFIX X 300ML </t>
  </si>
  <si>
    <t>14/08/2025</t>
  </si>
  <si>
    <t xml:space="preserve">PLATOCRETE  BULTO X 20 KILOS </t>
  </si>
  <si>
    <t xml:space="preserve">PLASTOCRETE  X 20 KILOS </t>
  </si>
  <si>
    <t xml:space="preserve">FILTRO DE ACEITE OLP 158  PREMIUN </t>
  </si>
  <si>
    <t>FILTRO DE  AIRE PREMIUN AIP 968</t>
  </si>
  <si>
    <t>FILTRO DE AIRE ACONDICIONADO   ACP 148</t>
  </si>
  <si>
    <t>ACEITE CASTROL  GTX 10W40 GALON</t>
  </si>
  <si>
    <t>FILTRO DE COMBUSTIBLE FLP 383</t>
  </si>
  <si>
    <t>JUEGO DE PASTILLAS  GAMAX REF8844</t>
  </si>
  <si>
    <t>ADHESIVO EPOXICO PARA BANDAS SONORAS TIPO A Y TIPO B</t>
  </si>
  <si>
    <t>CONO PVC BASE HEXAGONAL DE 45 AREA SOCIAL</t>
  </si>
  <si>
    <t>ANTIFUIDO  (SERVICIOS GENRALES) TALLA M</t>
  </si>
  <si>
    <t>16/08/2025</t>
  </si>
  <si>
    <t xml:space="preserve">LAMINA SEÑAL SP 75 DELINEADOR DE CURVA COLOR VERDE AMARILLO FLUORESCENTE  46cm  *56cm REFLECTIVO DIAMANTE  AL CUBO  TIPO  XI 3M PINTURA ELECTROSTATICA  DIMENSIONES  SEGUN INDICA MANUAL  DE SEÑALIZACION  VIAL 2024  SIN PARAL </t>
  </si>
  <si>
    <t>21/08/2025</t>
  </si>
  <si>
    <t>LÁMINA SEÑAL COMPLEMENTARIA CON EL TEXTO "CURVA PELIGROSA" 80X35CM COLOR VERDE LIMON  CAL. 16 CON REFLECTIVO DIAMANTE AL CUBO TIPO XI 3M. PINTURA ELECTROSTÁTICA + ANTI GRAFITI - SIN PARAL</t>
  </si>
  <si>
    <t xml:space="preserve">PARAL DUPLEX PARA SEÑAL 60*60 DE 4 METROS </t>
  </si>
  <si>
    <t>MARTILLO DEMOLEDOR HIDRAULICO</t>
  </si>
  <si>
    <t>27/08/2025</t>
  </si>
  <si>
    <t>ACOPLE PARA MARTILLO DEMOLEDOR</t>
  </si>
  <si>
    <t>INTERCOMUNICADOR DE POSTE  ZENITEL  TCIS- 2</t>
  </si>
  <si>
    <t>29/08/2025</t>
  </si>
  <si>
    <t>ACEITE  DE ENGRASE O PREPARACIONES SWGMART/16K</t>
  </si>
  <si>
    <t>GRASA MULTIPROPOSITO  BALEROS SWGMPROP/16K</t>
  </si>
  <si>
    <t xml:space="preserve">BATERIA  34-1100 MAC </t>
  </si>
  <si>
    <t>CAPÍTULO</t>
  </si>
  <si>
    <t>TIPO DE COSTO</t>
  </si>
  <si>
    <t>DESCRIPCIÓN</t>
  </si>
  <si>
    <t>ADMINISTRACION</t>
  </si>
  <si>
    <t>OPEX</t>
  </si>
  <si>
    <t>Gastos generales de oficina, papelería, servicios públicos, viáticos administrativos.</t>
  </si>
  <si>
    <t>RECURSOS HUMANOS</t>
  </si>
  <si>
    <t>Nómina, prestaciones sociales, contrataciones, bienestar laboral.</t>
  </si>
  <si>
    <t>SST</t>
  </si>
  <si>
    <t>Dotación de EPP, capacitaciones en seguridad, exámenes médicos, programas de prevención.</t>
  </si>
  <si>
    <t>MANTENIMIENTO RUTINARIO</t>
  </si>
  <si>
    <t>Actividades recurrentes como limpieza de cunetas, bacheo menor, corte de césped, señalización.</t>
  </si>
  <si>
    <t>MANTENIMIENTO MAYOR</t>
  </si>
  <si>
    <t>CAPEX</t>
  </si>
  <si>
    <t xml:space="preserve">Rehabilitaciones de pavimento:  intervenciones programadas, no recurrentes que buscan restaurar, rehabilitar o prolongar la vida útil de la infraestructura vial </t>
  </si>
  <si>
    <t>OPERACION DE VIAS</t>
  </si>
  <si>
    <t>Personal de peajes, sistemas ITS, energía en estaciones, insumos de operación vial.</t>
  </si>
  <si>
    <t>POLICIA DE CARRETERAS</t>
  </si>
  <si>
    <t>Convenios con la Policía de Carreteras.</t>
  </si>
  <si>
    <t>INVERSIÓN ACTIVOS</t>
  </si>
  <si>
    <t>Compra de vehículos, maquinaria, equipos de cómputo, mobiliario o infraestructura nueva.</t>
  </si>
  <si>
    <t>GESTION AMBIENTAL</t>
  </si>
  <si>
    <t>Monitoreos ambientales, cumplimiento de licencias, planes de manejo ambiental.</t>
  </si>
  <si>
    <t>GESTION PREDIAL</t>
  </si>
  <si>
    <t xml:space="preserve">Gastos de la gestión predial que no pasen por la Subcuenta </t>
  </si>
  <si>
    <t>GESTION SOCIAL</t>
  </si>
  <si>
    <t xml:space="preserve">Programas de gestión social </t>
  </si>
  <si>
    <t>JURIDICA</t>
  </si>
  <si>
    <t>Honorarios de abogados, arbitrajes, litigios y conceptos jurídicos, honorarios Junta Directiva</t>
  </si>
  <si>
    <t>Seguros de todo riesgo, responsabilidad civil, cumplimiento y pólizas asociadas al contrato de Concesión, demás polizas, polizas de equipos y vehiculos, administradores ETC</t>
  </si>
  <si>
    <t>FINANCIERA</t>
  </si>
  <si>
    <t>Costos financieros, comisiones fiduciarias, honorarios de agente administrativo, Pagos de deuda (capital e intereses)</t>
  </si>
  <si>
    <t>FONDEOS</t>
  </si>
  <si>
    <t>Fondos para cubrir obligaciones del Contrato de Concesión</t>
  </si>
  <si>
    <t>IMPUESTOS</t>
  </si>
  <si>
    <t>Impuestos prediales, ICA, retenciones, industria y comercio, impuestos de vehículos.</t>
  </si>
  <si>
    <t>SUCURSAL</t>
  </si>
  <si>
    <t>SUCURSAL ADMINISTRATIVA</t>
  </si>
  <si>
    <t>Presupuesto 2026 PA</t>
  </si>
  <si>
    <t>Patrimonio Autónomo</t>
  </si>
  <si>
    <t>Presupuesto 2026 CTS</t>
  </si>
  <si>
    <t xml:space="preserve">Concesion transversal del Sisga </t>
  </si>
  <si>
    <t>Presupuesto RRHH 2026</t>
  </si>
  <si>
    <t>Obras de Emergencia</t>
  </si>
  <si>
    <t>OBRAS Menores a Cargo de la ANI</t>
  </si>
  <si>
    <t>Variable</t>
  </si>
  <si>
    <t>IPC (dic/dic)</t>
  </si>
  <si>
    <t>4,0%</t>
  </si>
  <si>
    <t>Salario mínimo</t>
  </si>
  <si>
    <t>TRM promedio (COP/USD)</t>
  </si>
  <si>
    <t>$4.250</t>
  </si>
  <si>
    <t>Capítulo</t>
  </si>
  <si>
    <t>ítem</t>
  </si>
  <si>
    <t>Insumo</t>
  </si>
  <si>
    <t>Unidad</t>
  </si>
  <si>
    <t>Cantidad 2026</t>
  </si>
  <si>
    <t>Precio Base 2025</t>
  </si>
  <si>
    <t>Precio Base 2026</t>
  </si>
  <si>
    <t>Valor Total</t>
  </si>
  <si>
    <t>Supuestos</t>
  </si>
  <si>
    <t>Observaciones</t>
  </si>
  <si>
    <t>Soporte</t>
  </si>
  <si>
    <t>Total Presupuesto 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</si>
  <si>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</si>
  <si>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</si>
  <si>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</si>
  <si>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</si>
  <si>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</si>
  <si>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</si>
  <si>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</si>
  <si>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</si>
  <si>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</si>
  <si>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</si>
  <si>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</si>
  <si>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</si>
  <si>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GASTOS GENERALES OFICINA BOGOTÁ</t>
  </si>
  <si>
    <t xml:space="preserve">ARRENDAMIENTO OFICINA </t>
  </si>
  <si>
    <t>Arrendamiento oficina Teleport 502</t>
  </si>
  <si>
    <t>Mes</t>
  </si>
  <si>
    <t>Consumo estimado para el año 2026</t>
  </si>
  <si>
    <t>precio según contrato</t>
  </si>
  <si>
    <t>Contrato de Arrendamiento suscrito en 2025</t>
  </si>
  <si>
    <t>ADMINISTRACIÓN OFICINA</t>
  </si>
  <si>
    <t>Administración oficina Teleport 502</t>
  </si>
  <si>
    <t>Contrato de Administración suscrito en 2025</t>
  </si>
  <si>
    <t>GASTOS PAPELERIA OFICINA BOGOTÁ</t>
  </si>
  <si>
    <t xml:space="preserve">ALMOHADILLA DACTILAR </t>
  </si>
  <si>
    <t>Almohadilla X 4000 Huellas</t>
  </si>
  <si>
    <t>unidad</t>
  </si>
  <si>
    <t>Precio promedio de mercado</t>
  </si>
  <si>
    <t xml:space="preserve">Cotización </t>
  </si>
  <si>
    <t>AZ CARTA AZUL PLASTIFICADO</t>
  </si>
  <si>
    <t>AZ para archivo</t>
  </si>
  <si>
    <t>AZ OFICIO AZUL PLASTIFICADO</t>
  </si>
  <si>
    <t>BANDERITAS COLORES</t>
  </si>
  <si>
    <t>Banderitas por 5 unidades paquete</t>
  </si>
  <si>
    <t>Consumo estimado para el año 2026 para las 5 sedes</t>
  </si>
  <si>
    <t>BLOCK AMARILLO MEDIA CARTA CUADRICULADO 50H</t>
  </si>
  <si>
    <t>BLOCK IRIS CARTA X 35 HOJAS</t>
  </si>
  <si>
    <t>BLOCK MILIMETRADO OFICIO 25H</t>
  </si>
  <si>
    <t>BOLSA DE VINILO CARTA DELGADA PAQUETE X 20 UND</t>
  </si>
  <si>
    <t>GASTOS GENERALES OFICINA CCO</t>
  </si>
  <si>
    <t>GASTOS GENERALES AREA SERVICIOS SLG</t>
  </si>
  <si>
    <t>GASTOS GENERALES AREA SERVICIOS MACHETA</t>
  </si>
  <si>
    <t>GASTOS GENERALES PEAJE SLG</t>
  </si>
  <si>
    <t>GASTOS GENERALES PEAJE MACHETA</t>
  </si>
  <si>
    <t>BAÑOS MOVILES</t>
  </si>
  <si>
    <t>ASESORIAS Y AFILIACIONES</t>
  </si>
  <si>
    <t>DOTACION</t>
  </si>
  <si>
    <t>MANEJO MAQUINARIA PESADA</t>
  </si>
  <si>
    <t>TRABAJO EN ALTURAS</t>
  </si>
  <si>
    <t>EXAMENES MEDICOS PERIODICOS</t>
  </si>
  <si>
    <t>GASCOS</t>
  </si>
  <si>
    <t>PINTURA TERTRAFICO ACRILICO BASE SOLVENTE AMARILLO</t>
  </si>
  <si>
    <t>PINTURA TERTRAFICO ACRILICO BASE SOLVENTE BLANCO</t>
  </si>
  <si>
    <t>MICROESFERA DE VIDRIO TIPO I SWARCO BULTO X 25KG</t>
  </si>
  <si>
    <t>Bulto</t>
  </si>
  <si>
    <t>Demarcación del PR XXX al PR XXX TODAS LAS UF</t>
  </si>
  <si>
    <t>Precio promedio de mercado, sujeto a ajuste.</t>
  </si>
  <si>
    <t>TACHAS</t>
  </si>
  <si>
    <t>TACHA BIDIRECCIONAL CON ESPIGO BLANCA / ROJA</t>
  </si>
  <si>
    <t>TACHA BIDIRECCIONAL CON ESPIGO AMARILLA</t>
  </si>
  <si>
    <t>AVISOS &amp; DEFENSAS</t>
  </si>
  <si>
    <t>CUNETAS Y MUROS</t>
  </si>
  <si>
    <t>LIMPIEZA DA ALCANTARILLAS  Y BOXCOULVERT</t>
  </si>
  <si>
    <t>MANTENIMIENTO DE TALUDES</t>
  </si>
  <si>
    <t>MANTENIMIENTO DE PUENTES</t>
  </si>
  <si>
    <t>ROCERIA</t>
  </si>
  <si>
    <t>MEZCLA DENSA MDC0190</t>
  </si>
  <si>
    <t xml:space="preserve">Mezcla densa en caliente </t>
  </si>
  <si>
    <t>m³</t>
  </si>
  <si>
    <t>Consumo estimado en pavimentación UF2, frente PR40+200.</t>
  </si>
  <si>
    <t>Precio según última compra 2025.</t>
  </si>
  <si>
    <t>SERVICIO INSTALACIÓN DE MEZCLA DENSA EN CALIENTE</t>
  </si>
  <si>
    <t xml:space="preserve">Servicio </t>
  </si>
  <si>
    <t>OPERACION PEAJES</t>
  </si>
  <si>
    <t>SERVICIO OPERACIÓN PEAJE</t>
  </si>
  <si>
    <t>MENSUAL</t>
  </si>
  <si>
    <t>SERVICIO RECAUDADORES APOYO</t>
  </si>
  <si>
    <t>SERVICIO ALQUILER DATAFONOS</t>
  </si>
  <si>
    <t>SERVICIO INTEROPERABILIDAD IP/REV</t>
  </si>
  <si>
    <t>SERVICIO MTTO SOFTWARE RECAUDO</t>
  </si>
  <si>
    <t>SERVICIO EMISIÓN DEE</t>
  </si>
  <si>
    <t>STICKER VALLAS TARIFARIAS</t>
  </si>
  <si>
    <t>UNIDAD</t>
  </si>
  <si>
    <t>BOLETERIA CONTINGENCIA</t>
  </si>
  <si>
    <t>CINTA CONSPICUITI</t>
  </si>
  <si>
    <t>ROLLO</t>
  </si>
  <si>
    <t>CONOS 90 CM</t>
  </si>
  <si>
    <t>PALETAS PARE - SIGA</t>
  </si>
  <si>
    <t>TALANQUERAS</t>
  </si>
  <si>
    <t>OPERACION INTEGRAL ESTACIÓN DE PEAJE SAN LUIS DE GACENO</t>
  </si>
  <si>
    <t>SERIVICIO ALQUILER DATAFONOS</t>
  </si>
  <si>
    <t>OPERACION PESAJES</t>
  </si>
  <si>
    <t>OPERACION ESTACIÓN DE PESAJE MACHETA</t>
  </si>
  <si>
    <t>SERVICIO CALIBRACIÓN METROLOGICA</t>
  </si>
  <si>
    <t>SERVICIO VERIFICACIÓN SIC</t>
  </si>
  <si>
    <t>SERVICIO ACTUALIZACIÓN BASCAM</t>
  </si>
  <si>
    <t>SERVICIO MTTO PREVENTIVO ESTATICA</t>
  </si>
  <si>
    <t>SERVICIO MTTO PREVENTIVO DINAMICAS</t>
  </si>
  <si>
    <t>OPERACION ESTACIÓN DE PESAJE SAN LUIS DE GACENO</t>
  </si>
  <si>
    <t>SERVICIO DE ACTUALIZACIÓN BASCAM</t>
  </si>
  <si>
    <t>OPERACION CCO, BASES DE OPERACIONES Y ÁREAS DE SERVICIO</t>
  </si>
  <si>
    <t>SERVICIO AMBULANCIA TAM</t>
  </si>
  <si>
    <t>MES</t>
  </si>
  <si>
    <t>SERVICIO ALQUILER EQUIPOS RESPIRACIÓN AUTONÓMA</t>
  </si>
  <si>
    <t>SERVICIO MTTO SICC</t>
  </si>
  <si>
    <t>SERVICIO DISPONIBILIDAD SICC</t>
  </si>
  <si>
    <t>INSUMOS ENFERMERIAS</t>
  </si>
  <si>
    <t>GLOBAL</t>
  </si>
  <si>
    <t>INSUMOS TALLERES MECANICOS</t>
  </si>
  <si>
    <t>SERIVICO ALQUILER GRUA PLATAFORMA</t>
  </si>
  <si>
    <t>DIA</t>
  </si>
  <si>
    <t xml:space="preserve">
SERVICIO ALQUILER GRUA GANCHO
</t>
  </si>
  <si>
    <t>VALLA PROYECTO</t>
  </si>
  <si>
    <t>ANUAL</t>
  </si>
  <si>
    <t>CAMPANAS PLASTICAS REFLECTIVOS</t>
  </si>
  <si>
    <t xml:space="preserve">BARRERA PLASTICAS REFLECTIVO </t>
  </si>
  <si>
    <t>DELINEADOR TUBULAR REFLECTIVO</t>
  </si>
  <si>
    <t>CINTA SEÑALIZACIÓN PELIGRO</t>
  </si>
  <si>
    <t>PALETA PARE Y SIGA</t>
  </si>
  <si>
    <t>BASTON LUMINOSO</t>
  </si>
  <si>
    <t>CONO 90 CM</t>
  </si>
  <si>
    <t>FLASCHER LUMINOSO</t>
  </si>
  <si>
    <t>SEÑALES PREVENTIVAS EVENTOS ESPECIALES CON TRIPODE</t>
  </si>
  <si>
    <t>HERRAMIENTAS MANUALES 
(PALAS, ESCOBONES, MACHETAS)</t>
  </si>
  <si>
    <t>HERRAMIENTAS EQUIPOS CARRO TALLER</t>
  </si>
  <si>
    <t>HERRAMIENTAS, ELEMENTOS DE AMARRE PARA GRUA PLATAFORMA</t>
  </si>
  <si>
    <t>HERRAMIENTAS Y ELEMENTOS DE AMARRE PARA GRUA GANCHO</t>
  </si>
  <si>
    <t>MANTENIMIENTO DE EQUIPOS DE OPERACIONES</t>
  </si>
  <si>
    <t>MANTENIMIENTO CAMIONETAS TOYOTA</t>
  </si>
  <si>
    <t xml:space="preserve">SEGURO TODO RIESGO CAMIONETAS TOYOTA 2017 </t>
  </si>
  <si>
    <t>SEGURO TODO RIESGO CAMIONETAS TOYOTA 2018</t>
  </si>
  <si>
    <t>SEGURO TODO RIESGO CAMIONETAS TOYOTA 2019</t>
  </si>
  <si>
    <t>SERVICIO IMPUESTO AÑO GRAVABLE 2026 CAMIONETAS TOYOTA 2017</t>
  </si>
  <si>
    <t>SERVICIO IMPUESTO AÑO GRAVABLE 2026 CAMIONETAS TOYOTA 2018</t>
  </si>
  <si>
    <t>SERVICIO IMPUESTO AÑO GRAVABLE 2026 CAMIONETAS TOYOTA 2019</t>
  </si>
  <si>
    <t>SEGURO SOAT</t>
  </si>
  <si>
    <t>SERVICIO REVISIÓN TECNICOMECÁNICA</t>
  </si>
  <si>
    <t>SERVICIO CONTROL SATELITAL</t>
  </si>
  <si>
    <t>COMBUSTIBLE ACPM</t>
  </si>
  <si>
    <t>GN</t>
  </si>
  <si>
    <t>FILTRO DE AIRE CAMIONETA TOYOTA 2017-2019-2024</t>
  </si>
  <si>
    <t>FILTRO ACEITE CAMIONETA TOYOTA 2017-2019-2024</t>
  </si>
  <si>
    <t>FILTRO ACPM  CAMIONETA TOYOTA 2017-2019-2024</t>
  </si>
  <si>
    <t>FILTRO AIRE ACONDICIONADO CAMIONETA TOYOTA 2017-2019-2024</t>
  </si>
  <si>
    <t>ARANDELA TAPON CARTER CAMIONETA TOYOTA 2017-2019-2024</t>
  </si>
  <si>
    <t>ACEITE 15W40 CAMIONETA TOYOTA 2017-2019-2024</t>
  </si>
  <si>
    <t xml:space="preserve">REFRIGERANTE ROJO </t>
  </si>
  <si>
    <t>LIQUIDO DE FRENOS DOT 4 SL LITRO</t>
  </si>
  <si>
    <t>LITRO</t>
  </si>
  <si>
    <t>ACEITE DIFERENCIAL Y TRANSMISIÓN 85W90</t>
  </si>
  <si>
    <t xml:space="preserve">SERVICIO CAMBIO CADENA DE REPARTICION </t>
  </si>
  <si>
    <t>SERVICIO CAMBIO SISTEMA EMBRAGUE</t>
  </si>
  <si>
    <t>SERVICIO MTTO CORRECTIVO</t>
  </si>
  <si>
    <t>SERVICIO MTTO SISTEMA DE FRENOS (PASTILLAS, BANDAS, CAMPANAS, DISCOS)</t>
  </si>
  <si>
    <t xml:space="preserve">LLANTA 265/65 R17 A/T </t>
  </si>
  <si>
    <t>UND</t>
  </si>
  <si>
    <t>VALVULA SELLOMATIC R17</t>
  </si>
  <si>
    <t>SERVICIO MONTAJE ALINEACIÓN Y BALANCEO</t>
  </si>
  <si>
    <t>BATERIA 27 - 1150</t>
  </si>
  <si>
    <t>DEDUCIBLES SEGURO TODO RIESGO Y PATIOS CAMIONETA TOYOTA</t>
  </si>
  <si>
    <t>SERVICIO LAVADO Y DESMANCHE</t>
  </si>
  <si>
    <t>SERVICIO MONTA LLANTAS (DESPINCHES, PARCHES, ROTACIONES,VULCANIZADAS)</t>
  </si>
  <si>
    <t xml:space="preserve">SERVICIO MTTO AJUSTE DIFERENCIAL </t>
  </si>
  <si>
    <t xml:space="preserve">SERVICIO MTTO AJUSTE DE TRANSMISIÓN </t>
  </si>
  <si>
    <t xml:space="preserve">SERVICIO MTTO CAJA DE DIRECCIÓN </t>
  </si>
  <si>
    <t>BALIZA Y PERIFONEO CAMIONETAS</t>
  </si>
  <si>
    <t>MANTENIMIENTO CAMIONETAS RENAULT OROCH</t>
  </si>
  <si>
    <t>SEGURO TODO RIESGO CAMIONETA RENAULT</t>
  </si>
  <si>
    <t>IMPUESTO CAMIONETA RENAULT</t>
  </si>
  <si>
    <t>SOAT CAMIONETA RENAULT</t>
  </si>
  <si>
    <t>COMBUSTIBLE GASOLINA</t>
  </si>
  <si>
    <t>FILTRO DE AIRE CAMIONETA RENAULT</t>
  </si>
  <si>
    <t>FILTRO ACEITE CAMIONETA RENAULT</t>
  </si>
  <si>
    <t>FILTRO COMBUSTIBLE  CAMIONETA</t>
  </si>
  <si>
    <t>FILTRO AIRE ACONDICIONADO CAMIONETA RENAULT</t>
  </si>
  <si>
    <t>ARANDELA TAPON CARTER CAMIONETA RENAULT</t>
  </si>
  <si>
    <t>ACEITE 10W40 CAMIONETA RENAULT</t>
  </si>
  <si>
    <t>SERVICIO MANTENIMIENTO CORRECTIVO CAMIONETA RENAULT</t>
  </si>
  <si>
    <t>SERVICIO SISTEMA DE FRENOS (PASTILLAS, BANDAS, CAMPANAS, DISCOS) CAMIONETA RENAULT</t>
  </si>
  <si>
    <t>LLANTA 215/65 R16 A/T CAMIONETA RENAULT</t>
  </si>
  <si>
    <t>VALVULA SELLOMATIC R16 CAMIONETA RENAULT</t>
  </si>
  <si>
    <t>BATERIA 47 - 850 CAMIONETA RENAULT</t>
  </si>
  <si>
    <t>DEDUCIBLES SEGURO TODO RIESGO Y PATIOS CAMIONETA RENAULT</t>
  </si>
  <si>
    <t>SERVICIO LAVADO Y DESMANCHE CAMIONETA RENAULT</t>
  </si>
  <si>
    <t>SERVICIO MONTA LLANTAS (DESPINCHES, PARCHES, ROTACIONES,VULCANIZADAS)  CAMIONETA RENAULT</t>
  </si>
  <si>
    <t>MANTENIMIENTO CAMION CANASTA</t>
  </si>
  <si>
    <t>SEGURO TODO RIESGO CHASIS CAMIÓN CANASTA</t>
  </si>
  <si>
    <t>SEGURO TODO RIESGO SISTEMA GRÚA CAMIÓN CANASTA</t>
  </si>
  <si>
    <t>SERVICIO SOAT CAMIÓN CANASTA</t>
  </si>
  <si>
    <t>SERVICIO REVISIÓN TECNICOMECÁNICA CAMIÓN CANASTA</t>
  </si>
  <si>
    <t>SERVICIO CERTIFICACION BRAZO CANASTA  CAMIÓN CANASTA</t>
  </si>
  <si>
    <t>FILTRO AIRE CAMIÓN CANASTA</t>
  </si>
  <si>
    <t>FILTRO ACEITE CAMIÓN CANASTA</t>
  </si>
  <si>
    <t>FILTRO ACPM CAMIÓN CANASTA</t>
  </si>
  <si>
    <t>FILTRO TRAMPA CAMIÓN CANASTA</t>
  </si>
  <si>
    <t>ARANDELA TAPON CARTER CAMIÓN CANASTA</t>
  </si>
  <si>
    <t>ACEITE 15W40 CAMIÓN CANASTA</t>
  </si>
  <si>
    <t>SERVICIO MANTENIMIENTO CORRECTIVO CAMIÓN CANASTA</t>
  </si>
  <si>
    <t>BATERIA 34 - 1100 CAMIÓN CANASTA</t>
  </si>
  <si>
    <t>SERVICIO MANTENIMIENTO BRAZO ARTICULADO CAMIÓN CANASTA</t>
  </si>
  <si>
    <t>SERVICIO LAVADO Y DESMANCHE CAMIÓN CANASTA</t>
  </si>
  <si>
    <t>SERVICIO MONTA LLANTAS (DESPINCHES, PARCHES, ROTACIONES,VULCANIZADAS) CAMIÓN CANASTA</t>
  </si>
  <si>
    <t>SERVICIO BALIZA Y PERIFONEO CAMION CANASTA</t>
  </si>
  <si>
    <t xml:space="preserve">MANTENIMIENTO GRÚA PLATAFORMA </t>
  </si>
  <si>
    <t>SEGURO TODO RIESGO CHASIS GRÚA PLATAFORMA</t>
  </si>
  <si>
    <t>SEGURO TODO RIESGO SISTEMA GRÚA PLATAFORMA</t>
  </si>
  <si>
    <t>SERVICIO SOAT GRÚA PLATAFORMA</t>
  </si>
  <si>
    <t>SERVICIO REVISIÓN TECNICOMECÁNICA GRÚA PLATAFORMA</t>
  </si>
  <si>
    <t>GALON</t>
  </si>
  <si>
    <t>FILTRO AIRE GRÚA PLATAFORMA</t>
  </si>
  <si>
    <t>FILTRO ACEITE GRÚA PLATAFORMA</t>
  </si>
  <si>
    <t>FILTRO ACPM GRÚA PLATAFORMA</t>
  </si>
  <si>
    <t>FILTRO TRAMPA GRÚA PLATAFORMA</t>
  </si>
  <si>
    <t>ARANDELA TAPON CARTER GRÚA PLATAFORMA</t>
  </si>
  <si>
    <t>ACEITE 15W40 GRUA PLATAFORMA</t>
  </si>
  <si>
    <t>SERVICIO MANTENIMIENTO CORRECTIVO</t>
  </si>
  <si>
    <t>LLANTA 235/75 R17,5 GRÚA PLATAFORMA</t>
  </si>
  <si>
    <t>VALVULA SELLOMATIC R17,5 GRÚA PLATAFORMA</t>
  </si>
  <si>
    <t>SERVICIO MONTAJE ALINEACIÓN Y BALANCEO GRÚA PLATAFORMA</t>
  </si>
  <si>
    <t>BALIZA Y PERIFONEO  GRÚA PLATAFORMA</t>
  </si>
  <si>
    <t>SERVICIO DEDUCIBLES SEGURO TODO RIESGO PATIOS GRÚA PLATAFORMA</t>
  </si>
  <si>
    <t>SERVICIO LAVADO Y DESMANCHE GRÚA PLATAFORMA</t>
  </si>
  <si>
    <t xml:space="preserve">GLOBAL </t>
  </si>
  <si>
    <t>EMBLEMAS Y LOGOS GRÚA PLATAFORMA</t>
  </si>
  <si>
    <t>SERVICIO MONTA LLANTAS (DESPINCHES, PARCHES, ROTACIONES,VULCANIZADAS) GRÚA PLATAFORMA</t>
  </si>
  <si>
    <t xml:space="preserve">MANTENIMIENTO GRÚA GANCHO </t>
  </si>
  <si>
    <t>SEGURO TODO RIESGO CHASIS GRUA DE GANCHO</t>
  </si>
  <si>
    <t>SEGURO TODO RIESGO SISTEMA GRUA DE GANCHO</t>
  </si>
  <si>
    <t>SOAT GRUA DE GANCHO</t>
  </si>
  <si>
    <t>REVISION TECNICOMECANICA GRUA DE GANCHO</t>
  </si>
  <si>
    <t>CERTIFICACION 5TA RUEDA GRUA DE GANCHO</t>
  </si>
  <si>
    <t>FILTRO DE AIRE EXTERNO GRUA GANCHO</t>
  </si>
  <si>
    <t>FILTRO DE AIRE INTERNO GRUA GANCHO</t>
  </si>
  <si>
    <t>FILTRO ACEITE GRUA GANCHO</t>
  </si>
  <si>
    <t>FILTRO ACPM GRIFO GRUA GANCHO</t>
  </si>
  <si>
    <t>FILTRO ACPM VASO GRUA GANCHO</t>
  </si>
  <si>
    <t>FILTRO AIRE SECADOR GRUA GANCHO</t>
  </si>
  <si>
    <t>ACEITE MOTOR GRUA GANCHO</t>
  </si>
  <si>
    <t>REPARACION SISTEMA DE INYECCION GRUA DE GANCHO</t>
  </si>
  <si>
    <t>MANTENIMIENTO CORRECTIVO GRUA DE GANCHO</t>
  </si>
  <si>
    <t>SISTEMA DE FRENOS GRUA DE GANCHO</t>
  </si>
  <si>
    <t>LLANTA 12R22.5  GRUA DE GANCHO</t>
  </si>
  <si>
    <t>VALVULA SELLOMATIC R22,5 GRUA DE GANCHO</t>
  </si>
  <si>
    <t>MONTAJE ALINEACION Y BALANCEO GRUA DE GANCHO</t>
  </si>
  <si>
    <t>BATERIA 4D GRUA DE GANCHO</t>
  </si>
  <si>
    <t>DEDUCIBLES Y PATIOS GRUA DE GANCHO</t>
  </si>
  <si>
    <t>LAVADO Y DESMANCHE GRUA DE GANCHO</t>
  </si>
  <si>
    <t>MONTA LLANTAS GRUA DE GANCHO</t>
  </si>
  <si>
    <t>KIT BALIZA Y PERIFONEO GRUA DE GANCHO</t>
  </si>
  <si>
    <t xml:space="preserve">GENERADORES EDIFICACIONES Y TÚNELES </t>
  </si>
  <si>
    <t>SEGURO TODO RIESGO GENERADOR 45 KVA</t>
  </si>
  <si>
    <t>FILTRO COMBUSTIBLE GENERADOR 45KVA</t>
  </si>
  <si>
    <t>FILTRO ACEITE GENERADOR 45KVA</t>
  </si>
  <si>
    <t>FILTRO DE AIRE INTERNO GENERADOR 45KVA</t>
  </si>
  <si>
    <t>FILTRO DE AIRE EXTERNO GENERADOR 45KVA</t>
  </si>
  <si>
    <t>ACEITE MOTOR GENERADOR 45KVA</t>
  </si>
  <si>
    <t>COMBUSTIBLE ACPM GENERADOR 45 KVA</t>
  </si>
  <si>
    <t>MANTENIMIENTO CORRECTIVO GENERADOR 45 KVA</t>
  </si>
  <si>
    <t>REPARACION MOTOR GENERADOR 45 KVA</t>
  </si>
  <si>
    <t>BATERIA 27 1150 GENERADOR 45 KVA</t>
  </si>
  <si>
    <t>SEGURO TODO RIESGO GENERADOR 70 KVA</t>
  </si>
  <si>
    <t>FILTRO COMBUSTIBLE GENERADOR 70 KVA</t>
  </si>
  <si>
    <t>FILTRO ACEITE GENERADOR 70 KVA</t>
  </si>
  <si>
    <t>FILTRO DE COMBUSTIBLE AUXILIAR 70 KVA</t>
  </si>
  <si>
    <t>FILTRO BASE TRAMPA 70KVA</t>
  </si>
  <si>
    <t>FILTRO DE AIRE EXTERNO GENERADOR 70 KVA</t>
  </si>
  <si>
    <t>ACEITE MOTOR GENERADOR 70 KVA</t>
  </si>
  <si>
    <t>MANTENIMIENTO CORRECTIVO GENERADOR 70 KVA</t>
  </si>
  <si>
    <t>BATERIA 27 1150 GENERADOR 70 KVA</t>
  </si>
  <si>
    <t>COMBUSTIBLE ACPM GENERADOR 70KVA</t>
  </si>
  <si>
    <t>SEGURO TODO RIESGO GENERADOR 125 KVA</t>
  </si>
  <si>
    <t>FILTRO COMBUSTIBLE GENERADOR 125  KVA</t>
  </si>
  <si>
    <t>FILTRO ACEITE GENERADOR 125  KVA</t>
  </si>
  <si>
    <t>FILTRO COMBUSTIBLE AUXILIAR GENERADOR 125  KVA</t>
  </si>
  <si>
    <t>FILTRO BASE TRAMPA GENERADOR 125  KVA</t>
  </si>
  <si>
    <t>FILTRO DE AIRE EXTERNO GENERADOR 125  KVA</t>
  </si>
  <si>
    <t>ACEITE MOTOR GENERADOR 125  KVA</t>
  </si>
  <si>
    <t>MANTENIMIENTO CORRECTIVO GENERADOR 125  KVA</t>
  </si>
  <si>
    <t>BATERIA 27 1150 GENERADOR 125  KVA</t>
  </si>
  <si>
    <t>COMBUSTIBLE ACPM GENERADOR 125 KVA</t>
  </si>
  <si>
    <t>SEGURO TODO RIESGO GENERADOR 170 KVA</t>
  </si>
  <si>
    <t>FILTRO COMBUSTIBLE GENERADOR 170  KVA</t>
  </si>
  <si>
    <t>FILTRO COMBUSTIBLE AUXILIAR GENERADOR 170  KVA</t>
  </si>
  <si>
    <t>FILTRO ACEITE GENERADOR 170  KVA</t>
  </si>
  <si>
    <t>FILTRO DE AIRE EXTERNO GENERADOR 170 KVA</t>
  </si>
  <si>
    <t>ACEITE 15W40 GENERADOR 170 KVA</t>
  </si>
  <si>
    <t>SERVICIO MANTENIMIENTO CORRECTIVO GENERADOR 170 KVA</t>
  </si>
  <si>
    <t>BATERIA 27 - 1150 GENERADOR 170 KVA</t>
  </si>
  <si>
    <t>COMBUSTIBLE ACPM GENERADOR 170 KVA</t>
  </si>
  <si>
    <t>COSTOS DE ENERGÍA</t>
  </si>
  <si>
    <t>OPERACIÓN SISTEMAS ELECTRICOS Y DE ILUMINACIÓN</t>
  </si>
  <si>
    <t>MANTENIMIENTO SISTEMAS ELECTRICOS Y DE ILUMINACIÓN</t>
  </si>
  <si>
    <t>OPERACIÓN Y MANTENIMIENTO SISTEMAS ITS</t>
  </si>
  <si>
    <t>MANTENIMIENTO HARDWARE</t>
  </si>
  <si>
    <t xml:space="preserve">ASESORÍAS - MANTENIMIENTO SOFTWARE </t>
  </si>
  <si>
    <t>KIT DE REPPUESTOS SOS (54SOS)</t>
  </si>
  <si>
    <t>KIT DE REPUESTOS (PMVM)21UND</t>
  </si>
  <si>
    <t>KIT DE REPUESTOS (PMVF)11UND</t>
  </si>
  <si>
    <t>KIT DE REPUESTOS (PASOS SEGUROS) 16</t>
  </si>
  <si>
    <t>KIT DE REPUESTOS (CONTROL DE GALIBOS)MECANICOS</t>
  </si>
  <si>
    <t>KIT CABLEADO ESTRUCTURADO - TRONCAL DE FIBRA</t>
  </si>
  <si>
    <t xml:space="preserve">KIT PEAJES </t>
  </si>
  <si>
    <t>KIT PESAJE</t>
  </si>
  <si>
    <t>HERRAMIENTAS E INSUMOS</t>
  </si>
  <si>
    <t>OPERACIÓN Y MANTENIMIENTO TI</t>
  </si>
  <si>
    <t>ANTIVIRUS KASPERSKY</t>
  </si>
  <si>
    <t>LICENCIA AUTODESK</t>
  </si>
  <si>
    <t>CERTIFICADO FIRMA DIGITAL</t>
  </si>
  <si>
    <t>SINCO ERP - ARRENDAMIENTOS USUARIOS</t>
  </si>
  <si>
    <t>SINCO ERP - HOSTING</t>
  </si>
  <si>
    <t>SINCO ERP - PLAN DE MANTENIMIENTO ANUAL - ACTUALIZACIONES</t>
  </si>
  <si>
    <t>LICENCIA FIREWALL</t>
  </si>
  <si>
    <t>MANTENIMIENTO CORRECTIVO EQUIPOS</t>
  </si>
  <si>
    <t>MANTENIMIENTO EQUIPO DRON</t>
  </si>
  <si>
    <t>MANTENIMIENTO IMPRESORA B/N OF.SAN LUIS DE GACENO</t>
  </si>
  <si>
    <t>MANTENIMIENTO IMPRESORA BOGOTÁ</t>
  </si>
  <si>
    <t>MANTENIMIENTO IMPRESORA RICOH CCO</t>
  </si>
  <si>
    <t>MODEM BACK UP CCO + LINEAS EMERGENCIA</t>
  </si>
  <si>
    <t xml:space="preserve">OFFICE 365 </t>
  </si>
  <si>
    <t>PÁGINA WEB CONCESIONDELSISGA.COM.CO DOMINIO</t>
  </si>
  <si>
    <t>PÁGINA WEB CONCESIONDELSISGA.COM.CO HOSTING</t>
  </si>
  <si>
    <t>PÓLIZA</t>
  </si>
  <si>
    <t>CONFIGURACIÓN, BACKUP, ACTUALIZACIÓN APPLIANCE DE
SEGURIDAD FIREWALL</t>
  </si>
  <si>
    <t>PORTÁTILES</t>
  </si>
  <si>
    <t>PORTÁTILES ALTA GAMA</t>
  </si>
  <si>
    <t>MONITORES</t>
  </si>
  <si>
    <t xml:space="preserve">CELULARES </t>
  </si>
  <si>
    <t xml:space="preserve">TECLADO MOUSE </t>
  </si>
  <si>
    <t xml:space="preserve">IMPRESORA TINTA </t>
  </si>
  <si>
    <t>DIADEMA O MANOS LIBRE</t>
  </si>
  <si>
    <t>DISCOS SSD</t>
  </si>
  <si>
    <t>DISCO HDD</t>
  </si>
  <si>
    <t>DISCO M.3</t>
  </si>
  <si>
    <t>ADAPTADOR USB MULTIPUERTOS O DE CONVERSIÓN</t>
  </si>
  <si>
    <t>MOUSE ERGONÓMICO</t>
  </si>
  <si>
    <t xml:space="preserve">BATERÍAS PORTÁTILES </t>
  </si>
  <si>
    <t xml:space="preserve">RADIOS PUNTO A PUNTO </t>
  </si>
  <si>
    <t xml:space="preserve">ADAPTADORES DE CORRIENTE </t>
  </si>
  <si>
    <t>PARRILLEROS</t>
  </si>
  <si>
    <t xml:space="preserve">KID DE LIMPIEZA </t>
  </si>
  <si>
    <t xml:space="preserve">PASTA TÉRMICA </t>
  </si>
  <si>
    <t xml:space="preserve">CAMBIO DE IMPRESORA CCO </t>
  </si>
  <si>
    <t>ELEMENTOS FUNGIBLES</t>
  </si>
  <si>
    <t xml:space="preserve">TRASLADOS AUX TI - CORREDOR VIAL </t>
  </si>
  <si>
    <t>OPERACIÓN Y MANTENIMIENTO COMUNICACIONES</t>
  </si>
  <si>
    <t>KIT DE REPUESTOS (SISTEMA DE RADIO COMUNICAICION)</t>
  </si>
  <si>
    <t>CERTIFICADO SSL - PEAJES</t>
  </si>
  <si>
    <t>SERVICIO INTERNET 130 MB FIBRA ÓPTICA + POOL IP</t>
  </si>
  <si>
    <t>SERVIDOR CLOUD IPREV</t>
  </si>
  <si>
    <t>CERTIFICADO DE RADIO FRECUENCIAS - MINTIC</t>
  </si>
  <si>
    <t>SERVICIO INTERNET SATELITAL PEAJES</t>
  </si>
  <si>
    <t>LÍNEAS MÓVILES CORPORATIVAS</t>
  </si>
  <si>
    <t>LÍNEAS ESTACIONES DE SERVICIO CCO Y SAN LUIS DE GACENO</t>
  </si>
  <si>
    <t>OPERACIÓN SISTEMAS ITS - TI - COMUNICACIONES</t>
  </si>
  <si>
    <t>VIATICOS POLCA - AÑO 2026 - NUEVO CONVENIO</t>
  </si>
  <si>
    <t>MANTENIMIENTO EQUIPOS POLCA</t>
  </si>
  <si>
    <t>MANTENIMIENTO EQUIPOS POLCA AÑO 2026 - NUEVO CONVENIO</t>
  </si>
  <si>
    <t>OTRAS INVERSIONES - RESERVA - AFECTAN PRESUPUESTO 2025</t>
  </si>
  <si>
    <t>VIATICOS POLCA NO INVERTIDOS DIC-2022 A DIC-2025 (Reserva)</t>
  </si>
  <si>
    <t>CONVENIO POLCA</t>
  </si>
  <si>
    <t>EQUIPOS Y ELEMENTOS NUEVO CONVENIO 2026</t>
  </si>
  <si>
    <t>indicar si existe algun valor por retoma y el año del equipo que se reemplaza</t>
  </si>
  <si>
    <t xml:space="preserve">SISTEMAS ILUMINACIÓN </t>
  </si>
  <si>
    <t>CAMBIO LUMINARIAS TUNELES UF 2 (LAS JUNTAS Y EL INFIERNO)</t>
  </si>
  <si>
    <t>Indicar para que área será asignado, si el anterior se da de baja o se reasigna y el año del equipo</t>
  </si>
  <si>
    <t>SISTEMAS DE ENERGÍA</t>
  </si>
  <si>
    <t>PROYECTOS DE EFICIENCIA ENERGETICA EDIFICACIONES
(Optativo supeditado a conveniencia de amortización de inversión)</t>
  </si>
  <si>
    <r>
      <t xml:space="preserve">EQUIPOS Y ELEMENTOS  - ACTA DE LIQUIDACIÓN CONVENIO 2016 A 2022 (Reserva)
</t>
    </r>
    <r>
      <rPr>
        <sz val="11"/>
        <color rgb="FFFF0000"/>
        <rFont val="Calibri"/>
        <family val="2"/>
        <scheme val="minor"/>
      </rPr>
      <t>(Afecta Preupuesto 2025)</t>
    </r>
  </si>
  <si>
    <r>
      <t xml:space="preserve">ELEMENTOS POLCA NO INVERTIDOS DIC-2022 A DIC-2025 (Reserva)
</t>
    </r>
    <r>
      <rPr>
        <sz val="11"/>
        <color rgb="FFFF0000"/>
        <rFont val="Calibri"/>
        <family val="2"/>
        <scheme val="minor"/>
      </rPr>
      <t>(Afecta Preupuesto 2025)</t>
    </r>
  </si>
  <si>
    <t>CUMPLIMIENTO</t>
  </si>
  <si>
    <t>SALARIOS Y PRESTACIONES SOCIALES</t>
  </si>
  <si>
    <t>ESTABILIDAD Y CALIDAD</t>
  </si>
  <si>
    <t>D&amp;O</t>
  </si>
  <si>
    <t>AUTOS </t>
  </si>
  <si>
    <t>RC AMBIENTAL</t>
  </si>
  <si>
    <t>RESPONSABILIDAD CIVIL EXTRACONTRACTUAL</t>
  </si>
  <si>
    <t>OBRA CIVIL TERMINADA</t>
  </si>
  <si>
    <t>TODO RIESGO CONSTRUCCION</t>
  </si>
  <si>
    <t>COSTOS FINANCIEROS</t>
  </si>
  <si>
    <t>HONORARIOS AGENTE ADMINISTRATIVO</t>
  </si>
  <si>
    <t>HONORARIOS AGENTE ADMINISTRATIVO LIQUIDEZ</t>
  </si>
  <si>
    <t>HONORARIOS AGENTE GARANTÍAS</t>
  </si>
  <si>
    <t>CUARTO DE DATOS</t>
  </si>
  <si>
    <t>ASESOR LEGAL PRESTAMISTA</t>
  </si>
  <si>
    <t>ASESOR LEGAL DEUDOR</t>
  </si>
  <si>
    <t>ADICIONAL CERTIFICADO CAMBIO CLIMATICO</t>
  </si>
  <si>
    <t>MEMO REVISION PRESUPUESTO</t>
  </si>
  <si>
    <t>CERTIFICADO DISPENSA WAIVER</t>
  </si>
  <si>
    <t>REVISION PLAN DE OBRA HITOS</t>
  </si>
  <si>
    <t>INFORME SEMESTRAL TECNICO OPERACION</t>
  </si>
  <si>
    <t>INFORME SEMESTRAL SOCIO AMBIENTAL OPERACION</t>
  </si>
  <si>
    <t>PAGO CAPITAL DEUDA</t>
  </si>
  <si>
    <t>PAGO INTERESES DEUDA</t>
  </si>
  <si>
    <t>HONORARIOS REVISOR FISCAL</t>
  </si>
  <si>
    <t>HONORARIOS AUDITOR EXTERNO</t>
  </si>
  <si>
    <t>HONORARIOS CONSULTAS TRIBUTARIAS</t>
  </si>
  <si>
    <t>HONORARIOS CONSULTAS niif</t>
  </si>
  <si>
    <t>AGENTE DE CALCULO TERMINACION</t>
  </si>
  <si>
    <t>ACTUALIZACIÓN MODELO FINANCIERO</t>
  </si>
  <si>
    <t>AUDITORIA MDELO FINANCIERO</t>
  </si>
  <si>
    <t>CAMARA DE COMERCIO</t>
  </si>
  <si>
    <t>INTERVENTORIA Y SUPERVISION</t>
  </si>
  <si>
    <t>SOPORTE CONSTRACTUAL</t>
  </si>
  <si>
    <t>APORTE ANUAL -MASC</t>
  </si>
  <si>
    <t>PRIMER APORTE SEMESTRAL -MASC</t>
  </si>
  <si>
    <t>APORTE SUPER TRANSPORTE</t>
  </si>
  <si>
    <t>APORTE FONTUR</t>
  </si>
  <si>
    <t>APORTE FONSECON</t>
  </si>
  <si>
    <t>ICA</t>
  </si>
  <si>
    <t>ICA MUNICIPIOS</t>
  </si>
  <si>
    <t>AUTORETENCION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</si>
</sst>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_-* #,##0.00\ [$€]_-;\-* #,##0.00\ [$€]_-;_-* &quot;-&quot;??\ [$€]_-;_-@_-"/>
    <numFmt numFmtId="167" formatCode="_ * #,##0.00_ ;_ * \-#,##0.00_ ;_ * &quot;-&quot;??_ ;_ @_ "/>
    <numFmt numFmtId="168" formatCode="#,##0_);\(#,##0\);&quot;-  &quot;;&quot; &quot;@&quot; &quot;"/>
    <numFmt numFmtId="169" formatCode="0.00_)%_);\(0.00\)%_);&quot;-  &quot;;&quot; &quot;@&quot; &quot;"/>
    <numFmt numFmtId="170" formatCode="_-* #,##0_-;\-* #,##0_-;_-* &quot;-&quot;??_-;_-@_-"/>
  </numFmts>
  <fonts count="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u/>
      <sz val="12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name val="Cambria"/>
      <family val="2"/>
      <scheme val="maj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7A988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84">
    <xf numFmtId="0" fontId="0" fillId="0" borderId="0"/>
    <xf numFmtId="165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165" fontId="2" fillId="0" borderId="0" applyFont="0" applyFill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2" fillId="6" borderId="5" applyNumberFormat="0" applyAlignment="0" applyProtection="0"/>
    <xf numFmtId="165" fontId="2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2" fillId="4" borderId="0" applyNumberFormat="0" applyBorder="0" applyAlignment="0" applyProtection="0"/>
    <xf numFmtId="0" fontId="23" fillId="0" borderId="0"/>
    <xf numFmtId="0" fontId="2" fillId="0" borderId="0"/>
    <xf numFmtId="168" fontId="2" fillId="0" borderId="0" applyFont="0" applyFill="0" applyBorder="0" applyProtection="0">
      <alignment vertical="top"/>
    </xf>
    <xf numFmtId="0" fontId="18" fillId="0" borderId="0"/>
    <xf numFmtId="0" fontId="21" fillId="0" borderId="0"/>
    <xf numFmtId="0" fontId="18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2" fillId="0" borderId="0"/>
    <xf numFmtId="0" fontId="2" fillId="8" borderId="9" applyNumberFormat="0" applyFont="0" applyAlignment="0" applyProtection="0"/>
    <xf numFmtId="169" fontId="2" fillId="0" borderId="0" applyFont="0" applyFill="0" applyBorder="0" applyProtection="0">
      <alignment vertical="top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1" fillId="6" borderId="6" applyNumberFormat="0" applyAlignment="0" applyProtection="0"/>
    <xf numFmtId="0" fontId="24" fillId="0" borderId="0"/>
    <xf numFmtId="0" fontId="24" fillId="0" borderId="0"/>
    <xf numFmtId="0" fontId="25" fillId="36" borderId="0">
      <alignment horizontal="center"/>
    </xf>
    <xf numFmtId="0" fontId="26" fillId="37" borderId="0"/>
    <xf numFmtId="0" fontId="27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21" fillId="0" borderId="0"/>
    <xf numFmtId="0" fontId="21" fillId="0" borderId="0"/>
    <xf numFmtId="0" fontId="30" fillId="0" borderId="0" applyFill="0" applyBorder="0" applyProtection="0">
      <alignment horizontal="left" indent="1"/>
    </xf>
  </cellStyleXfs>
  <cellXfs count="7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5" fontId="0" fillId="0" borderId="1" xfId="1" applyFont="1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1" fillId="33" borderId="1" xfId="0" applyFont="1" applyFill="1" applyBorder="1" applyAlignment="1">
      <alignment horizontal="center" vertical="top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12" xfId="0" applyNumberFormat="1" applyBorder="1" applyAlignment="1">
      <alignment horizontal="center"/>
    </xf>
    <xf numFmtId="0" fontId="0" fillId="35" borderId="1" xfId="0" applyFill="1" applyBorder="1"/>
    <xf numFmtId="165" fontId="0" fillId="0" borderId="0" xfId="1" applyFont="1" applyBorder="1"/>
    <xf numFmtId="165" fontId="0" fillId="0" borderId="15" xfId="1" applyFont="1" applyBorder="1"/>
    <xf numFmtId="0" fontId="1" fillId="34" borderId="1" xfId="0" applyFont="1" applyFill="1" applyBorder="1" applyAlignment="1">
      <alignment horizontal="center" vertical="center"/>
    </xf>
    <xf numFmtId="0" fontId="1" fillId="34" borderId="16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38" borderId="1" xfId="0" applyFill="1" applyBorder="1"/>
    <xf numFmtId="3" fontId="0" fillId="0" borderId="1" xfId="0" applyNumberFormat="1" applyBorder="1"/>
    <xf numFmtId="3" fontId="1" fillId="0" borderId="1" xfId="0" applyNumberFormat="1" applyFont="1" applyBorder="1"/>
    <xf numFmtId="3" fontId="0" fillId="0" borderId="0" xfId="0" applyNumberFormat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3" fontId="0" fillId="0" borderId="1" xfId="0" applyNumberForma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0" fillId="39" borderId="1" xfId="0" applyFill="1" applyBorder="1" applyAlignment="1">
      <alignment vertical="center"/>
    </xf>
    <xf numFmtId="165" fontId="0" fillId="39" borderId="1" xfId="1" applyFont="1" applyFill="1" applyBorder="1" applyAlignment="1">
      <alignment vertical="center"/>
    </xf>
    <xf numFmtId="0" fontId="0" fillId="39" borderId="1" xfId="0" applyFill="1" applyBorder="1" applyAlignment="1">
      <alignment vertical="center" wrapText="1"/>
    </xf>
    <xf numFmtId="0" fontId="1" fillId="0" borderId="0" xfId="0" applyFont="1" applyAlignment="1">
      <alignment horizontal="center"/>
    </xf>
    <xf numFmtId="165" fontId="0" fillId="0" borderId="1" xfId="1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3" fontId="0" fillId="40" borderId="1" xfId="0" applyNumberFormat="1" applyFill="1" applyBorder="1"/>
    <xf numFmtId="0" fontId="1" fillId="34" borderId="16" xfId="0" applyFont="1" applyFill="1" applyBorder="1" applyAlignment="1">
      <alignment horizontal="center" vertical="center" wrapText="1"/>
    </xf>
    <xf numFmtId="3" fontId="1" fillId="34" borderId="1" xfId="0" applyNumberFormat="1" applyFont="1" applyFill="1" applyBorder="1" applyAlignment="1">
      <alignment vertical="center"/>
    </xf>
    <xf numFmtId="3" fontId="0" fillId="39" borderId="1" xfId="0" applyNumberFormat="1" applyFill="1" applyBorder="1" applyAlignment="1">
      <alignment vertical="center"/>
    </xf>
    <xf numFmtId="0" fontId="28" fillId="0" borderId="0" xfId="0" applyFont="1" applyAlignment="1">
      <alignment vertical="center"/>
    </xf>
    <xf numFmtId="165" fontId="0" fillId="35" borderId="1" xfId="1" applyFont="1" applyFill="1" applyBorder="1"/>
    <xf numFmtId="3" fontId="0" fillId="35" borderId="1" xfId="0" applyNumberFormat="1" applyFill="1" applyBorder="1"/>
    <xf numFmtId="3" fontId="28" fillId="35" borderId="1" xfId="0" applyNumberFormat="1" applyFont="1" applyFill="1" applyBorder="1" applyAlignment="1">
      <alignment vertical="center"/>
    </xf>
    <xf numFmtId="3" fontId="28" fillId="39" borderId="1" xfId="0" applyNumberFormat="1" applyFont="1" applyFill="1" applyBorder="1" applyAlignment="1">
      <alignment vertical="center"/>
    </xf>
    <xf numFmtId="0" fontId="0" fillId="40" borderId="1" xfId="0" applyFill="1" applyBorder="1" applyAlignment="1">
      <alignment vertical="center"/>
    </xf>
    <xf numFmtId="0" fontId="0" fillId="40" borderId="1" xfId="0" applyFill="1" applyBorder="1" applyAlignment="1">
      <alignment vertical="center" wrapText="1"/>
    </xf>
    <xf numFmtId="165" fontId="0" fillId="40" borderId="1" xfId="1" applyFont="1" applyFill="1" applyBorder="1" applyAlignment="1">
      <alignment vertical="center"/>
    </xf>
    <xf numFmtId="3" fontId="0" fillId="40" borderId="1" xfId="0" applyNumberFormat="1" applyFill="1" applyBorder="1" applyAlignment="1">
      <alignment vertical="center"/>
    </xf>
    <xf numFmtId="0" fontId="0" fillId="40" borderId="0" xfId="0" applyFill="1" applyAlignment="1">
      <alignment vertical="center"/>
    </xf>
    <xf numFmtId="0" fontId="29" fillId="40" borderId="1" xfId="0" applyFont="1" applyFill="1" applyBorder="1" applyAlignment="1">
      <alignment vertical="center" wrapText="1"/>
    </xf>
    <xf numFmtId="170" fontId="0" fillId="0" borderId="1" xfId="1" applyNumberFormat="1" applyFont="1" applyBorder="1"/>
    <xf numFmtId="0" fontId="1" fillId="0" borderId="1" xfId="0" applyFont="1" applyBorder="1"/>
    <xf numFmtId="165" fontId="1" fillId="0" borderId="1" xfId="1" applyFont="1" applyBorder="1"/>
    <xf numFmtId="0" fontId="1" fillId="0" borderId="0" xfId="0" applyFont="1"/>
    <xf numFmtId="3" fontId="0" fillId="0" borderId="17" xfId="0" applyNumberFormat="1" applyBorder="1"/>
    <xf numFmtId="0" fontId="29" fillId="0" borderId="1" xfId="0" applyFont="1" applyBorder="1"/>
    <xf numFmtId="170" fontId="0" fillId="0" borderId="1" xfId="1" applyNumberFormat="1" applyFont="1" applyFill="1" applyBorder="1"/>
    <xf numFmtId="170" fontId="0" fillId="0" borderId="1" xfId="1" applyNumberFormat="1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170" fontId="0" fillId="0" borderId="1" xfId="0" applyNumberFormat="1" applyBorder="1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40" borderId="1" xfId="0" applyFill="1" applyBorder="1"/>
    <xf numFmtId="0" fontId="0" fillId="40" borderId="1" xfId="0" applyFill="1" applyBorder="1" applyAlignment="1">
      <alignment horizontal="center" vertical="center"/>
    </xf>
    <xf numFmtId="170" fontId="0" fillId="40" borderId="1" xfId="1" applyNumberFormat="1" applyFont="1" applyFill="1" applyBorder="1"/>
    <xf numFmtId="0" fontId="0" fillId="40" borderId="0" xfId="0" applyFill="1"/>
    <xf numFmtId="170" fontId="0" fillId="40" borderId="1" xfId="0" applyNumberFormat="1" applyFill="1" applyBorder="1"/>
    <xf numFmtId="1" fontId="0" fillId="40" borderId="1" xfId="0" applyNumberFormat="1" applyFill="1" applyBorder="1" applyAlignment="1">
      <alignment horizontal="center" vertical="center"/>
    </xf>
    <xf numFmtId="1" fontId="0" fillId="0" borderId="1" xfId="1" applyNumberFormat="1" applyFont="1" applyBorder="1"/>
    <xf numFmtId="1" fontId="0" fillId="0" borderId="1" xfId="0" applyNumberFormat="1" applyBorder="1"/>
  </cellXfs>
  <cellStyles count="84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1 2" xfId="44" xr:uid="{CBCCD41E-FEEB-4A6B-A0E4-EDA619480A88}"/>
    <cellStyle name="60% - Énfasis2" xfId="26" builtinId="36" customBuiltin="1"/>
    <cellStyle name="60% - Énfasis2 2" xfId="45" xr:uid="{4138A2EC-FE8C-436B-901E-1C61751762E8}"/>
    <cellStyle name="60% - Énfasis3" xfId="30" builtinId="40" customBuiltin="1"/>
    <cellStyle name="60% - Énfasis3 2" xfId="46" xr:uid="{14E15AC6-6BD1-4D93-8B23-5FCA6FBB2B75}"/>
    <cellStyle name="60% - Énfasis4" xfId="34" builtinId="44" customBuiltin="1"/>
    <cellStyle name="60% - Énfasis4 2" xfId="47" xr:uid="{6E25894F-E47F-4D09-8751-CBCDE3C3B1A5}"/>
    <cellStyle name="60% - Énfasis5" xfId="38" builtinId="48" customBuiltin="1"/>
    <cellStyle name="60% - Énfasis5 2" xfId="48" xr:uid="{6A408F19-91A0-4844-BA63-115529DDC8D9}"/>
    <cellStyle name="60% - Énfasis6" xfId="42" builtinId="52" customBuiltin="1"/>
    <cellStyle name="60% - Énfasis6 2" xfId="49" xr:uid="{171D32A4-1DC1-4C34-8FF5-9134F2E5A503}"/>
    <cellStyle name="Bueno" xfId="7" builtinId="26" customBuiltin="1"/>
    <cellStyle name="Cálculo" xfId="12" builtinId="22" customBuiltin="1"/>
    <cellStyle name="Cálculo 2" xfId="50" xr:uid="{5A6A30A5-43BF-4B5A-AE30-9566C0D92049}"/>
    <cellStyle name="Celda de comprobación" xfId="14" builtinId="23" customBuiltin="1"/>
    <cellStyle name="Celda vinculada" xfId="13" builtinId="24" customBuiltin="1"/>
    <cellStyle name="Comma 2" xfId="51" xr:uid="{3F1A49D4-B3F6-42B0-B950-442000147C63}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Euro" xfId="52" xr:uid="{BF31B6B3-EDDC-4D4A-8818-9DC52FB7B6B6}"/>
    <cellStyle name="Euro 2" xfId="53" xr:uid="{EEFB779B-9DAB-4200-A619-35459954D840}"/>
    <cellStyle name="Incorrecto" xfId="8" builtinId="27" customBuiltin="1"/>
    <cellStyle name="Millares" xfId="1" builtinId="3"/>
    <cellStyle name="Millares 2" xfId="54" xr:uid="{4FD4FE71-362E-4847-8D96-B0C1E9423A1F}"/>
    <cellStyle name="Millares 2 2" xfId="55" xr:uid="{65354144-585A-4484-BCF7-98019052AFB6}"/>
    <cellStyle name="Millares 3" xfId="56" xr:uid="{29B646A2-9A57-41B9-9DA5-2319C8B31C75}"/>
    <cellStyle name="Millares 4" xfId="43" xr:uid="{E9E02FA2-1CAB-4320-95F4-23789093903E}"/>
    <cellStyle name="Moneda 2" xfId="80" xr:uid="{3C416421-2CD9-4C5D-8D76-B11C56C5517C}"/>
    <cellStyle name="Neutral" xfId="9" builtinId="28" customBuiltin="1"/>
    <cellStyle name="Neutral 2" xfId="57" xr:uid="{4BDEB20C-05AD-4184-8E7E-BA8A22394EA6}"/>
    <cellStyle name="Normal" xfId="0" builtinId="0"/>
    <cellStyle name="Normal 10 2 2" xfId="82" xr:uid="{B202E3CC-A292-4B9D-AD84-8A4307274EBF}"/>
    <cellStyle name="Normal 2" xfId="58" xr:uid="{6F9BFE55-6C2D-47BB-9A66-E3E45B899332}"/>
    <cellStyle name="Normal 2 2" xfId="59" xr:uid="{B7182942-B8CA-4C1E-864A-6FC5551D7107}"/>
    <cellStyle name="Normal 2 2 2 2" xfId="83" xr:uid="{85CFB597-08AC-47BE-9453-447000E82F11}"/>
    <cellStyle name="Normal 3" xfId="60" xr:uid="{B7E11191-4F86-40A4-A84A-71189B6D006D}"/>
    <cellStyle name="Normal 3 2" xfId="61" xr:uid="{3B281701-254A-4048-B120-8CF427998A2E}"/>
    <cellStyle name="Normal 4" xfId="62" xr:uid="{679BCCA1-1A8A-4D74-9A58-61ECE8A10C49}"/>
    <cellStyle name="Normal 4 2" xfId="63" xr:uid="{8AA5E393-0790-4C46-AEE9-4BD4095C282D}"/>
    <cellStyle name="Normal 5" xfId="64" xr:uid="{5F312DAD-340B-40BB-B2C4-840674846A44}"/>
    <cellStyle name="Normal 5 2" xfId="65" xr:uid="{AA9C0494-6EE7-4882-A3F2-1CC4EBFD1139}"/>
    <cellStyle name="Normal 6" xfId="66" xr:uid="{3A0A7C25-B0CF-4FF0-B665-18CBA45647E6}"/>
    <cellStyle name="Normal 7" xfId="67" xr:uid="{AF985C91-C68C-472D-8327-DD9C68163457}"/>
    <cellStyle name="Normal 8" xfId="68" xr:uid="{61F94689-8D44-426A-97CE-22006B56976E}"/>
    <cellStyle name="Normal 8 2" xfId="81" xr:uid="{930A1DA6-8E79-4C33-A90B-E894002AA294}"/>
    <cellStyle name="Notas" xfId="16" builtinId="10" customBuiltin="1"/>
    <cellStyle name="Notas 2" xfId="69" xr:uid="{6096FEF0-F2E5-4511-AA4F-0864D8F5AD9A}"/>
    <cellStyle name="Porcentaje 2" xfId="70" xr:uid="{BBFA83A9-D796-4DFF-B795-FE9FE77632B3}"/>
    <cellStyle name="Porcentaje 2 2" xfId="71" xr:uid="{7640C412-3165-4E11-8EAD-8B4B3D6F30CA}"/>
    <cellStyle name="Porcentaje 3" xfId="72" xr:uid="{8A47D7F1-E723-45DC-8C69-BCADB3F14E88}"/>
    <cellStyle name="Porcentaje 4" xfId="73" xr:uid="{1E655E7E-095D-4878-A481-67DD6A656A1F}"/>
    <cellStyle name="Salida" xfId="11" builtinId="21" customBuiltin="1"/>
    <cellStyle name="Salida 2" xfId="74" xr:uid="{FEF1D3B6-62FA-4274-B724-F7D21CA6D9A7}"/>
    <cellStyle name="Sectio" xfId="75" xr:uid="{D59B7AFA-27F7-40D6-91DA-C16ED14EDFE0}"/>
    <cellStyle name="Section" xfId="76" xr:uid="{F88E894A-F5B0-4297-A7C5-40AAD47736E3}"/>
    <cellStyle name="Table" xfId="77" xr:uid="{A68DDDB3-B4FC-4D1F-8467-70ED50E28812}"/>
    <cellStyle name="Texto de advertencia" xfId="15" builtinId="11" customBuiltin="1"/>
    <cellStyle name="Texto explicativo" xfId="17" builtinId="53" customBuiltin="1"/>
    <cellStyle name="Title" xfId="78" xr:uid="{3FCC819B-7CD1-4F97-B831-B138ED7B60F2}"/>
    <cellStyle name="Título" xfId="2" builtinId="15" customBuiltin="1"/>
    <cellStyle name="Título 2" xfId="4" builtinId="17" customBuiltin="1"/>
    <cellStyle name="Título 3" xfId="5" builtinId="18" customBuiltin="1"/>
    <cellStyle name="Título 4" xfId="79" xr:uid="{5802A905-99C6-4434-AB13-8B403D17722C}"/>
    <cellStyle name="Total" xfId="18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lliam Alberto Velasquez Tique" id="{F12C28E5-8D3E-47B5-B095-2E75AC2712A2}" userId="S::william.velasquez@concesiondelsisga.com.co::1b939c36-94d0-408d-b2a7-0fb5d268ca9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BC10A1-D0F4-47C1-807E-AD28FAD12226}" name="Table1" displayName="Table1" ref="A1:T2864" totalsRowShown="0">
  <autoFilter ref="A1:T2864" xr:uid="{B9BC10A1-D0F4-47C1-807E-AD28FAD12226}"/>
  <tableColumns count="20">
    <tableColumn id="1" xr3:uid="{5A5E5C38-B907-409B-B601-7EC46487F5C7}" name="Codigo"/>
    <tableColumn id="2" xr3:uid="{3E60B6E6-EFEA-459D-90A3-1AE1198822F6}" name="Descripción"/>
    <tableColumn id="3" xr3:uid="{8800DE6F-20C9-4BB7-94FA-B957FD2031D4}" name="Tipo"/>
    <tableColumn id="4" xr3:uid="{25756D62-2B46-48E6-B71C-AFB15511A98A}" name="U.M."/>
    <tableColumn id="5" xr3:uid="{D8CF4517-F3E1-44B0-A186-E08304659CA7}" name="Grupo"/>
    <tableColumn id="6" xr3:uid="{0DEBC926-A45C-4A4F-9C3E-EC07C4452061}" name="Vr.Unitario"/>
    <tableColumn id="7" xr3:uid="{30BCFD12-7EF7-41BB-81A8-3EBAE5EAF1DC}" name="% IVA"/>
    <tableColumn id="8" xr3:uid="{57A6A667-94CB-4FA1-8B76-580570FC4FC1}" name="Vr.Neto"/>
    <tableColumn id="9" xr3:uid="{701FFA27-E23F-49CA-A63D-372C0CA99A9E}" name="Estado"/>
    <tableColumn id="10" xr3:uid="{470FBF1C-8760-46DA-879D-9783DFA53F85}" name="Sub-Analisis"/>
    <tableColumn id="11" xr3:uid="{02A74668-2B94-4E45-AF80-0FD424D29E64}" name="Stock Minimo"/>
    <tableColumn id="12" xr3:uid="{8867B05C-4064-4CF1-BA2E-3A2F7E2A8862}" name="Stock Maximo"/>
    <tableColumn id="13" xr3:uid="{12BB0F0D-F9A6-4BE7-A804-906AEBA577B2}" name="Devolutivo"/>
    <tableColumn id="14" xr3:uid="{7941A0D3-7D43-4506-BA05-19E913D2871D}" name="Adjuntos"/>
    <tableColumn id="15" xr3:uid="{AF2E830F-15C6-4858-8D27-BB028F9EE662}" name="Iva Descontable"/>
    <tableColumn id="16" xr3:uid="{BFDD4EFC-0921-4E0F-B702-CA386FE5CC56}" name="Excluye IVA"/>
    <tableColumn id="17" xr3:uid="{CB7FC8D1-5B47-4DB4-8495-62A4F612D229}" name="Usuario Creación"/>
    <tableColumn id="18" xr3:uid="{274A31AC-F47C-4E5D-8317-2425BFF775E4}" name="Fecha Creación"/>
    <tableColumn id="19" xr3:uid="{9D0DFF02-DF50-4BC9-83B6-6CD18F27F9AB}" name="Usuario Modificación"/>
    <tableColumn id="20" xr3:uid="{738CA7F1-1215-4A96-B1FD-4C8DCD3FD60B}" name="Fecha Modific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1-07T15:07:57.75" personId="{F12C28E5-8D3E-47B5-B095-2E75AC2712A2}" id="{BE9B793B-809B-49CD-9D38-CA727B0BC5DB}">
    <text>Valor de la celda en 4%. Se actualiza al 5.3% correspondiente a la ultima actualización (noviembre 2025). La actualización de cierre 2025 se publicará el 09/01/2026</text>
  </threadedComment>
  <threadedComment ref="C3" dT="2026-01-09T17:14:23.51" personId="{F12C28E5-8D3E-47B5-B095-2E75AC2712A2}" id="{79BCF521-67FB-4809-AB02-DA92D5AE8761}" parentId="{BE9B793B-809B-49CD-9D38-CA727B0BC5DB}">
    <text>Se actualizar a 5.10% correspondiente al cierre del 2025</text>
  </threadedComment>
  <threadedComment ref="C4" dT="2026-01-07T15:09:04.36" personId="{F12C28E5-8D3E-47B5-B095-2E75AC2712A2}" id="{CFF5C6C1-5536-4E62-9490-5CF2B1696B0E}">
    <text>Valor de la celda 8%. Se actualiza a 23% de acuerdo al Decreto 1469 y 1470 de 29 de Dic de 2025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BEA82-615D-40E7-B475-5866BA61D6C4}">
  <dimension ref="A1:T2864"/>
  <sheetViews>
    <sheetView topLeftCell="A860" workbookViewId="0">
      <selection activeCell="B881" sqref="B881"/>
    </sheetView>
  </sheetViews>
  <sheetFormatPr defaultColWidth="9.140625" defaultRowHeight="14.45"/>
  <cols>
    <col min="1" max="1" width="10.42578125" customWidth="1"/>
    <col min="2" max="2" width="65.140625" customWidth="1"/>
    <col min="3" max="3" width="24.140625" customWidth="1"/>
    <col min="4" max="4" width="23.140625" customWidth="1"/>
    <col min="5" max="5" width="52.28515625" customWidth="1"/>
    <col min="6" max="6" width="13.85546875" customWidth="1"/>
    <col min="7" max="7" width="9.42578125" customWidth="1"/>
    <col min="8" max="8" width="13" customWidth="1"/>
    <col min="9" max="9" width="10.28515625" customWidth="1"/>
    <col min="10" max="10" width="14.7109375" customWidth="1"/>
    <col min="11" max="11" width="16.28515625" customWidth="1"/>
    <col min="12" max="12" width="16.5703125" customWidth="1"/>
    <col min="13" max="13" width="13.7109375" customWidth="1"/>
    <col min="14" max="14" width="12.140625" customWidth="1"/>
    <col min="15" max="15" width="18.140625" customWidth="1"/>
    <col min="16" max="16" width="14.42578125" customWidth="1"/>
    <col min="17" max="17" width="30.140625" customWidth="1"/>
    <col min="18" max="18" width="17.42578125" customWidth="1"/>
    <col min="19" max="19" width="30.140625" customWidth="1"/>
    <col min="20" max="20" width="21.1406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>
        <v>2000</v>
      </c>
      <c r="G2">
        <v>19</v>
      </c>
      <c r="H2">
        <v>2380</v>
      </c>
      <c r="I2" t="s">
        <v>24</v>
      </c>
      <c r="J2" t="s">
        <v>25</v>
      </c>
      <c r="K2">
        <v>0</v>
      </c>
      <c r="L2">
        <v>0</v>
      </c>
      <c r="M2" t="s">
        <v>25</v>
      </c>
      <c r="N2" t="s">
        <v>25</v>
      </c>
      <c r="O2" t="s">
        <v>26</v>
      </c>
      <c r="P2" t="s">
        <v>25</v>
      </c>
      <c r="Q2" t="s">
        <v>27</v>
      </c>
      <c r="R2" t="s">
        <v>28</v>
      </c>
    </row>
    <row r="3" spans="1:20">
      <c r="A3">
        <v>2</v>
      </c>
      <c r="B3" t="s">
        <v>29</v>
      </c>
      <c r="C3" t="s">
        <v>21</v>
      </c>
      <c r="D3" t="s">
        <v>22</v>
      </c>
      <c r="E3" t="s">
        <v>23</v>
      </c>
      <c r="F3">
        <v>500000</v>
      </c>
      <c r="G3">
        <v>19</v>
      </c>
      <c r="H3">
        <v>595000</v>
      </c>
      <c r="I3" t="s">
        <v>24</v>
      </c>
      <c r="J3" t="s">
        <v>25</v>
      </c>
      <c r="K3">
        <v>0</v>
      </c>
      <c r="L3">
        <v>0</v>
      </c>
      <c r="M3" t="s">
        <v>25</v>
      </c>
      <c r="N3" t="s">
        <v>25</v>
      </c>
      <c r="O3" t="s">
        <v>26</v>
      </c>
      <c r="P3" t="s">
        <v>25</v>
      </c>
      <c r="Q3" t="s">
        <v>27</v>
      </c>
      <c r="R3" t="s">
        <v>28</v>
      </c>
    </row>
    <row r="4" spans="1:20">
      <c r="A4">
        <v>3</v>
      </c>
      <c r="B4" t="s">
        <v>30</v>
      </c>
      <c r="C4" t="s">
        <v>21</v>
      </c>
      <c r="D4" t="s">
        <v>22</v>
      </c>
      <c r="E4" t="s">
        <v>23</v>
      </c>
      <c r="F4">
        <v>5500</v>
      </c>
      <c r="G4">
        <v>19</v>
      </c>
      <c r="H4">
        <v>6545</v>
      </c>
      <c r="I4" t="s">
        <v>24</v>
      </c>
      <c r="J4" t="s">
        <v>25</v>
      </c>
      <c r="K4">
        <v>0</v>
      </c>
      <c r="L4">
        <v>0</v>
      </c>
      <c r="M4" t="s">
        <v>25</v>
      </c>
      <c r="N4" t="s">
        <v>25</v>
      </c>
      <c r="O4" t="s">
        <v>26</v>
      </c>
      <c r="P4" t="s">
        <v>25</v>
      </c>
      <c r="Q4" t="s">
        <v>27</v>
      </c>
      <c r="R4" t="s">
        <v>28</v>
      </c>
    </row>
    <row r="5" spans="1:20">
      <c r="A5">
        <v>4</v>
      </c>
      <c r="B5" t="s">
        <v>31</v>
      </c>
      <c r="C5" t="s">
        <v>21</v>
      </c>
      <c r="D5" t="s">
        <v>32</v>
      </c>
      <c r="E5" t="s">
        <v>23</v>
      </c>
      <c r="F5">
        <v>9000</v>
      </c>
      <c r="G5">
        <v>19</v>
      </c>
      <c r="H5">
        <v>10710</v>
      </c>
      <c r="I5" t="s">
        <v>24</v>
      </c>
      <c r="J5" t="s">
        <v>25</v>
      </c>
      <c r="K5">
        <v>0</v>
      </c>
      <c r="L5">
        <v>0</v>
      </c>
      <c r="M5" t="s">
        <v>25</v>
      </c>
      <c r="N5" t="s">
        <v>25</v>
      </c>
      <c r="O5" t="s">
        <v>26</v>
      </c>
      <c r="P5" t="s">
        <v>25</v>
      </c>
      <c r="Q5" t="s">
        <v>27</v>
      </c>
      <c r="R5" t="s">
        <v>28</v>
      </c>
    </row>
    <row r="6" spans="1:20">
      <c r="A6">
        <v>5</v>
      </c>
      <c r="B6" t="s">
        <v>33</v>
      </c>
      <c r="C6" t="s">
        <v>21</v>
      </c>
      <c r="D6" t="s">
        <v>22</v>
      </c>
      <c r="E6" t="s">
        <v>23</v>
      </c>
      <c r="F6">
        <v>3500</v>
      </c>
      <c r="G6">
        <v>19</v>
      </c>
      <c r="H6">
        <v>4165</v>
      </c>
      <c r="I6" t="s">
        <v>24</v>
      </c>
      <c r="J6" t="s">
        <v>25</v>
      </c>
      <c r="K6">
        <v>0</v>
      </c>
      <c r="L6">
        <v>0</v>
      </c>
      <c r="M6" t="s">
        <v>25</v>
      </c>
      <c r="N6" t="s">
        <v>25</v>
      </c>
      <c r="O6" t="s">
        <v>26</v>
      </c>
      <c r="P6" t="s">
        <v>25</v>
      </c>
      <c r="Q6" t="s">
        <v>27</v>
      </c>
      <c r="R6" t="s">
        <v>28</v>
      </c>
    </row>
    <row r="7" spans="1:20">
      <c r="A7">
        <v>6</v>
      </c>
      <c r="B7" t="s">
        <v>34</v>
      </c>
      <c r="C7" t="s">
        <v>21</v>
      </c>
      <c r="D7" t="s">
        <v>22</v>
      </c>
      <c r="E7" t="s">
        <v>23</v>
      </c>
      <c r="F7">
        <v>4000</v>
      </c>
      <c r="G7">
        <v>19</v>
      </c>
      <c r="H7">
        <v>4760</v>
      </c>
      <c r="I7" t="s">
        <v>24</v>
      </c>
      <c r="J7" t="s">
        <v>25</v>
      </c>
      <c r="K7">
        <v>0</v>
      </c>
      <c r="L7">
        <v>0</v>
      </c>
      <c r="M7" t="s">
        <v>25</v>
      </c>
      <c r="N7" t="s">
        <v>25</v>
      </c>
      <c r="O7" t="s">
        <v>26</v>
      </c>
      <c r="P7" t="s">
        <v>25</v>
      </c>
      <c r="Q7" t="s">
        <v>27</v>
      </c>
      <c r="R7" t="s">
        <v>28</v>
      </c>
    </row>
    <row r="8" spans="1:20">
      <c r="A8">
        <v>7</v>
      </c>
      <c r="B8" t="s">
        <v>35</v>
      </c>
      <c r="C8" t="s">
        <v>36</v>
      </c>
      <c r="D8" t="s">
        <v>22</v>
      </c>
      <c r="E8" t="s">
        <v>37</v>
      </c>
      <c r="F8">
        <v>1000000</v>
      </c>
      <c r="G8">
        <v>19</v>
      </c>
      <c r="H8">
        <v>1190000</v>
      </c>
      <c r="I8" t="s">
        <v>24</v>
      </c>
      <c r="J8" t="s">
        <v>25</v>
      </c>
      <c r="K8">
        <v>0</v>
      </c>
      <c r="L8">
        <v>0</v>
      </c>
      <c r="M8" t="s">
        <v>25</v>
      </c>
      <c r="N8" t="s">
        <v>25</v>
      </c>
      <c r="O8" t="s">
        <v>26</v>
      </c>
      <c r="P8" t="s">
        <v>25</v>
      </c>
      <c r="Q8" t="s">
        <v>27</v>
      </c>
      <c r="R8" t="s">
        <v>28</v>
      </c>
    </row>
    <row r="9" spans="1:20">
      <c r="A9">
        <v>8</v>
      </c>
      <c r="B9" t="s">
        <v>38</v>
      </c>
      <c r="C9" t="s">
        <v>21</v>
      </c>
      <c r="D9" t="s">
        <v>22</v>
      </c>
      <c r="E9" t="s">
        <v>23</v>
      </c>
      <c r="F9">
        <v>67143</v>
      </c>
      <c r="G9">
        <v>19</v>
      </c>
      <c r="H9">
        <v>79900</v>
      </c>
      <c r="I9" t="s">
        <v>24</v>
      </c>
      <c r="J9" t="s">
        <v>25</v>
      </c>
      <c r="K9">
        <v>0</v>
      </c>
      <c r="L9">
        <v>0</v>
      </c>
      <c r="M9" t="s">
        <v>25</v>
      </c>
      <c r="N9" t="s">
        <v>25</v>
      </c>
      <c r="O9" t="s">
        <v>26</v>
      </c>
      <c r="P9" t="s">
        <v>25</v>
      </c>
      <c r="Q9" t="s">
        <v>27</v>
      </c>
      <c r="R9" t="s">
        <v>28</v>
      </c>
    </row>
    <row r="10" spans="1:20">
      <c r="A10">
        <v>9</v>
      </c>
      <c r="B10" t="s">
        <v>39</v>
      </c>
      <c r="C10" t="s">
        <v>21</v>
      </c>
      <c r="D10" t="s">
        <v>22</v>
      </c>
      <c r="E10" t="s">
        <v>23</v>
      </c>
      <c r="F10">
        <v>18403</v>
      </c>
      <c r="G10">
        <v>19</v>
      </c>
      <c r="H10">
        <v>21900</v>
      </c>
      <c r="I10" t="s">
        <v>24</v>
      </c>
      <c r="J10" t="s">
        <v>25</v>
      </c>
      <c r="K10">
        <v>0</v>
      </c>
      <c r="L10">
        <v>0</v>
      </c>
      <c r="M10" t="s">
        <v>25</v>
      </c>
      <c r="N10" t="s">
        <v>25</v>
      </c>
      <c r="O10" t="s">
        <v>26</v>
      </c>
      <c r="P10" t="s">
        <v>25</v>
      </c>
      <c r="Q10" t="s">
        <v>27</v>
      </c>
      <c r="R10" t="s">
        <v>28</v>
      </c>
    </row>
    <row r="11" spans="1:20">
      <c r="A11">
        <v>10</v>
      </c>
      <c r="B11" t="s">
        <v>40</v>
      </c>
      <c r="C11" t="s">
        <v>21</v>
      </c>
      <c r="D11" t="s">
        <v>22</v>
      </c>
      <c r="E11" t="s">
        <v>23</v>
      </c>
      <c r="F11">
        <v>336</v>
      </c>
      <c r="G11">
        <v>19</v>
      </c>
      <c r="H11">
        <v>400</v>
      </c>
      <c r="I11" t="s">
        <v>24</v>
      </c>
      <c r="J11" t="s">
        <v>25</v>
      </c>
      <c r="K11">
        <v>0</v>
      </c>
      <c r="L11">
        <v>0</v>
      </c>
      <c r="M11" t="s">
        <v>25</v>
      </c>
      <c r="N11" t="s">
        <v>25</v>
      </c>
      <c r="O11" t="s">
        <v>26</v>
      </c>
      <c r="P11" t="s">
        <v>25</v>
      </c>
      <c r="Q11" t="s">
        <v>27</v>
      </c>
      <c r="R11" t="s">
        <v>28</v>
      </c>
    </row>
    <row r="12" spans="1:20">
      <c r="A12">
        <v>11</v>
      </c>
      <c r="B12" t="s">
        <v>41</v>
      </c>
      <c r="C12" t="s">
        <v>21</v>
      </c>
      <c r="D12" t="s">
        <v>22</v>
      </c>
      <c r="E12" t="s">
        <v>23</v>
      </c>
      <c r="F12">
        <v>252</v>
      </c>
      <c r="G12">
        <v>19</v>
      </c>
      <c r="H12">
        <v>300</v>
      </c>
      <c r="I12" t="s">
        <v>24</v>
      </c>
      <c r="J12" t="s">
        <v>25</v>
      </c>
      <c r="K12">
        <v>0</v>
      </c>
      <c r="L12">
        <v>0</v>
      </c>
      <c r="M12" t="s">
        <v>25</v>
      </c>
      <c r="N12" t="s">
        <v>25</v>
      </c>
      <c r="O12" t="s">
        <v>26</v>
      </c>
      <c r="P12" t="s">
        <v>25</v>
      </c>
      <c r="Q12" t="s">
        <v>27</v>
      </c>
      <c r="R12" t="s">
        <v>28</v>
      </c>
    </row>
    <row r="13" spans="1:20">
      <c r="A13">
        <v>12</v>
      </c>
      <c r="B13" t="s">
        <v>42</v>
      </c>
      <c r="C13" t="s">
        <v>21</v>
      </c>
      <c r="D13" t="s">
        <v>22</v>
      </c>
      <c r="E13" t="s">
        <v>23</v>
      </c>
      <c r="F13">
        <v>798</v>
      </c>
      <c r="G13">
        <v>19</v>
      </c>
      <c r="H13">
        <v>950</v>
      </c>
      <c r="I13" t="s">
        <v>24</v>
      </c>
      <c r="J13" t="s">
        <v>25</v>
      </c>
      <c r="K13">
        <v>0</v>
      </c>
      <c r="L13">
        <v>0</v>
      </c>
      <c r="M13" t="s">
        <v>25</v>
      </c>
      <c r="N13" t="s">
        <v>25</v>
      </c>
      <c r="O13" t="s">
        <v>26</v>
      </c>
      <c r="P13" t="s">
        <v>25</v>
      </c>
      <c r="Q13" t="s">
        <v>27</v>
      </c>
      <c r="R13" t="s">
        <v>28</v>
      </c>
    </row>
    <row r="14" spans="1:20">
      <c r="A14">
        <v>13</v>
      </c>
      <c r="B14" t="s">
        <v>43</v>
      </c>
      <c r="C14" t="s">
        <v>21</v>
      </c>
      <c r="D14" t="s">
        <v>22</v>
      </c>
      <c r="E14" t="s">
        <v>23</v>
      </c>
      <c r="F14">
        <v>798</v>
      </c>
      <c r="G14">
        <v>19</v>
      </c>
      <c r="H14">
        <v>950</v>
      </c>
      <c r="I14" t="s">
        <v>24</v>
      </c>
      <c r="J14" t="s">
        <v>25</v>
      </c>
      <c r="K14">
        <v>0</v>
      </c>
      <c r="L14">
        <v>0</v>
      </c>
      <c r="M14" t="s">
        <v>25</v>
      </c>
      <c r="N14" t="s">
        <v>25</v>
      </c>
      <c r="O14" t="s">
        <v>26</v>
      </c>
      <c r="P14" t="s">
        <v>25</v>
      </c>
      <c r="Q14" t="s">
        <v>27</v>
      </c>
      <c r="R14" t="s">
        <v>28</v>
      </c>
    </row>
    <row r="15" spans="1:20">
      <c r="A15">
        <v>14</v>
      </c>
      <c r="B15" t="s">
        <v>44</v>
      </c>
      <c r="C15" t="s">
        <v>21</v>
      </c>
      <c r="D15" t="s">
        <v>22</v>
      </c>
      <c r="E15" t="s">
        <v>23</v>
      </c>
      <c r="F15">
        <v>7017</v>
      </c>
      <c r="G15">
        <v>19</v>
      </c>
      <c r="H15">
        <v>8350</v>
      </c>
      <c r="I15" t="s">
        <v>24</v>
      </c>
      <c r="J15" t="s">
        <v>25</v>
      </c>
      <c r="K15">
        <v>0</v>
      </c>
      <c r="L15">
        <v>0</v>
      </c>
      <c r="M15" t="s">
        <v>25</v>
      </c>
      <c r="N15" t="s">
        <v>25</v>
      </c>
      <c r="O15" t="s">
        <v>26</v>
      </c>
      <c r="P15" t="s">
        <v>25</v>
      </c>
      <c r="Q15" t="s">
        <v>27</v>
      </c>
      <c r="R15" t="s">
        <v>28</v>
      </c>
    </row>
    <row r="16" spans="1:20">
      <c r="A16">
        <v>15</v>
      </c>
      <c r="B16" t="s">
        <v>45</v>
      </c>
      <c r="C16" t="s">
        <v>21</v>
      </c>
      <c r="D16" t="s">
        <v>22</v>
      </c>
      <c r="E16" t="s">
        <v>23</v>
      </c>
      <c r="F16">
        <v>9160</v>
      </c>
      <c r="G16">
        <v>19</v>
      </c>
      <c r="H16">
        <v>10900</v>
      </c>
      <c r="I16" t="s">
        <v>24</v>
      </c>
      <c r="J16" t="s">
        <v>25</v>
      </c>
      <c r="K16">
        <v>0</v>
      </c>
      <c r="L16">
        <v>0</v>
      </c>
      <c r="M16" t="s">
        <v>25</v>
      </c>
      <c r="N16" t="s">
        <v>25</v>
      </c>
      <c r="O16" t="s">
        <v>26</v>
      </c>
      <c r="P16" t="s">
        <v>25</v>
      </c>
      <c r="Q16" t="s">
        <v>27</v>
      </c>
      <c r="R16" t="s">
        <v>28</v>
      </c>
    </row>
    <row r="17" spans="1:20">
      <c r="A17">
        <v>16</v>
      </c>
      <c r="B17" t="s">
        <v>46</v>
      </c>
      <c r="C17" t="s">
        <v>21</v>
      </c>
      <c r="D17" t="s">
        <v>22</v>
      </c>
      <c r="E17" t="s">
        <v>23</v>
      </c>
      <c r="F17">
        <v>26807</v>
      </c>
      <c r="G17">
        <v>19</v>
      </c>
      <c r="H17">
        <v>31900</v>
      </c>
      <c r="I17" t="s">
        <v>24</v>
      </c>
      <c r="J17" t="s">
        <v>25</v>
      </c>
      <c r="K17">
        <v>0</v>
      </c>
      <c r="L17">
        <v>0</v>
      </c>
      <c r="M17" t="s">
        <v>25</v>
      </c>
      <c r="N17" t="s">
        <v>25</v>
      </c>
      <c r="O17" t="s">
        <v>26</v>
      </c>
      <c r="P17" t="s">
        <v>25</v>
      </c>
      <c r="Q17" t="s">
        <v>27</v>
      </c>
      <c r="R17" t="s">
        <v>28</v>
      </c>
    </row>
    <row r="18" spans="1:20">
      <c r="A18">
        <v>17</v>
      </c>
      <c r="B18" t="s">
        <v>47</v>
      </c>
      <c r="C18" t="s">
        <v>21</v>
      </c>
      <c r="D18" t="s">
        <v>22</v>
      </c>
      <c r="E18" t="s">
        <v>23</v>
      </c>
      <c r="F18">
        <v>2200</v>
      </c>
      <c r="G18">
        <v>19</v>
      </c>
      <c r="H18">
        <v>2618</v>
      </c>
      <c r="I18" t="s">
        <v>24</v>
      </c>
      <c r="J18" t="s">
        <v>25</v>
      </c>
      <c r="K18">
        <v>0</v>
      </c>
      <c r="L18">
        <v>0</v>
      </c>
      <c r="M18" t="s">
        <v>25</v>
      </c>
      <c r="N18" t="s">
        <v>25</v>
      </c>
      <c r="O18" t="s">
        <v>26</v>
      </c>
      <c r="P18" t="s">
        <v>25</v>
      </c>
      <c r="Q18" t="s">
        <v>27</v>
      </c>
      <c r="R18" t="s">
        <v>28</v>
      </c>
      <c r="S18" t="s">
        <v>48</v>
      </c>
      <c r="T18" t="s">
        <v>49</v>
      </c>
    </row>
    <row r="19" spans="1:20">
      <c r="A19">
        <v>18</v>
      </c>
      <c r="B19" t="s">
        <v>50</v>
      </c>
      <c r="C19" t="s">
        <v>21</v>
      </c>
      <c r="D19" t="s">
        <v>22</v>
      </c>
      <c r="E19" t="s">
        <v>23</v>
      </c>
      <c r="F19">
        <v>41933</v>
      </c>
      <c r="G19">
        <v>19</v>
      </c>
      <c r="H19">
        <v>49900</v>
      </c>
      <c r="I19" t="s">
        <v>24</v>
      </c>
      <c r="J19" t="s">
        <v>25</v>
      </c>
      <c r="K19">
        <v>0</v>
      </c>
      <c r="L19">
        <v>0</v>
      </c>
      <c r="M19" t="s">
        <v>25</v>
      </c>
      <c r="N19" t="s">
        <v>25</v>
      </c>
      <c r="O19" t="s">
        <v>26</v>
      </c>
      <c r="P19" t="s">
        <v>25</v>
      </c>
      <c r="Q19" t="s">
        <v>27</v>
      </c>
      <c r="R19" t="s">
        <v>28</v>
      </c>
      <c r="S19" t="s">
        <v>51</v>
      </c>
      <c r="T19" t="s">
        <v>52</v>
      </c>
    </row>
    <row r="20" spans="1:20">
      <c r="A20">
        <v>19</v>
      </c>
      <c r="B20" t="s">
        <v>53</v>
      </c>
      <c r="C20" t="s">
        <v>21</v>
      </c>
      <c r="D20" t="s">
        <v>22</v>
      </c>
      <c r="E20" t="s">
        <v>23</v>
      </c>
      <c r="F20">
        <v>89500</v>
      </c>
      <c r="G20">
        <v>19</v>
      </c>
      <c r="H20">
        <v>106505</v>
      </c>
      <c r="I20" t="s">
        <v>24</v>
      </c>
      <c r="J20" t="s">
        <v>25</v>
      </c>
      <c r="K20">
        <v>0</v>
      </c>
      <c r="L20">
        <v>0</v>
      </c>
      <c r="M20" t="s">
        <v>25</v>
      </c>
      <c r="N20" t="s">
        <v>25</v>
      </c>
      <c r="O20" t="s">
        <v>26</v>
      </c>
      <c r="P20" t="s">
        <v>25</v>
      </c>
      <c r="Q20" t="s">
        <v>27</v>
      </c>
      <c r="R20" t="s">
        <v>28</v>
      </c>
      <c r="S20" t="s">
        <v>51</v>
      </c>
      <c r="T20" t="s">
        <v>54</v>
      </c>
    </row>
    <row r="21" spans="1:20">
      <c r="A21">
        <v>20</v>
      </c>
      <c r="B21" t="s">
        <v>55</v>
      </c>
      <c r="C21" t="s">
        <v>21</v>
      </c>
      <c r="D21" t="s">
        <v>22</v>
      </c>
      <c r="E21" t="s">
        <v>23</v>
      </c>
      <c r="F21">
        <v>428571</v>
      </c>
      <c r="G21">
        <v>19</v>
      </c>
      <c r="H21">
        <v>510000</v>
      </c>
      <c r="I21" t="s">
        <v>24</v>
      </c>
      <c r="J21" t="s">
        <v>25</v>
      </c>
      <c r="K21">
        <v>0</v>
      </c>
      <c r="L21">
        <v>0</v>
      </c>
      <c r="M21" t="s">
        <v>25</v>
      </c>
      <c r="N21" t="s">
        <v>25</v>
      </c>
      <c r="O21" t="s">
        <v>26</v>
      </c>
      <c r="P21" t="s">
        <v>25</v>
      </c>
      <c r="Q21" t="s">
        <v>27</v>
      </c>
      <c r="R21" t="s">
        <v>28</v>
      </c>
    </row>
    <row r="22" spans="1:20">
      <c r="A22">
        <v>21</v>
      </c>
      <c r="B22" t="s">
        <v>56</v>
      </c>
      <c r="C22" t="s">
        <v>21</v>
      </c>
      <c r="D22" t="s">
        <v>22</v>
      </c>
      <c r="E22" t="s">
        <v>23</v>
      </c>
      <c r="F22">
        <v>411681</v>
      </c>
      <c r="G22">
        <v>19</v>
      </c>
      <c r="H22">
        <v>489900</v>
      </c>
      <c r="I22" t="s">
        <v>24</v>
      </c>
      <c r="J22" t="s">
        <v>25</v>
      </c>
      <c r="K22">
        <v>0</v>
      </c>
      <c r="L22">
        <v>0</v>
      </c>
      <c r="M22" t="s">
        <v>25</v>
      </c>
      <c r="N22" t="s">
        <v>25</v>
      </c>
      <c r="O22" t="s">
        <v>26</v>
      </c>
      <c r="P22" t="s">
        <v>25</v>
      </c>
      <c r="Q22" t="s">
        <v>27</v>
      </c>
      <c r="R22" t="s">
        <v>28</v>
      </c>
    </row>
    <row r="23" spans="1:20">
      <c r="A23">
        <v>22</v>
      </c>
      <c r="B23" t="s">
        <v>57</v>
      </c>
      <c r="C23" t="s">
        <v>21</v>
      </c>
      <c r="D23" t="s">
        <v>22</v>
      </c>
      <c r="E23" t="s">
        <v>23</v>
      </c>
      <c r="F23">
        <v>604958</v>
      </c>
      <c r="G23">
        <v>19</v>
      </c>
      <c r="H23">
        <v>719900</v>
      </c>
      <c r="I23" t="s">
        <v>24</v>
      </c>
      <c r="J23" t="s">
        <v>25</v>
      </c>
      <c r="K23">
        <v>0</v>
      </c>
      <c r="L23">
        <v>0</v>
      </c>
      <c r="M23" t="s">
        <v>25</v>
      </c>
      <c r="N23" t="s">
        <v>25</v>
      </c>
      <c r="O23" t="s">
        <v>26</v>
      </c>
      <c r="P23" t="s">
        <v>25</v>
      </c>
      <c r="Q23" t="s">
        <v>27</v>
      </c>
      <c r="R23" t="s">
        <v>28</v>
      </c>
    </row>
    <row r="24" spans="1:20">
      <c r="A24">
        <v>23</v>
      </c>
      <c r="B24" t="s">
        <v>58</v>
      </c>
      <c r="C24" t="s">
        <v>21</v>
      </c>
      <c r="D24" t="s">
        <v>22</v>
      </c>
      <c r="E24" t="s">
        <v>23</v>
      </c>
      <c r="F24">
        <v>552941</v>
      </c>
      <c r="G24">
        <v>19</v>
      </c>
      <c r="H24">
        <v>658000</v>
      </c>
      <c r="I24" t="s">
        <v>24</v>
      </c>
      <c r="J24" t="s">
        <v>25</v>
      </c>
      <c r="K24">
        <v>0</v>
      </c>
      <c r="L24">
        <v>0</v>
      </c>
      <c r="M24" t="s">
        <v>25</v>
      </c>
      <c r="N24" t="s">
        <v>25</v>
      </c>
      <c r="O24" t="s">
        <v>26</v>
      </c>
      <c r="P24" t="s">
        <v>25</v>
      </c>
      <c r="Q24" t="s">
        <v>27</v>
      </c>
      <c r="R24" t="s">
        <v>28</v>
      </c>
    </row>
    <row r="25" spans="1:20">
      <c r="A25">
        <v>24</v>
      </c>
      <c r="B25" t="s">
        <v>59</v>
      </c>
      <c r="C25" t="s">
        <v>21</v>
      </c>
      <c r="D25" t="s">
        <v>22</v>
      </c>
      <c r="E25" t="s">
        <v>23</v>
      </c>
      <c r="F25">
        <v>142773</v>
      </c>
      <c r="G25">
        <v>19</v>
      </c>
      <c r="H25">
        <v>169900</v>
      </c>
      <c r="I25" t="s">
        <v>24</v>
      </c>
      <c r="J25" t="s">
        <v>25</v>
      </c>
      <c r="K25">
        <v>0</v>
      </c>
      <c r="L25">
        <v>0</v>
      </c>
      <c r="M25" t="s">
        <v>25</v>
      </c>
      <c r="N25" t="s">
        <v>25</v>
      </c>
      <c r="O25" t="s">
        <v>26</v>
      </c>
      <c r="P25" t="s">
        <v>25</v>
      </c>
      <c r="Q25" t="s">
        <v>27</v>
      </c>
      <c r="R25" t="s">
        <v>28</v>
      </c>
    </row>
    <row r="26" spans="1:20">
      <c r="A26">
        <v>25</v>
      </c>
      <c r="B26" t="s">
        <v>60</v>
      </c>
      <c r="C26" t="s">
        <v>21</v>
      </c>
      <c r="D26" t="s">
        <v>22</v>
      </c>
      <c r="E26" t="s">
        <v>23</v>
      </c>
      <c r="F26">
        <v>226891</v>
      </c>
      <c r="G26">
        <v>19</v>
      </c>
      <c r="H26">
        <v>270000</v>
      </c>
      <c r="I26" t="s">
        <v>24</v>
      </c>
      <c r="J26" t="s">
        <v>25</v>
      </c>
      <c r="K26">
        <v>0</v>
      </c>
      <c r="L26">
        <v>0</v>
      </c>
      <c r="M26" t="s">
        <v>25</v>
      </c>
      <c r="N26" t="s">
        <v>25</v>
      </c>
      <c r="O26" t="s">
        <v>26</v>
      </c>
      <c r="P26" t="s">
        <v>25</v>
      </c>
      <c r="Q26" t="s">
        <v>27</v>
      </c>
      <c r="R26" t="s">
        <v>28</v>
      </c>
    </row>
    <row r="27" spans="1:20">
      <c r="A27">
        <v>26</v>
      </c>
      <c r="B27" t="s">
        <v>61</v>
      </c>
      <c r="C27" t="s">
        <v>21</v>
      </c>
      <c r="D27" t="s">
        <v>22</v>
      </c>
      <c r="E27" t="s">
        <v>23</v>
      </c>
      <c r="F27">
        <v>31008</v>
      </c>
      <c r="G27">
        <v>19</v>
      </c>
      <c r="H27">
        <v>36900</v>
      </c>
      <c r="I27" t="s">
        <v>24</v>
      </c>
      <c r="J27" t="s">
        <v>25</v>
      </c>
      <c r="K27">
        <v>0</v>
      </c>
      <c r="L27">
        <v>0</v>
      </c>
      <c r="M27" t="s">
        <v>25</v>
      </c>
      <c r="N27" t="s">
        <v>25</v>
      </c>
      <c r="O27" t="s">
        <v>26</v>
      </c>
      <c r="P27" t="s">
        <v>25</v>
      </c>
      <c r="Q27" t="s">
        <v>27</v>
      </c>
      <c r="R27" t="s">
        <v>28</v>
      </c>
    </row>
    <row r="28" spans="1:20">
      <c r="A28">
        <v>27</v>
      </c>
      <c r="B28" t="s">
        <v>62</v>
      </c>
      <c r="C28" t="s">
        <v>21</v>
      </c>
      <c r="D28" t="s">
        <v>22</v>
      </c>
      <c r="E28" t="s">
        <v>23</v>
      </c>
      <c r="F28">
        <v>100756</v>
      </c>
      <c r="G28">
        <v>19</v>
      </c>
      <c r="H28">
        <v>119900</v>
      </c>
      <c r="I28" t="s">
        <v>24</v>
      </c>
      <c r="J28" t="s">
        <v>25</v>
      </c>
      <c r="K28">
        <v>0</v>
      </c>
      <c r="L28">
        <v>0</v>
      </c>
      <c r="M28" t="s">
        <v>25</v>
      </c>
      <c r="N28" t="s">
        <v>25</v>
      </c>
      <c r="O28" t="s">
        <v>26</v>
      </c>
      <c r="P28" t="s">
        <v>25</v>
      </c>
      <c r="Q28" t="s">
        <v>27</v>
      </c>
      <c r="R28" t="s">
        <v>28</v>
      </c>
    </row>
    <row r="29" spans="1:20">
      <c r="A29">
        <v>28</v>
      </c>
      <c r="B29" t="s">
        <v>63</v>
      </c>
      <c r="C29" t="s">
        <v>21</v>
      </c>
      <c r="D29" t="s">
        <v>22</v>
      </c>
      <c r="E29" t="s">
        <v>23</v>
      </c>
      <c r="F29">
        <v>55546</v>
      </c>
      <c r="G29">
        <v>19</v>
      </c>
      <c r="H29">
        <v>66100</v>
      </c>
      <c r="I29" t="s">
        <v>24</v>
      </c>
      <c r="J29" t="s">
        <v>25</v>
      </c>
      <c r="K29">
        <v>0</v>
      </c>
      <c r="L29">
        <v>0</v>
      </c>
      <c r="M29" t="s">
        <v>25</v>
      </c>
      <c r="N29" t="s">
        <v>25</v>
      </c>
      <c r="O29" t="s">
        <v>26</v>
      </c>
      <c r="P29" t="s">
        <v>25</v>
      </c>
      <c r="Q29" t="s">
        <v>27</v>
      </c>
      <c r="R29" t="s">
        <v>28</v>
      </c>
    </row>
    <row r="30" spans="1:20">
      <c r="A30">
        <v>29</v>
      </c>
      <c r="B30" t="s">
        <v>64</v>
      </c>
      <c r="C30" t="s">
        <v>21</v>
      </c>
      <c r="D30" t="s">
        <v>22</v>
      </c>
      <c r="E30" t="s">
        <v>23</v>
      </c>
      <c r="F30">
        <v>92654.52</v>
      </c>
      <c r="G30">
        <v>19</v>
      </c>
      <c r="H30">
        <v>110258.87880000001</v>
      </c>
      <c r="I30" t="s">
        <v>24</v>
      </c>
      <c r="J30" t="s">
        <v>25</v>
      </c>
      <c r="K30">
        <v>0</v>
      </c>
      <c r="L30">
        <v>0</v>
      </c>
      <c r="M30" t="s">
        <v>25</v>
      </c>
      <c r="N30" t="s">
        <v>25</v>
      </c>
      <c r="O30" t="s">
        <v>26</v>
      </c>
      <c r="P30" t="s">
        <v>25</v>
      </c>
      <c r="Q30" t="s">
        <v>27</v>
      </c>
      <c r="R30" t="s">
        <v>28</v>
      </c>
      <c r="S30" t="s">
        <v>51</v>
      </c>
      <c r="T30" t="s">
        <v>65</v>
      </c>
    </row>
    <row r="31" spans="1:20">
      <c r="A31">
        <v>30</v>
      </c>
      <c r="B31" t="s">
        <v>66</v>
      </c>
      <c r="C31" t="s">
        <v>21</v>
      </c>
      <c r="D31" t="s">
        <v>22</v>
      </c>
      <c r="E31" t="s">
        <v>23</v>
      </c>
      <c r="F31">
        <v>72136.149999999994</v>
      </c>
      <c r="G31">
        <v>19</v>
      </c>
      <c r="H31">
        <v>85842.018500000006</v>
      </c>
      <c r="I31" t="s">
        <v>24</v>
      </c>
      <c r="J31" t="s">
        <v>25</v>
      </c>
      <c r="K31">
        <v>0</v>
      </c>
      <c r="L31">
        <v>0</v>
      </c>
      <c r="M31" t="s">
        <v>25</v>
      </c>
      <c r="N31" t="s">
        <v>25</v>
      </c>
      <c r="O31" t="s">
        <v>26</v>
      </c>
      <c r="P31" t="s">
        <v>25</v>
      </c>
      <c r="Q31" t="s">
        <v>27</v>
      </c>
      <c r="R31" t="s">
        <v>28</v>
      </c>
      <c r="S31" t="s">
        <v>51</v>
      </c>
      <c r="T31" t="s">
        <v>65</v>
      </c>
    </row>
    <row r="32" spans="1:20">
      <c r="A32">
        <v>31</v>
      </c>
      <c r="B32" t="s">
        <v>67</v>
      </c>
      <c r="C32" t="s">
        <v>21</v>
      </c>
      <c r="D32" t="s">
        <v>22</v>
      </c>
      <c r="E32" t="s">
        <v>23</v>
      </c>
      <c r="F32">
        <v>45126</v>
      </c>
      <c r="G32">
        <v>19</v>
      </c>
      <c r="H32">
        <v>53700</v>
      </c>
      <c r="I32" t="s">
        <v>24</v>
      </c>
      <c r="J32" t="s">
        <v>25</v>
      </c>
      <c r="K32">
        <v>0</v>
      </c>
      <c r="L32">
        <v>0</v>
      </c>
      <c r="M32" t="s">
        <v>25</v>
      </c>
      <c r="N32" t="s">
        <v>25</v>
      </c>
      <c r="O32" t="s">
        <v>26</v>
      </c>
      <c r="P32" t="s">
        <v>25</v>
      </c>
      <c r="Q32" t="s">
        <v>27</v>
      </c>
      <c r="R32" t="s">
        <v>28</v>
      </c>
    </row>
    <row r="33" spans="1:20">
      <c r="A33">
        <v>32</v>
      </c>
      <c r="B33" t="s">
        <v>68</v>
      </c>
      <c r="C33" t="s">
        <v>36</v>
      </c>
      <c r="D33" t="s">
        <v>22</v>
      </c>
      <c r="E33" t="s">
        <v>37</v>
      </c>
      <c r="F33">
        <v>180000</v>
      </c>
      <c r="G33">
        <v>19</v>
      </c>
      <c r="H33">
        <v>214200</v>
      </c>
      <c r="I33" t="s">
        <v>24</v>
      </c>
      <c r="J33" t="s">
        <v>25</v>
      </c>
      <c r="K33">
        <v>0</v>
      </c>
      <c r="L33">
        <v>0</v>
      </c>
      <c r="M33" t="s">
        <v>25</v>
      </c>
      <c r="N33" t="s">
        <v>25</v>
      </c>
      <c r="O33" t="s">
        <v>26</v>
      </c>
      <c r="P33" t="s">
        <v>25</v>
      </c>
      <c r="Q33" t="s">
        <v>27</v>
      </c>
      <c r="R33" t="s">
        <v>28</v>
      </c>
      <c r="S33" t="s">
        <v>51</v>
      </c>
      <c r="T33" t="s">
        <v>65</v>
      </c>
    </row>
    <row r="34" spans="1:20">
      <c r="A34">
        <v>33</v>
      </c>
      <c r="B34" t="s">
        <v>69</v>
      </c>
      <c r="C34" t="s">
        <v>36</v>
      </c>
      <c r="D34" t="s">
        <v>22</v>
      </c>
      <c r="E34" t="s">
        <v>37</v>
      </c>
      <c r="F34">
        <v>150000</v>
      </c>
      <c r="G34">
        <v>19</v>
      </c>
      <c r="H34">
        <v>178500</v>
      </c>
      <c r="I34" t="s">
        <v>24</v>
      </c>
      <c r="J34" t="s">
        <v>25</v>
      </c>
      <c r="K34">
        <v>0</v>
      </c>
      <c r="L34">
        <v>0</v>
      </c>
      <c r="M34" t="s">
        <v>25</v>
      </c>
      <c r="N34" t="s">
        <v>25</v>
      </c>
      <c r="O34" t="s">
        <v>26</v>
      </c>
      <c r="P34" t="s">
        <v>25</v>
      </c>
      <c r="Q34" t="s">
        <v>27</v>
      </c>
      <c r="R34" t="s">
        <v>28</v>
      </c>
    </row>
    <row r="35" spans="1:20">
      <c r="A35">
        <v>34</v>
      </c>
      <c r="B35" t="s">
        <v>70</v>
      </c>
      <c r="C35" t="s">
        <v>36</v>
      </c>
      <c r="D35" t="s">
        <v>22</v>
      </c>
      <c r="E35" t="s">
        <v>37</v>
      </c>
      <c r="F35">
        <v>100000</v>
      </c>
      <c r="G35">
        <v>19</v>
      </c>
      <c r="H35">
        <v>119000</v>
      </c>
      <c r="I35" t="s">
        <v>24</v>
      </c>
      <c r="J35" t="s">
        <v>25</v>
      </c>
      <c r="K35">
        <v>0</v>
      </c>
      <c r="L35">
        <v>0</v>
      </c>
      <c r="M35" t="s">
        <v>25</v>
      </c>
      <c r="N35" t="s">
        <v>25</v>
      </c>
      <c r="O35" t="s">
        <v>26</v>
      </c>
      <c r="P35" t="s">
        <v>25</v>
      </c>
      <c r="Q35" t="s">
        <v>27</v>
      </c>
      <c r="R35" t="s">
        <v>28</v>
      </c>
    </row>
    <row r="36" spans="1:20">
      <c r="A36">
        <v>35</v>
      </c>
      <c r="B36" t="s">
        <v>71</v>
      </c>
      <c r="C36" t="s">
        <v>36</v>
      </c>
      <c r="D36" t="s">
        <v>22</v>
      </c>
      <c r="E36" t="s">
        <v>37</v>
      </c>
      <c r="F36">
        <v>60000</v>
      </c>
      <c r="G36">
        <v>19</v>
      </c>
      <c r="H36">
        <v>71400</v>
      </c>
      <c r="I36" t="s">
        <v>24</v>
      </c>
      <c r="J36" t="s">
        <v>25</v>
      </c>
      <c r="K36">
        <v>0</v>
      </c>
      <c r="L36">
        <v>0</v>
      </c>
      <c r="M36" t="s">
        <v>25</v>
      </c>
      <c r="N36" t="s">
        <v>25</v>
      </c>
      <c r="O36" t="s">
        <v>26</v>
      </c>
      <c r="P36" t="s">
        <v>25</v>
      </c>
      <c r="Q36" t="s">
        <v>27</v>
      </c>
      <c r="R36" t="s">
        <v>28</v>
      </c>
      <c r="S36" t="s">
        <v>51</v>
      </c>
      <c r="T36" t="s">
        <v>65</v>
      </c>
    </row>
    <row r="37" spans="1:20">
      <c r="A37">
        <v>36</v>
      </c>
      <c r="B37" t="s">
        <v>72</v>
      </c>
      <c r="C37" t="s">
        <v>36</v>
      </c>
      <c r="D37" t="s">
        <v>22</v>
      </c>
      <c r="E37" t="s">
        <v>37</v>
      </c>
      <c r="F37">
        <v>100000</v>
      </c>
      <c r="G37">
        <v>19</v>
      </c>
      <c r="H37">
        <v>119000</v>
      </c>
      <c r="I37" t="s">
        <v>24</v>
      </c>
      <c r="J37" t="s">
        <v>25</v>
      </c>
      <c r="K37">
        <v>0</v>
      </c>
      <c r="L37">
        <v>0</v>
      </c>
      <c r="M37" t="s">
        <v>25</v>
      </c>
      <c r="N37" t="s">
        <v>25</v>
      </c>
      <c r="O37" t="s">
        <v>26</v>
      </c>
      <c r="P37" t="s">
        <v>25</v>
      </c>
      <c r="Q37" t="s">
        <v>27</v>
      </c>
      <c r="R37" t="s">
        <v>28</v>
      </c>
    </row>
    <row r="38" spans="1:20">
      <c r="A38">
        <v>37</v>
      </c>
      <c r="B38" t="s">
        <v>73</v>
      </c>
      <c r="C38" t="s">
        <v>21</v>
      </c>
      <c r="D38" t="s">
        <v>22</v>
      </c>
      <c r="E38" t="s">
        <v>23</v>
      </c>
      <c r="F38">
        <v>60000</v>
      </c>
      <c r="G38">
        <v>19</v>
      </c>
      <c r="H38">
        <v>71400</v>
      </c>
      <c r="I38" t="s">
        <v>24</v>
      </c>
      <c r="J38" t="s">
        <v>25</v>
      </c>
      <c r="K38">
        <v>0</v>
      </c>
      <c r="L38">
        <v>0</v>
      </c>
      <c r="M38" t="s">
        <v>25</v>
      </c>
      <c r="N38" t="s">
        <v>25</v>
      </c>
      <c r="O38" t="s">
        <v>26</v>
      </c>
      <c r="P38" t="s">
        <v>25</v>
      </c>
      <c r="Q38" t="s">
        <v>27</v>
      </c>
      <c r="R38" t="s">
        <v>28</v>
      </c>
    </row>
    <row r="39" spans="1:20">
      <c r="A39">
        <v>38</v>
      </c>
      <c r="B39" t="s">
        <v>74</v>
      </c>
      <c r="C39" t="s">
        <v>21</v>
      </c>
      <c r="D39" t="s">
        <v>22</v>
      </c>
      <c r="E39" t="s">
        <v>23</v>
      </c>
      <c r="F39">
        <v>65000</v>
      </c>
      <c r="G39">
        <v>19</v>
      </c>
      <c r="H39">
        <v>77350</v>
      </c>
      <c r="I39" t="s">
        <v>24</v>
      </c>
      <c r="J39" t="s">
        <v>25</v>
      </c>
      <c r="K39">
        <v>0</v>
      </c>
      <c r="L39">
        <v>0</v>
      </c>
      <c r="M39" t="s">
        <v>25</v>
      </c>
      <c r="N39" t="s">
        <v>25</v>
      </c>
      <c r="O39" t="s">
        <v>26</v>
      </c>
      <c r="P39" t="s">
        <v>25</v>
      </c>
      <c r="Q39" t="s">
        <v>27</v>
      </c>
      <c r="R39" t="s">
        <v>28</v>
      </c>
    </row>
    <row r="40" spans="1:20">
      <c r="A40">
        <v>39</v>
      </c>
      <c r="B40" t="s">
        <v>75</v>
      </c>
      <c r="C40" t="s">
        <v>21</v>
      </c>
      <c r="D40" t="s">
        <v>22</v>
      </c>
      <c r="E40" t="s">
        <v>23</v>
      </c>
      <c r="F40">
        <v>5800</v>
      </c>
      <c r="G40">
        <v>19</v>
      </c>
      <c r="H40">
        <v>6902</v>
      </c>
      <c r="I40" t="s">
        <v>24</v>
      </c>
      <c r="J40" t="s">
        <v>25</v>
      </c>
      <c r="K40">
        <v>0</v>
      </c>
      <c r="L40">
        <v>0</v>
      </c>
      <c r="M40" t="s">
        <v>25</v>
      </c>
      <c r="N40" t="s">
        <v>25</v>
      </c>
      <c r="O40" t="s">
        <v>26</v>
      </c>
      <c r="P40" t="s">
        <v>25</v>
      </c>
      <c r="Q40" t="s">
        <v>27</v>
      </c>
      <c r="R40" t="s">
        <v>28</v>
      </c>
    </row>
    <row r="41" spans="1:20">
      <c r="A41">
        <v>40</v>
      </c>
      <c r="B41" t="s">
        <v>76</v>
      </c>
      <c r="C41" t="s">
        <v>21</v>
      </c>
      <c r="D41" t="s">
        <v>22</v>
      </c>
      <c r="E41" t="s">
        <v>23</v>
      </c>
      <c r="F41">
        <v>62000</v>
      </c>
      <c r="G41">
        <v>19</v>
      </c>
      <c r="H41">
        <v>73780</v>
      </c>
      <c r="I41" t="s">
        <v>24</v>
      </c>
      <c r="J41" t="s">
        <v>25</v>
      </c>
      <c r="K41">
        <v>0</v>
      </c>
      <c r="L41">
        <v>0</v>
      </c>
      <c r="M41" t="s">
        <v>25</v>
      </c>
      <c r="N41" t="s">
        <v>25</v>
      </c>
      <c r="O41" t="s">
        <v>26</v>
      </c>
      <c r="P41" t="s">
        <v>25</v>
      </c>
      <c r="Q41" t="s">
        <v>27</v>
      </c>
      <c r="R41" t="s">
        <v>28</v>
      </c>
    </row>
    <row r="42" spans="1:20">
      <c r="A42">
        <v>41</v>
      </c>
      <c r="B42" t="s">
        <v>77</v>
      </c>
      <c r="C42" t="s">
        <v>21</v>
      </c>
      <c r="D42" t="s">
        <v>22</v>
      </c>
      <c r="E42" t="s">
        <v>23</v>
      </c>
      <c r="F42">
        <v>135000</v>
      </c>
      <c r="G42">
        <v>19</v>
      </c>
      <c r="H42">
        <v>160650</v>
      </c>
      <c r="I42" t="s">
        <v>24</v>
      </c>
      <c r="J42" t="s">
        <v>25</v>
      </c>
      <c r="K42">
        <v>0</v>
      </c>
      <c r="L42">
        <v>0</v>
      </c>
      <c r="M42" t="s">
        <v>25</v>
      </c>
      <c r="N42" t="s">
        <v>25</v>
      </c>
      <c r="O42" t="s">
        <v>26</v>
      </c>
      <c r="P42" t="s">
        <v>25</v>
      </c>
      <c r="Q42" t="s">
        <v>27</v>
      </c>
      <c r="R42" t="s">
        <v>28</v>
      </c>
    </row>
    <row r="43" spans="1:20">
      <c r="A43">
        <v>42</v>
      </c>
      <c r="B43" t="s">
        <v>78</v>
      </c>
      <c r="C43" t="s">
        <v>36</v>
      </c>
      <c r="D43" t="s">
        <v>22</v>
      </c>
      <c r="E43" t="s">
        <v>37</v>
      </c>
      <c r="F43">
        <v>0</v>
      </c>
      <c r="G43">
        <v>19</v>
      </c>
      <c r="H43">
        <v>0</v>
      </c>
      <c r="I43" t="s">
        <v>24</v>
      </c>
      <c r="J43" t="s">
        <v>25</v>
      </c>
      <c r="K43">
        <v>0</v>
      </c>
      <c r="L43">
        <v>0</v>
      </c>
      <c r="M43" t="s">
        <v>25</v>
      </c>
      <c r="N43" t="s">
        <v>25</v>
      </c>
      <c r="O43" t="s">
        <v>26</v>
      </c>
      <c r="P43" t="s">
        <v>25</v>
      </c>
      <c r="Q43" t="s">
        <v>27</v>
      </c>
      <c r="R43" t="s">
        <v>28</v>
      </c>
    </row>
    <row r="44" spans="1:20">
      <c r="A44">
        <v>43</v>
      </c>
      <c r="B44" t="s">
        <v>79</v>
      </c>
      <c r="C44" t="s">
        <v>21</v>
      </c>
      <c r="D44" t="s">
        <v>22</v>
      </c>
      <c r="E44" t="s">
        <v>23</v>
      </c>
      <c r="F44">
        <v>32000</v>
      </c>
      <c r="G44">
        <v>19</v>
      </c>
      <c r="H44">
        <v>38080</v>
      </c>
      <c r="I44" t="s">
        <v>24</v>
      </c>
      <c r="J44" t="s">
        <v>25</v>
      </c>
      <c r="K44">
        <v>0</v>
      </c>
      <c r="L44">
        <v>0</v>
      </c>
      <c r="M44" t="s">
        <v>25</v>
      </c>
      <c r="N44" t="s">
        <v>25</v>
      </c>
      <c r="O44" t="s">
        <v>26</v>
      </c>
      <c r="P44" t="s">
        <v>25</v>
      </c>
      <c r="Q44" t="s">
        <v>27</v>
      </c>
      <c r="R44" t="s">
        <v>28</v>
      </c>
    </row>
    <row r="45" spans="1:20">
      <c r="A45">
        <v>44</v>
      </c>
      <c r="B45" t="s">
        <v>80</v>
      </c>
      <c r="C45" t="s">
        <v>21</v>
      </c>
      <c r="D45" t="s">
        <v>22</v>
      </c>
      <c r="E45" t="s">
        <v>23</v>
      </c>
      <c r="F45">
        <v>2500</v>
      </c>
      <c r="G45">
        <v>19</v>
      </c>
      <c r="H45">
        <v>2975</v>
      </c>
      <c r="I45" t="s">
        <v>24</v>
      </c>
      <c r="J45" t="s">
        <v>25</v>
      </c>
      <c r="K45">
        <v>0</v>
      </c>
      <c r="L45">
        <v>0</v>
      </c>
      <c r="M45" t="s">
        <v>25</v>
      </c>
      <c r="N45" t="s">
        <v>25</v>
      </c>
      <c r="O45" t="s">
        <v>26</v>
      </c>
      <c r="P45" t="s">
        <v>25</v>
      </c>
      <c r="Q45" t="s">
        <v>27</v>
      </c>
      <c r="R45" t="s">
        <v>28</v>
      </c>
    </row>
    <row r="46" spans="1:20">
      <c r="A46">
        <v>45</v>
      </c>
      <c r="B46" t="s">
        <v>81</v>
      </c>
      <c r="C46" t="s">
        <v>36</v>
      </c>
      <c r="D46" t="s">
        <v>22</v>
      </c>
      <c r="E46" t="s">
        <v>37</v>
      </c>
      <c r="F46">
        <v>0</v>
      </c>
      <c r="G46">
        <v>19</v>
      </c>
      <c r="H46">
        <v>0</v>
      </c>
      <c r="I46" t="s">
        <v>24</v>
      </c>
      <c r="J46" t="s">
        <v>25</v>
      </c>
      <c r="K46">
        <v>0</v>
      </c>
      <c r="L46">
        <v>0</v>
      </c>
      <c r="M46" t="s">
        <v>25</v>
      </c>
      <c r="N46" t="s">
        <v>25</v>
      </c>
      <c r="O46" t="s">
        <v>26</v>
      </c>
      <c r="P46" t="s">
        <v>25</v>
      </c>
      <c r="Q46" t="s">
        <v>27</v>
      </c>
      <c r="R46" t="s">
        <v>28</v>
      </c>
    </row>
    <row r="47" spans="1:20">
      <c r="A47">
        <v>46</v>
      </c>
      <c r="B47" t="s">
        <v>82</v>
      </c>
      <c r="C47" t="s">
        <v>36</v>
      </c>
      <c r="D47" t="s">
        <v>22</v>
      </c>
      <c r="E47" t="s">
        <v>37</v>
      </c>
      <c r="F47">
        <v>350000</v>
      </c>
      <c r="G47">
        <v>19</v>
      </c>
      <c r="H47">
        <v>416500</v>
      </c>
      <c r="I47" t="s">
        <v>24</v>
      </c>
      <c r="J47" t="s">
        <v>25</v>
      </c>
      <c r="K47">
        <v>0</v>
      </c>
      <c r="L47">
        <v>0</v>
      </c>
      <c r="M47" t="s">
        <v>25</v>
      </c>
      <c r="N47" t="s">
        <v>25</v>
      </c>
      <c r="O47" t="s">
        <v>26</v>
      </c>
      <c r="P47" t="s">
        <v>25</v>
      </c>
      <c r="Q47" t="s">
        <v>27</v>
      </c>
      <c r="R47" t="s">
        <v>28</v>
      </c>
    </row>
    <row r="48" spans="1:20">
      <c r="A48">
        <v>47</v>
      </c>
      <c r="B48" t="s">
        <v>83</v>
      </c>
      <c r="C48" t="s">
        <v>36</v>
      </c>
      <c r="D48" t="s">
        <v>22</v>
      </c>
      <c r="E48" t="s">
        <v>37</v>
      </c>
      <c r="F48">
        <v>1100000</v>
      </c>
      <c r="G48">
        <v>19</v>
      </c>
      <c r="H48">
        <v>1309000</v>
      </c>
      <c r="I48" t="s">
        <v>24</v>
      </c>
      <c r="J48" t="s">
        <v>25</v>
      </c>
      <c r="K48">
        <v>0</v>
      </c>
      <c r="L48">
        <v>0</v>
      </c>
      <c r="M48" t="s">
        <v>25</v>
      </c>
      <c r="N48" t="s">
        <v>25</v>
      </c>
      <c r="O48" t="s">
        <v>26</v>
      </c>
      <c r="P48" t="s">
        <v>25</v>
      </c>
      <c r="Q48" t="s">
        <v>27</v>
      </c>
      <c r="R48" t="s">
        <v>28</v>
      </c>
    </row>
    <row r="49" spans="1:20">
      <c r="A49">
        <v>48</v>
      </c>
      <c r="B49" t="s">
        <v>84</v>
      </c>
      <c r="C49" t="s">
        <v>36</v>
      </c>
      <c r="D49" t="s">
        <v>22</v>
      </c>
      <c r="E49" t="s">
        <v>37</v>
      </c>
      <c r="F49">
        <v>267000</v>
      </c>
      <c r="G49">
        <v>19</v>
      </c>
      <c r="H49">
        <v>317730</v>
      </c>
      <c r="I49" t="s">
        <v>24</v>
      </c>
      <c r="J49" t="s">
        <v>25</v>
      </c>
      <c r="K49">
        <v>0</v>
      </c>
      <c r="L49">
        <v>0</v>
      </c>
      <c r="M49" t="s">
        <v>25</v>
      </c>
      <c r="N49" t="s">
        <v>25</v>
      </c>
      <c r="O49" t="s">
        <v>26</v>
      </c>
      <c r="P49" t="s">
        <v>25</v>
      </c>
      <c r="Q49" t="s">
        <v>27</v>
      </c>
      <c r="R49" t="s">
        <v>28</v>
      </c>
    </row>
    <row r="50" spans="1:20">
      <c r="A50">
        <v>49</v>
      </c>
      <c r="B50" t="s">
        <v>85</v>
      </c>
      <c r="C50" t="s">
        <v>36</v>
      </c>
      <c r="D50" t="s">
        <v>22</v>
      </c>
      <c r="E50" t="s">
        <v>37</v>
      </c>
      <c r="F50">
        <v>415000</v>
      </c>
      <c r="G50">
        <v>19</v>
      </c>
      <c r="H50">
        <v>493850</v>
      </c>
      <c r="I50" t="s">
        <v>24</v>
      </c>
      <c r="J50" t="s">
        <v>25</v>
      </c>
      <c r="K50">
        <v>0</v>
      </c>
      <c r="L50">
        <v>0</v>
      </c>
      <c r="M50" t="s">
        <v>25</v>
      </c>
      <c r="N50" t="s">
        <v>25</v>
      </c>
      <c r="O50" t="s">
        <v>26</v>
      </c>
      <c r="P50" t="s">
        <v>25</v>
      </c>
      <c r="Q50" t="s">
        <v>27</v>
      </c>
      <c r="R50" t="s">
        <v>28</v>
      </c>
    </row>
    <row r="51" spans="1:20">
      <c r="A51">
        <v>50</v>
      </c>
      <c r="B51" t="s">
        <v>86</v>
      </c>
      <c r="C51" t="s">
        <v>36</v>
      </c>
      <c r="D51" t="s">
        <v>22</v>
      </c>
      <c r="E51" t="s">
        <v>37</v>
      </c>
      <c r="F51">
        <v>832857</v>
      </c>
      <c r="G51">
        <v>19</v>
      </c>
      <c r="H51">
        <v>991100</v>
      </c>
      <c r="I51" t="s">
        <v>24</v>
      </c>
      <c r="J51" t="s">
        <v>25</v>
      </c>
      <c r="K51">
        <v>0</v>
      </c>
      <c r="L51">
        <v>0</v>
      </c>
      <c r="M51" t="s">
        <v>25</v>
      </c>
      <c r="N51" t="s">
        <v>25</v>
      </c>
      <c r="O51" t="s">
        <v>26</v>
      </c>
      <c r="P51" t="s">
        <v>25</v>
      </c>
      <c r="Q51" t="s">
        <v>27</v>
      </c>
      <c r="R51" t="s">
        <v>28</v>
      </c>
    </row>
    <row r="52" spans="1:20">
      <c r="A52">
        <v>51</v>
      </c>
      <c r="B52" t="s">
        <v>87</v>
      </c>
      <c r="C52" t="s">
        <v>21</v>
      </c>
      <c r="D52" t="s">
        <v>22</v>
      </c>
      <c r="E52" t="s">
        <v>23</v>
      </c>
      <c r="F52">
        <v>40252</v>
      </c>
      <c r="G52">
        <v>19</v>
      </c>
      <c r="H52">
        <v>47900</v>
      </c>
      <c r="I52" t="s">
        <v>24</v>
      </c>
      <c r="J52" t="s">
        <v>25</v>
      </c>
      <c r="K52">
        <v>0</v>
      </c>
      <c r="L52">
        <v>0</v>
      </c>
      <c r="M52" t="s">
        <v>25</v>
      </c>
      <c r="N52" t="s">
        <v>25</v>
      </c>
      <c r="O52" t="s">
        <v>26</v>
      </c>
      <c r="P52" t="s">
        <v>25</v>
      </c>
      <c r="Q52" t="s">
        <v>27</v>
      </c>
      <c r="R52" t="s">
        <v>28</v>
      </c>
    </row>
    <row r="53" spans="1:20">
      <c r="A53">
        <v>52</v>
      </c>
      <c r="B53" t="s">
        <v>88</v>
      </c>
      <c r="C53" t="s">
        <v>21</v>
      </c>
      <c r="D53" t="s">
        <v>22</v>
      </c>
      <c r="E53" t="s">
        <v>23</v>
      </c>
      <c r="F53">
        <v>26500</v>
      </c>
      <c r="G53">
        <v>19</v>
      </c>
      <c r="H53">
        <v>31535</v>
      </c>
      <c r="I53" t="s">
        <v>24</v>
      </c>
      <c r="J53" t="s">
        <v>25</v>
      </c>
      <c r="K53">
        <v>0</v>
      </c>
      <c r="L53">
        <v>0</v>
      </c>
      <c r="M53" t="s">
        <v>25</v>
      </c>
      <c r="N53" t="s">
        <v>25</v>
      </c>
      <c r="O53" t="s">
        <v>26</v>
      </c>
      <c r="P53" t="s">
        <v>25</v>
      </c>
      <c r="Q53" t="s">
        <v>27</v>
      </c>
      <c r="R53" t="s">
        <v>28</v>
      </c>
      <c r="S53" t="s">
        <v>51</v>
      </c>
      <c r="T53" t="s">
        <v>54</v>
      </c>
    </row>
    <row r="54" spans="1:20">
      <c r="A54">
        <v>53</v>
      </c>
      <c r="B54" t="s">
        <v>89</v>
      </c>
      <c r="C54" t="s">
        <v>21</v>
      </c>
      <c r="D54" t="s">
        <v>22</v>
      </c>
      <c r="E54" t="s">
        <v>23</v>
      </c>
      <c r="F54">
        <v>15042</v>
      </c>
      <c r="G54">
        <v>19</v>
      </c>
      <c r="H54">
        <v>17900</v>
      </c>
      <c r="I54" t="s">
        <v>24</v>
      </c>
      <c r="J54" t="s">
        <v>25</v>
      </c>
      <c r="K54">
        <v>0</v>
      </c>
      <c r="L54">
        <v>0</v>
      </c>
      <c r="M54" t="s">
        <v>25</v>
      </c>
      <c r="N54" t="s">
        <v>25</v>
      </c>
      <c r="O54" t="s">
        <v>26</v>
      </c>
      <c r="P54" t="s">
        <v>25</v>
      </c>
      <c r="Q54" t="s">
        <v>27</v>
      </c>
      <c r="R54" t="s">
        <v>28</v>
      </c>
    </row>
    <row r="55" spans="1:20">
      <c r="A55">
        <v>54</v>
      </c>
      <c r="B55" t="s">
        <v>90</v>
      </c>
      <c r="C55" t="s">
        <v>21</v>
      </c>
      <c r="D55" t="s">
        <v>22</v>
      </c>
      <c r="E55" t="s">
        <v>23</v>
      </c>
      <c r="F55">
        <v>21250</v>
      </c>
      <c r="G55">
        <v>19</v>
      </c>
      <c r="H55">
        <v>25287.5</v>
      </c>
      <c r="I55" t="s">
        <v>24</v>
      </c>
      <c r="J55" t="s">
        <v>25</v>
      </c>
      <c r="K55">
        <v>0</v>
      </c>
      <c r="L55">
        <v>0</v>
      </c>
      <c r="M55" t="s">
        <v>25</v>
      </c>
      <c r="N55" t="s">
        <v>25</v>
      </c>
      <c r="O55" t="s">
        <v>26</v>
      </c>
      <c r="P55" t="s">
        <v>25</v>
      </c>
      <c r="Q55" t="s">
        <v>27</v>
      </c>
      <c r="R55" t="s">
        <v>28</v>
      </c>
      <c r="S55" t="s">
        <v>51</v>
      </c>
      <c r="T55" t="s">
        <v>91</v>
      </c>
    </row>
    <row r="56" spans="1:20">
      <c r="A56">
        <v>55</v>
      </c>
      <c r="B56" t="s">
        <v>92</v>
      </c>
      <c r="C56" t="s">
        <v>21</v>
      </c>
      <c r="D56" t="s">
        <v>22</v>
      </c>
      <c r="E56" t="s">
        <v>23</v>
      </c>
      <c r="F56">
        <v>35294</v>
      </c>
      <c r="G56">
        <v>19</v>
      </c>
      <c r="H56">
        <v>42000</v>
      </c>
      <c r="I56" t="s">
        <v>24</v>
      </c>
      <c r="J56" t="s">
        <v>25</v>
      </c>
      <c r="K56">
        <v>0</v>
      </c>
      <c r="L56">
        <v>0</v>
      </c>
      <c r="M56" t="s">
        <v>25</v>
      </c>
      <c r="N56" t="s">
        <v>25</v>
      </c>
      <c r="O56" t="s">
        <v>26</v>
      </c>
      <c r="P56" t="s">
        <v>25</v>
      </c>
      <c r="Q56" t="s">
        <v>27</v>
      </c>
      <c r="R56" t="s">
        <v>28</v>
      </c>
    </row>
    <row r="57" spans="1:20">
      <c r="A57">
        <v>56</v>
      </c>
      <c r="B57" t="s">
        <v>93</v>
      </c>
      <c r="C57" t="s">
        <v>21</v>
      </c>
      <c r="D57" t="s">
        <v>22</v>
      </c>
      <c r="E57" t="s">
        <v>23</v>
      </c>
      <c r="F57">
        <v>94874</v>
      </c>
      <c r="G57">
        <v>19</v>
      </c>
      <c r="H57">
        <v>112900</v>
      </c>
      <c r="I57" t="s">
        <v>24</v>
      </c>
      <c r="J57" t="s">
        <v>25</v>
      </c>
      <c r="K57">
        <v>0</v>
      </c>
      <c r="L57">
        <v>0</v>
      </c>
      <c r="M57" t="s">
        <v>25</v>
      </c>
      <c r="N57" t="s">
        <v>25</v>
      </c>
      <c r="O57" t="s">
        <v>26</v>
      </c>
      <c r="P57" t="s">
        <v>25</v>
      </c>
      <c r="Q57" t="s">
        <v>27</v>
      </c>
      <c r="R57" t="s">
        <v>28</v>
      </c>
    </row>
    <row r="58" spans="1:20">
      <c r="A58">
        <v>57</v>
      </c>
      <c r="B58" t="s">
        <v>94</v>
      </c>
      <c r="C58" t="s">
        <v>21</v>
      </c>
      <c r="D58" t="s">
        <v>22</v>
      </c>
      <c r="E58" t="s">
        <v>23</v>
      </c>
      <c r="F58">
        <v>27647</v>
      </c>
      <c r="G58">
        <v>19</v>
      </c>
      <c r="H58">
        <v>32900</v>
      </c>
      <c r="I58" t="s">
        <v>24</v>
      </c>
      <c r="J58" t="s">
        <v>25</v>
      </c>
      <c r="K58">
        <v>0</v>
      </c>
      <c r="L58">
        <v>0</v>
      </c>
      <c r="M58" t="s">
        <v>25</v>
      </c>
      <c r="N58" t="s">
        <v>25</v>
      </c>
      <c r="O58" t="s">
        <v>26</v>
      </c>
      <c r="P58" t="s">
        <v>25</v>
      </c>
      <c r="Q58" t="s">
        <v>27</v>
      </c>
      <c r="R58" t="s">
        <v>28</v>
      </c>
    </row>
    <row r="59" spans="1:20">
      <c r="A59">
        <v>58</v>
      </c>
      <c r="B59" t="s">
        <v>95</v>
      </c>
      <c r="C59" t="s">
        <v>21</v>
      </c>
      <c r="D59" t="s">
        <v>22</v>
      </c>
      <c r="E59" t="s">
        <v>23</v>
      </c>
      <c r="F59">
        <v>144958</v>
      </c>
      <c r="G59">
        <v>19</v>
      </c>
      <c r="H59">
        <v>172500</v>
      </c>
      <c r="I59" t="s">
        <v>24</v>
      </c>
      <c r="J59" t="s">
        <v>25</v>
      </c>
      <c r="K59">
        <v>0</v>
      </c>
      <c r="L59">
        <v>0</v>
      </c>
      <c r="M59" t="s">
        <v>25</v>
      </c>
      <c r="N59" t="s">
        <v>25</v>
      </c>
      <c r="O59" t="s">
        <v>26</v>
      </c>
      <c r="P59" t="s">
        <v>25</v>
      </c>
      <c r="Q59" t="s">
        <v>27</v>
      </c>
      <c r="R59" t="s">
        <v>28</v>
      </c>
    </row>
    <row r="60" spans="1:20">
      <c r="A60">
        <v>59</v>
      </c>
      <c r="B60" t="s">
        <v>96</v>
      </c>
      <c r="C60" t="s">
        <v>21</v>
      </c>
      <c r="D60" t="s">
        <v>22</v>
      </c>
      <c r="E60" t="s">
        <v>23</v>
      </c>
      <c r="F60">
        <v>101597</v>
      </c>
      <c r="G60">
        <v>19</v>
      </c>
      <c r="H60">
        <v>120900</v>
      </c>
      <c r="I60" t="s">
        <v>24</v>
      </c>
      <c r="J60" t="s">
        <v>25</v>
      </c>
      <c r="K60">
        <v>0</v>
      </c>
      <c r="L60">
        <v>0</v>
      </c>
      <c r="M60" t="s">
        <v>25</v>
      </c>
      <c r="N60" t="s">
        <v>25</v>
      </c>
      <c r="O60" t="s">
        <v>26</v>
      </c>
      <c r="P60" t="s">
        <v>25</v>
      </c>
      <c r="Q60" t="s">
        <v>27</v>
      </c>
      <c r="R60" t="s">
        <v>28</v>
      </c>
    </row>
    <row r="61" spans="1:20">
      <c r="A61">
        <v>60</v>
      </c>
      <c r="B61" t="s">
        <v>97</v>
      </c>
      <c r="C61" t="s">
        <v>21</v>
      </c>
      <c r="D61" t="s">
        <v>22</v>
      </c>
      <c r="E61" t="s">
        <v>23</v>
      </c>
      <c r="F61">
        <v>241933</v>
      </c>
      <c r="G61">
        <v>19</v>
      </c>
      <c r="H61">
        <v>287900</v>
      </c>
      <c r="I61" t="s">
        <v>24</v>
      </c>
      <c r="J61" t="s">
        <v>25</v>
      </c>
      <c r="K61">
        <v>0</v>
      </c>
      <c r="L61">
        <v>0</v>
      </c>
      <c r="M61" t="s">
        <v>25</v>
      </c>
      <c r="N61" t="s">
        <v>25</v>
      </c>
      <c r="O61" t="s">
        <v>26</v>
      </c>
      <c r="P61" t="s">
        <v>25</v>
      </c>
      <c r="Q61" t="s">
        <v>27</v>
      </c>
      <c r="R61" t="s">
        <v>28</v>
      </c>
    </row>
    <row r="62" spans="1:20">
      <c r="A62">
        <v>61</v>
      </c>
      <c r="B62" t="s">
        <v>98</v>
      </c>
      <c r="C62" t="s">
        <v>21</v>
      </c>
      <c r="D62" t="s">
        <v>22</v>
      </c>
      <c r="E62" t="s">
        <v>23</v>
      </c>
      <c r="F62">
        <v>9000</v>
      </c>
      <c r="G62">
        <v>19</v>
      </c>
      <c r="H62">
        <v>10710</v>
      </c>
      <c r="I62" t="s">
        <v>24</v>
      </c>
      <c r="J62" t="s">
        <v>25</v>
      </c>
      <c r="K62">
        <v>0</v>
      </c>
      <c r="L62">
        <v>0</v>
      </c>
      <c r="M62" t="s">
        <v>25</v>
      </c>
      <c r="N62" t="s">
        <v>25</v>
      </c>
      <c r="O62" t="s">
        <v>26</v>
      </c>
      <c r="P62" t="s">
        <v>25</v>
      </c>
      <c r="Q62" t="s">
        <v>27</v>
      </c>
      <c r="R62" t="s">
        <v>28</v>
      </c>
    </row>
    <row r="63" spans="1:20">
      <c r="A63">
        <v>62</v>
      </c>
      <c r="B63" t="s">
        <v>99</v>
      </c>
      <c r="C63" t="s">
        <v>21</v>
      </c>
      <c r="D63" t="s">
        <v>22</v>
      </c>
      <c r="E63" t="s">
        <v>23</v>
      </c>
      <c r="F63">
        <v>10000</v>
      </c>
      <c r="G63">
        <v>19</v>
      </c>
      <c r="H63">
        <v>11900</v>
      </c>
      <c r="I63" t="s">
        <v>24</v>
      </c>
      <c r="J63" t="s">
        <v>25</v>
      </c>
      <c r="K63">
        <v>0</v>
      </c>
      <c r="L63">
        <v>0</v>
      </c>
      <c r="M63" t="s">
        <v>25</v>
      </c>
      <c r="N63" t="s">
        <v>25</v>
      </c>
      <c r="O63" t="s">
        <v>26</v>
      </c>
      <c r="P63" t="s">
        <v>25</v>
      </c>
      <c r="Q63" t="s">
        <v>27</v>
      </c>
      <c r="R63" t="s">
        <v>28</v>
      </c>
      <c r="S63" t="s">
        <v>51</v>
      </c>
      <c r="T63" t="s">
        <v>52</v>
      </c>
    </row>
    <row r="64" spans="1:20">
      <c r="A64">
        <v>63</v>
      </c>
      <c r="B64" t="s">
        <v>100</v>
      </c>
      <c r="C64" t="s">
        <v>21</v>
      </c>
      <c r="D64" t="s">
        <v>22</v>
      </c>
      <c r="E64" t="s">
        <v>23</v>
      </c>
      <c r="F64">
        <v>3361</v>
      </c>
      <c r="G64">
        <v>19</v>
      </c>
      <c r="H64">
        <v>4000</v>
      </c>
      <c r="I64" t="s">
        <v>24</v>
      </c>
      <c r="J64" t="s">
        <v>25</v>
      </c>
      <c r="K64">
        <v>0</v>
      </c>
      <c r="L64">
        <v>0</v>
      </c>
      <c r="M64" t="s">
        <v>25</v>
      </c>
      <c r="N64" t="s">
        <v>25</v>
      </c>
      <c r="O64" t="s">
        <v>26</v>
      </c>
      <c r="P64" t="s">
        <v>25</v>
      </c>
      <c r="Q64" t="s">
        <v>27</v>
      </c>
      <c r="R64" t="s">
        <v>28</v>
      </c>
    </row>
    <row r="65" spans="1:18">
      <c r="A65">
        <v>64</v>
      </c>
      <c r="B65" t="s">
        <v>101</v>
      </c>
      <c r="C65" t="s">
        <v>102</v>
      </c>
      <c r="D65" t="s">
        <v>22</v>
      </c>
      <c r="E65" t="s">
        <v>103</v>
      </c>
      <c r="F65">
        <v>8876</v>
      </c>
      <c r="G65">
        <v>19</v>
      </c>
      <c r="H65">
        <v>10562</v>
      </c>
      <c r="I65" t="s">
        <v>24</v>
      </c>
      <c r="J65" t="s">
        <v>25</v>
      </c>
      <c r="K65">
        <v>0</v>
      </c>
      <c r="L65">
        <v>0</v>
      </c>
      <c r="M65" t="s">
        <v>25</v>
      </c>
      <c r="N65" t="s">
        <v>25</v>
      </c>
      <c r="O65" t="s">
        <v>26</v>
      </c>
      <c r="P65" t="s">
        <v>25</v>
      </c>
      <c r="Q65" t="s">
        <v>27</v>
      </c>
      <c r="R65" t="s">
        <v>28</v>
      </c>
    </row>
    <row r="66" spans="1:18">
      <c r="A66">
        <v>65</v>
      </c>
      <c r="B66" t="s">
        <v>104</v>
      </c>
      <c r="C66" t="s">
        <v>102</v>
      </c>
      <c r="D66" t="s">
        <v>22</v>
      </c>
      <c r="E66" t="s">
        <v>103</v>
      </c>
      <c r="F66">
        <v>13499</v>
      </c>
      <c r="G66">
        <v>19</v>
      </c>
      <c r="H66">
        <v>16064</v>
      </c>
      <c r="I66" t="s">
        <v>24</v>
      </c>
      <c r="J66" t="s">
        <v>25</v>
      </c>
      <c r="K66">
        <v>0</v>
      </c>
      <c r="L66">
        <v>0</v>
      </c>
      <c r="M66" t="s">
        <v>25</v>
      </c>
      <c r="N66" t="s">
        <v>25</v>
      </c>
      <c r="O66" t="s">
        <v>26</v>
      </c>
      <c r="P66" t="s">
        <v>25</v>
      </c>
      <c r="Q66" t="s">
        <v>27</v>
      </c>
      <c r="R66" t="s">
        <v>28</v>
      </c>
    </row>
    <row r="67" spans="1:18">
      <c r="A67">
        <v>66</v>
      </c>
      <c r="B67" t="s">
        <v>105</v>
      </c>
      <c r="C67" t="s">
        <v>102</v>
      </c>
      <c r="D67" t="s">
        <v>22</v>
      </c>
      <c r="E67" t="s">
        <v>103</v>
      </c>
      <c r="F67">
        <v>15345</v>
      </c>
      <c r="G67">
        <v>19</v>
      </c>
      <c r="H67">
        <v>18261</v>
      </c>
      <c r="I67" t="s">
        <v>24</v>
      </c>
      <c r="J67" t="s">
        <v>25</v>
      </c>
      <c r="K67">
        <v>0</v>
      </c>
      <c r="L67">
        <v>0</v>
      </c>
      <c r="M67" t="s">
        <v>25</v>
      </c>
      <c r="N67" t="s">
        <v>25</v>
      </c>
      <c r="O67" t="s">
        <v>26</v>
      </c>
      <c r="P67" t="s">
        <v>25</v>
      </c>
      <c r="Q67" t="s">
        <v>27</v>
      </c>
      <c r="R67" t="s">
        <v>28</v>
      </c>
    </row>
    <row r="68" spans="1:18">
      <c r="A68">
        <v>67</v>
      </c>
      <c r="B68" t="s">
        <v>106</v>
      </c>
      <c r="C68" t="s">
        <v>102</v>
      </c>
      <c r="D68" t="s">
        <v>22</v>
      </c>
      <c r="E68" t="s">
        <v>103</v>
      </c>
      <c r="F68">
        <v>6581</v>
      </c>
      <c r="G68">
        <v>19</v>
      </c>
      <c r="H68">
        <v>7831</v>
      </c>
      <c r="I68" t="s">
        <v>24</v>
      </c>
      <c r="J68" t="s">
        <v>25</v>
      </c>
      <c r="K68">
        <v>0</v>
      </c>
      <c r="L68">
        <v>0</v>
      </c>
      <c r="M68" t="s">
        <v>25</v>
      </c>
      <c r="N68" t="s">
        <v>25</v>
      </c>
      <c r="O68" t="s">
        <v>26</v>
      </c>
      <c r="P68" t="s">
        <v>25</v>
      </c>
      <c r="Q68" t="s">
        <v>27</v>
      </c>
      <c r="R68" t="s">
        <v>28</v>
      </c>
    </row>
    <row r="69" spans="1:18">
      <c r="A69">
        <v>68</v>
      </c>
      <c r="B69" t="s">
        <v>107</v>
      </c>
      <c r="C69" t="s">
        <v>102</v>
      </c>
      <c r="D69" t="s">
        <v>22</v>
      </c>
      <c r="E69" t="s">
        <v>103</v>
      </c>
      <c r="F69">
        <v>8719</v>
      </c>
      <c r="G69">
        <v>19</v>
      </c>
      <c r="H69">
        <v>10376</v>
      </c>
      <c r="I69" t="s">
        <v>24</v>
      </c>
      <c r="J69" t="s">
        <v>25</v>
      </c>
      <c r="K69">
        <v>0</v>
      </c>
      <c r="L69">
        <v>0</v>
      </c>
      <c r="M69" t="s">
        <v>25</v>
      </c>
      <c r="N69" t="s">
        <v>25</v>
      </c>
      <c r="O69" t="s">
        <v>26</v>
      </c>
      <c r="P69" t="s">
        <v>25</v>
      </c>
      <c r="Q69" t="s">
        <v>27</v>
      </c>
      <c r="R69" t="s">
        <v>28</v>
      </c>
    </row>
    <row r="70" spans="1:18">
      <c r="A70">
        <v>69</v>
      </c>
      <c r="B70" t="s">
        <v>108</v>
      </c>
      <c r="C70" t="s">
        <v>102</v>
      </c>
      <c r="D70" t="s">
        <v>22</v>
      </c>
      <c r="E70" t="s">
        <v>103</v>
      </c>
      <c r="F70">
        <v>12566</v>
      </c>
      <c r="G70">
        <v>19</v>
      </c>
      <c r="H70">
        <v>14954</v>
      </c>
      <c r="I70" t="s">
        <v>24</v>
      </c>
      <c r="J70" t="s">
        <v>25</v>
      </c>
      <c r="K70">
        <v>0</v>
      </c>
      <c r="L70">
        <v>0</v>
      </c>
      <c r="M70" t="s">
        <v>25</v>
      </c>
      <c r="N70" t="s">
        <v>25</v>
      </c>
      <c r="O70" t="s">
        <v>26</v>
      </c>
      <c r="P70" t="s">
        <v>25</v>
      </c>
      <c r="Q70" t="s">
        <v>27</v>
      </c>
      <c r="R70" t="s">
        <v>28</v>
      </c>
    </row>
    <row r="71" spans="1:18">
      <c r="A71">
        <v>70</v>
      </c>
      <c r="B71" t="s">
        <v>109</v>
      </c>
      <c r="C71" t="s">
        <v>102</v>
      </c>
      <c r="D71" t="s">
        <v>22</v>
      </c>
      <c r="E71" t="s">
        <v>103</v>
      </c>
      <c r="F71">
        <v>7361</v>
      </c>
      <c r="G71">
        <v>19</v>
      </c>
      <c r="H71">
        <v>8760</v>
      </c>
      <c r="I71" t="s">
        <v>24</v>
      </c>
      <c r="J71" t="s">
        <v>25</v>
      </c>
      <c r="K71">
        <v>0</v>
      </c>
      <c r="L71">
        <v>0</v>
      </c>
      <c r="M71" t="s">
        <v>25</v>
      </c>
      <c r="N71" t="s">
        <v>25</v>
      </c>
      <c r="O71" t="s">
        <v>26</v>
      </c>
      <c r="P71" t="s">
        <v>25</v>
      </c>
      <c r="Q71" t="s">
        <v>27</v>
      </c>
      <c r="R71" t="s">
        <v>28</v>
      </c>
    </row>
    <row r="72" spans="1:18">
      <c r="A72">
        <v>71</v>
      </c>
      <c r="B72" t="s">
        <v>110</v>
      </c>
      <c r="C72" t="s">
        <v>102</v>
      </c>
      <c r="D72" t="s">
        <v>22</v>
      </c>
      <c r="E72" t="s">
        <v>103</v>
      </c>
      <c r="F72">
        <v>5410</v>
      </c>
      <c r="G72">
        <v>19</v>
      </c>
      <c r="H72">
        <v>6438</v>
      </c>
      <c r="I72" t="s">
        <v>24</v>
      </c>
      <c r="J72" t="s">
        <v>25</v>
      </c>
      <c r="K72">
        <v>0</v>
      </c>
      <c r="L72">
        <v>0</v>
      </c>
      <c r="M72" t="s">
        <v>25</v>
      </c>
      <c r="N72" t="s">
        <v>25</v>
      </c>
      <c r="O72" t="s">
        <v>26</v>
      </c>
      <c r="P72" t="s">
        <v>25</v>
      </c>
      <c r="Q72" t="s">
        <v>27</v>
      </c>
      <c r="R72" t="s">
        <v>28</v>
      </c>
    </row>
    <row r="73" spans="1:18">
      <c r="A73">
        <v>72</v>
      </c>
      <c r="B73" t="s">
        <v>111</v>
      </c>
      <c r="C73" t="s">
        <v>102</v>
      </c>
      <c r="D73" t="s">
        <v>22</v>
      </c>
      <c r="E73" t="s">
        <v>103</v>
      </c>
      <c r="F73">
        <v>7361</v>
      </c>
      <c r="G73">
        <v>19</v>
      </c>
      <c r="H73">
        <v>8760</v>
      </c>
      <c r="I73" t="s">
        <v>24</v>
      </c>
      <c r="J73" t="s">
        <v>25</v>
      </c>
      <c r="K73">
        <v>0</v>
      </c>
      <c r="L73">
        <v>0</v>
      </c>
      <c r="M73" t="s">
        <v>25</v>
      </c>
      <c r="N73" t="s">
        <v>25</v>
      </c>
      <c r="O73" t="s">
        <v>26</v>
      </c>
      <c r="P73" t="s">
        <v>25</v>
      </c>
      <c r="Q73" t="s">
        <v>27</v>
      </c>
      <c r="R73" t="s">
        <v>28</v>
      </c>
    </row>
    <row r="74" spans="1:18">
      <c r="A74">
        <v>73</v>
      </c>
      <c r="B74" t="s">
        <v>112</v>
      </c>
      <c r="C74" t="s">
        <v>102</v>
      </c>
      <c r="D74" t="s">
        <v>22</v>
      </c>
      <c r="E74" t="s">
        <v>103</v>
      </c>
      <c r="F74">
        <v>7361</v>
      </c>
      <c r="G74">
        <v>19</v>
      </c>
      <c r="H74">
        <v>8760</v>
      </c>
      <c r="I74" t="s">
        <v>24</v>
      </c>
      <c r="J74" t="s">
        <v>25</v>
      </c>
      <c r="K74">
        <v>0</v>
      </c>
      <c r="L74">
        <v>0</v>
      </c>
      <c r="M74" t="s">
        <v>25</v>
      </c>
      <c r="N74" t="s">
        <v>25</v>
      </c>
      <c r="O74" t="s">
        <v>26</v>
      </c>
      <c r="P74" t="s">
        <v>25</v>
      </c>
      <c r="Q74" t="s">
        <v>27</v>
      </c>
      <c r="R74" t="s">
        <v>28</v>
      </c>
    </row>
    <row r="75" spans="1:18">
      <c r="A75">
        <v>74</v>
      </c>
      <c r="B75" t="s">
        <v>113</v>
      </c>
      <c r="C75" t="s">
        <v>102</v>
      </c>
      <c r="D75" t="s">
        <v>22</v>
      </c>
      <c r="E75" t="s">
        <v>103</v>
      </c>
      <c r="F75">
        <v>1147</v>
      </c>
      <c r="G75">
        <v>19</v>
      </c>
      <c r="H75">
        <v>1365</v>
      </c>
      <c r="I75" t="s">
        <v>24</v>
      </c>
      <c r="J75" t="s">
        <v>25</v>
      </c>
      <c r="K75">
        <v>0</v>
      </c>
      <c r="L75">
        <v>0</v>
      </c>
      <c r="M75" t="s">
        <v>25</v>
      </c>
      <c r="N75" t="s">
        <v>25</v>
      </c>
      <c r="O75" t="s">
        <v>26</v>
      </c>
      <c r="P75" t="s">
        <v>25</v>
      </c>
      <c r="Q75" t="s">
        <v>27</v>
      </c>
      <c r="R75" t="s">
        <v>28</v>
      </c>
    </row>
    <row r="76" spans="1:18">
      <c r="A76">
        <v>75</v>
      </c>
      <c r="B76" t="s">
        <v>114</v>
      </c>
      <c r="C76" t="s">
        <v>102</v>
      </c>
      <c r="D76" t="s">
        <v>22</v>
      </c>
      <c r="E76" t="s">
        <v>103</v>
      </c>
      <c r="F76">
        <v>9432</v>
      </c>
      <c r="G76">
        <v>19</v>
      </c>
      <c r="H76">
        <v>11224</v>
      </c>
      <c r="I76" t="s">
        <v>24</v>
      </c>
      <c r="J76" t="s">
        <v>25</v>
      </c>
      <c r="K76">
        <v>0</v>
      </c>
      <c r="L76">
        <v>0</v>
      </c>
      <c r="M76" t="s">
        <v>25</v>
      </c>
      <c r="N76" t="s">
        <v>25</v>
      </c>
      <c r="O76" t="s">
        <v>26</v>
      </c>
      <c r="P76" t="s">
        <v>25</v>
      </c>
      <c r="Q76" t="s">
        <v>27</v>
      </c>
      <c r="R76" t="s">
        <v>28</v>
      </c>
    </row>
    <row r="77" spans="1:18">
      <c r="A77">
        <v>76</v>
      </c>
      <c r="B77" t="s">
        <v>115</v>
      </c>
      <c r="C77" t="s">
        <v>102</v>
      </c>
      <c r="D77" t="s">
        <v>22</v>
      </c>
      <c r="E77" t="s">
        <v>103</v>
      </c>
      <c r="F77">
        <v>33929</v>
      </c>
      <c r="G77">
        <v>19</v>
      </c>
      <c r="H77">
        <v>40376</v>
      </c>
      <c r="I77" t="s">
        <v>24</v>
      </c>
      <c r="J77" t="s">
        <v>25</v>
      </c>
      <c r="K77">
        <v>0</v>
      </c>
      <c r="L77">
        <v>0</v>
      </c>
      <c r="M77" t="s">
        <v>25</v>
      </c>
      <c r="N77" t="s">
        <v>25</v>
      </c>
      <c r="O77" t="s">
        <v>26</v>
      </c>
      <c r="P77" t="s">
        <v>25</v>
      </c>
      <c r="Q77" t="s">
        <v>27</v>
      </c>
      <c r="R77" t="s">
        <v>28</v>
      </c>
    </row>
    <row r="78" spans="1:18">
      <c r="A78">
        <v>77</v>
      </c>
      <c r="B78" t="s">
        <v>116</v>
      </c>
      <c r="C78" t="s">
        <v>102</v>
      </c>
      <c r="D78" t="s">
        <v>22</v>
      </c>
      <c r="E78" t="s">
        <v>103</v>
      </c>
      <c r="F78">
        <v>5355</v>
      </c>
      <c r="G78">
        <v>19</v>
      </c>
      <c r="H78">
        <v>6372</v>
      </c>
      <c r="I78" t="s">
        <v>24</v>
      </c>
      <c r="J78" t="s">
        <v>25</v>
      </c>
      <c r="K78">
        <v>0</v>
      </c>
      <c r="L78">
        <v>0</v>
      </c>
      <c r="M78" t="s">
        <v>25</v>
      </c>
      <c r="N78" t="s">
        <v>25</v>
      </c>
      <c r="O78" t="s">
        <v>26</v>
      </c>
      <c r="P78" t="s">
        <v>25</v>
      </c>
      <c r="Q78" t="s">
        <v>27</v>
      </c>
      <c r="R78" t="s">
        <v>28</v>
      </c>
    </row>
    <row r="79" spans="1:18">
      <c r="A79">
        <v>78</v>
      </c>
      <c r="B79" t="s">
        <v>117</v>
      </c>
      <c r="C79" t="s">
        <v>102</v>
      </c>
      <c r="D79" t="s">
        <v>22</v>
      </c>
      <c r="E79" t="s">
        <v>103</v>
      </c>
      <c r="F79">
        <v>5898</v>
      </c>
      <c r="G79">
        <v>19</v>
      </c>
      <c r="H79">
        <v>7019</v>
      </c>
      <c r="I79" t="s">
        <v>24</v>
      </c>
      <c r="J79" t="s">
        <v>25</v>
      </c>
      <c r="K79">
        <v>0</v>
      </c>
      <c r="L79">
        <v>0</v>
      </c>
      <c r="M79" t="s">
        <v>25</v>
      </c>
      <c r="N79" t="s">
        <v>25</v>
      </c>
      <c r="O79" t="s">
        <v>26</v>
      </c>
      <c r="P79" t="s">
        <v>25</v>
      </c>
      <c r="Q79" t="s">
        <v>27</v>
      </c>
      <c r="R79" t="s">
        <v>28</v>
      </c>
    </row>
    <row r="80" spans="1:18">
      <c r="A80">
        <v>79</v>
      </c>
      <c r="B80" t="s">
        <v>118</v>
      </c>
      <c r="C80" t="s">
        <v>102</v>
      </c>
      <c r="D80" t="s">
        <v>22</v>
      </c>
      <c r="E80" t="s">
        <v>103</v>
      </c>
      <c r="F80">
        <v>24639</v>
      </c>
      <c r="G80">
        <v>19</v>
      </c>
      <c r="H80">
        <v>29320</v>
      </c>
      <c r="I80" t="s">
        <v>24</v>
      </c>
      <c r="J80" t="s">
        <v>25</v>
      </c>
      <c r="K80">
        <v>0</v>
      </c>
      <c r="L80">
        <v>0</v>
      </c>
      <c r="M80" t="s">
        <v>25</v>
      </c>
      <c r="N80" t="s">
        <v>25</v>
      </c>
      <c r="O80" t="s">
        <v>26</v>
      </c>
      <c r="P80" t="s">
        <v>25</v>
      </c>
      <c r="Q80" t="s">
        <v>27</v>
      </c>
      <c r="R80" t="s">
        <v>28</v>
      </c>
    </row>
    <row r="81" spans="1:18">
      <c r="A81">
        <v>80</v>
      </c>
      <c r="B81" t="s">
        <v>119</v>
      </c>
      <c r="C81" t="s">
        <v>102</v>
      </c>
      <c r="D81" t="s">
        <v>22</v>
      </c>
      <c r="E81" t="s">
        <v>103</v>
      </c>
      <c r="F81">
        <v>2485</v>
      </c>
      <c r="G81">
        <v>19</v>
      </c>
      <c r="H81">
        <v>2957</v>
      </c>
      <c r="I81" t="s">
        <v>24</v>
      </c>
      <c r="J81" t="s">
        <v>25</v>
      </c>
      <c r="K81">
        <v>0</v>
      </c>
      <c r="L81">
        <v>0</v>
      </c>
      <c r="M81" t="s">
        <v>25</v>
      </c>
      <c r="N81" t="s">
        <v>25</v>
      </c>
      <c r="O81" t="s">
        <v>26</v>
      </c>
      <c r="P81" t="s">
        <v>25</v>
      </c>
      <c r="Q81" t="s">
        <v>27</v>
      </c>
      <c r="R81" t="s">
        <v>28</v>
      </c>
    </row>
    <row r="82" spans="1:18">
      <c r="A82">
        <v>81</v>
      </c>
      <c r="B82" t="s">
        <v>120</v>
      </c>
      <c r="C82" t="s">
        <v>102</v>
      </c>
      <c r="D82" t="s">
        <v>22</v>
      </c>
      <c r="E82" t="s">
        <v>103</v>
      </c>
      <c r="F82">
        <v>5037</v>
      </c>
      <c r="G82">
        <v>19</v>
      </c>
      <c r="H82">
        <v>5994</v>
      </c>
      <c r="I82" t="s">
        <v>24</v>
      </c>
      <c r="J82" t="s">
        <v>25</v>
      </c>
      <c r="K82">
        <v>0</v>
      </c>
      <c r="L82">
        <v>0</v>
      </c>
      <c r="M82" t="s">
        <v>25</v>
      </c>
      <c r="N82" t="s">
        <v>25</v>
      </c>
      <c r="O82" t="s">
        <v>26</v>
      </c>
      <c r="P82" t="s">
        <v>25</v>
      </c>
      <c r="Q82" t="s">
        <v>27</v>
      </c>
      <c r="R82" t="s">
        <v>28</v>
      </c>
    </row>
    <row r="83" spans="1:18">
      <c r="A83">
        <v>82</v>
      </c>
      <c r="B83" t="s">
        <v>121</v>
      </c>
      <c r="C83" t="s">
        <v>102</v>
      </c>
      <c r="D83" t="s">
        <v>22</v>
      </c>
      <c r="E83" t="s">
        <v>103</v>
      </c>
      <c r="F83">
        <v>4471</v>
      </c>
      <c r="G83">
        <v>19</v>
      </c>
      <c r="H83">
        <v>5320</v>
      </c>
      <c r="I83" t="s">
        <v>24</v>
      </c>
      <c r="J83" t="s">
        <v>25</v>
      </c>
      <c r="K83">
        <v>0</v>
      </c>
      <c r="L83">
        <v>0</v>
      </c>
      <c r="M83" t="s">
        <v>25</v>
      </c>
      <c r="N83" t="s">
        <v>25</v>
      </c>
      <c r="O83" t="s">
        <v>26</v>
      </c>
      <c r="P83" t="s">
        <v>25</v>
      </c>
      <c r="Q83" t="s">
        <v>27</v>
      </c>
      <c r="R83" t="s">
        <v>28</v>
      </c>
    </row>
    <row r="84" spans="1:18">
      <c r="A84">
        <v>83</v>
      </c>
      <c r="B84" t="s">
        <v>122</v>
      </c>
      <c r="C84" t="s">
        <v>102</v>
      </c>
      <c r="D84" t="s">
        <v>22</v>
      </c>
      <c r="E84" t="s">
        <v>103</v>
      </c>
      <c r="F84">
        <v>5209</v>
      </c>
      <c r="G84">
        <v>19</v>
      </c>
      <c r="H84">
        <v>6199</v>
      </c>
      <c r="I84" t="s">
        <v>24</v>
      </c>
      <c r="J84" t="s">
        <v>25</v>
      </c>
      <c r="K84">
        <v>0</v>
      </c>
      <c r="L84">
        <v>0</v>
      </c>
      <c r="M84" t="s">
        <v>25</v>
      </c>
      <c r="N84" t="s">
        <v>25</v>
      </c>
      <c r="O84" t="s">
        <v>26</v>
      </c>
      <c r="P84" t="s">
        <v>25</v>
      </c>
      <c r="Q84" t="s">
        <v>27</v>
      </c>
      <c r="R84" t="s">
        <v>28</v>
      </c>
    </row>
    <row r="85" spans="1:18">
      <c r="A85">
        <v>84</v>
      </c>
      <c r="B85" t="s">
        <v>123</v>
      </c>
      <c r="C85" t="s">
        <v>102</v>
      </c>
      <c r="D85" t="s">
        <v>22</v>
      </c>
      <c r="E85" t="s">
        <v>103</v>
      </c>
      <c r="F85">
        <v>5787</v>
      </c>
      <c r="G85">
        <v>19</v>
      </c>
      <c r="H85">
        <v>6887</v>
      </c>
      <c r="I85" t="s">
        <v>24</v>
      </c>
      <c r="J85" t="s">
        <v>25</v>
      </c>
      <c r="K85">
        <v>0</v>
      </c>
      <c r="L85">
        <v>0</v>
      </c>
      <c r="M85" t="s">
        <v>25</v>
      </c>
      <c r="N85" t="s">
        <v>25</v>
      </c>
      <c r="O85" t="s">
        <v>26</v>
      </c>
      <c r="P85" t="s">
        <v>25</v>
      </c>
      <c r="Q85" t="s">
        <v>27</v>
      </c>
      <c r="R85" t="s">
        <v>28</v>
      </c>
    </row>
    <row r="86" spans="1:18">
      <c r="A86">
        <v>85</v>
      </c>
      <c r="B86" t="s">
        <v>124</v>
      </c>
      <c r="C86" t="s">
        <v>102</v>
      </c>
      <c r="D86" t="s">
        <v>22</v>
      </c>
      <c r="E86" t="s">
        <v>103</v>
      </c>
      <c r="F86">
        <v>4319</v>
      </c>
      <c r="G86">
        <v>19</v>
      </c>
      <c r="H86">
        <v>5140</v>
      </c>
      <c r="I86" t="s">
        <v>24</v>
      </c>
      <c r="J86" t="s">
        <v>25</v>
      </c>
      <c r="K86">
        <v>0</v>
      </c>
      <c r="L86">
        <v>0</v>
      </c>
      <c r="M86" t="s">
        <v>25</v>
      </c>
      <c r="N86" t="s">
        <v>25</v>
      </c>
      <c r="O86" t="s">
        <v>26</v>
      </c>
      <c r="P86" t="s">
        <v>25</v>
      </c>
      <c r="Q86" t="s">
        <v>27</v>
      </c>
      <c r="R86" t="s">
        <v>28</v>
      </c>
    </row>
    <row r="87" spans="1:18">
      <c r="A87">
        <v>86</v>
      </c>
      <c r="B87" t="s">
        <v>125</v>
      </c>
      <c r="C87" t="s">
        <v>102</v>
      </c>
      <c r="D87" t="s">
        <v>22</v>
      </c>
      <c r="E87" t="s">
        <v>103</v>
      </c>
      <c r="F87">
        <v>6706</v>
      </c>
      <c r="G87">
        <v>19</v>
      </c>
      <c r="H87">
        <v>7980</v>
      </c>
      <c r="I87" t="s">
        <v>24</v>
      </c>
      <c r="J87" t="s">
        <v>25</v>
      </c>
      <c r="K87">
        <v>0</v>
      </c>
      <c r="L87">
        <v>0</v>
      </c>
      <c r="M87" t="s">
        <v>25</v>
      </c>
      <c r="N87" t="s">
        <v>25</v>
      </c>
      <c r="O87" t="s">
        <v>26</v>
      </c>
      <c r="P87" t="s">
        <v>25</v>
      </c>
      <c r="Q87" t="s">
        <v>27</v>
      </c>
      <c r="R87" t="s">
        <v>28</v>
      </c>
    </row>
    <row r="88" spans="1:18">
      <c r="A88">
        <v>87</v>
      </c>
      <c r="B88" t="s">
        <v>126</v>
      </c>
      <c r="C88" t="s">
        <v>102</v>
      </c>
      <c r="D88" t="s">
        <v>22</v>
      </c>
      <c r="E88" t="s">
        <v>103</v>
      </c>
      <c r="F88">
        <v>10605</v>
      </c>
      <c r="G88">
        <v>19</v>
      </c>
      <c r="H88">
        <v>12620</v>
      </c>
      <c r="I88" t="s">
        <v>24</v>
      </c>
      <c r="J88" t="s">
        <v>25</v>
      </c>
      <c r="K88">
        <v>0</v>
      </c>
      <c r="L88">
        <v>0</v>
      </c>
      <c r="M88" t="s">
        <v>25</v>
      </c>
      <c r="N88" t="s">
        <v>25</v>
      </c>
      <c r="O88" t="s">
        <v>26</v>
      </c>
      <c r="P88" t="s">
        <v>25</v>
      </c>
      <c r="Q88" t="s">
        <v>27</v>
      </c>
      <c r="R88" t="s">
        <v>28</v>
      </c>
    </row>
    <row r="89" spans="1:18">
      <c r="A89">
        <v>88</v>
      </c>
      <c r="B89" t="s">
        <v>127</v>
      </c>
      <c r="C89" t="s">
        <v>102</v>
      </c>
      <c r="D89" t="s">
        <v>22</v>
      </c>
      <c r="E89" t="s">
        <v>103</v>
      </c>
      <c r="F89">
        <v>29637</v>
      </c>
      <c r="G89">
        <v>19</v>
      </c>
      <c r="H89">
        <v>35268</v>
      </c>
      <c r="I89" t="s">
        <v>24</v>
      </c>
      <c r="J89" t="s">
        <v>25</v>
      </c>
      <c r="K89">
        <v>0</v>
      </c>
      <c r="L89">
        <v>0</v>
      </c>
      <c r="M89" t="s">
        <v>25</v>
      </c>
      <c r="N89" t="s">
        <v>25</v>
      </c>
      <c r="O89" t="s">
        <v>26</v>
      </c>
      <c r="P89" t="s">
        <v>25</v>
      </c>
      <c r="Q89" t="s">
        <v>27</v>
      </c>
      <c r="R89" t="s">
        <v>28</v>
      </c>
    </row>
    <row r="90" spans="1:18">
      <c r="A90">
        <v>89</v>
      </c>
      <c r="B90" t="s">
        <v>128</v>
      </c>
      <c r="C90" t="s">
        <v>102</v>
      </c>
      <c r="D90" t="s">
        <v>22</v>
      </c>
      <c r="E90" t="s">
        <v>103</v>
      </c>
      <c r="F90">
        <v>34241</v>
      </c>
      <c r="G90">
        <v>19</v>
      </c>
      <c r="H90">
        <v>40747</v>
      </c>
      <c r="I90" t="s">
        <v>24</v>
      </c>
      <c r="J90" t="s">
        <v>25</v>
      </c>
      <c r="K90">
        <v>0</v>
      </c>
      <c r="L90">
        <v>0</v>
      </c>
      <c r="M90" t="s">
        <v>25</v>
      </c>
      <c r="N90" t="s">
        <v>25</v>
      </c>
      <c r="O90" t="s">
        <v>26</v>
      </c>
      <c r="P90" t="s">
        <v>25</v>
      </c>
      <c r="Q90" t="s">
        <v>27</v>
      </c>
      <c r="R90" t="s">
        <v>28</v>
      </c>
    </row>
    <row r="91" spans="1:18">
      <c r="A91">
        <v>90</v>
      </c>
      <c r="B91" t="s">
        <v>129</v>
      </c>
      <c r="C91" t="s">
        <v>102</v>
      </c>
      <c r="D91" t="s">
        <v>22</v>
      </c>
      <c r="E91" t="s">
        <v>103</v>
      </c>
      <c r="F91">
        <v>22806</v>
      </c>
      <c r="G91">
        <v>19</v>
      </c>
      <c r="H91">
        <v>27139</v>
      </c>
      <c r="I91" t="s">
        <v>24</v>
      </c>
      <c r="J91" t="s">
        <v>25</v>
      </c>
      <c r="K91">
        <v>0</v>
      </c>
      <c r="L91">
        <v>0</v>
      </c>
      <c r="M91" t="s">
        <v>25</v>
      </c>
      <c r="N91" t="s">
        <v>25</v>
      </c>
      <c r="O91" t="s">
        <v>26</v>
      </c>
      <c r="P91" t="s">
        <v>25</v>
      </c>
      <c r="Q91" t="s">
        <v>27</v>
      </c>
      <c r="R91" t="s">
        <v>28</v>
      </c>
    </row>
    <row r="92" spans="1:18">
      <c r="A92">
        <v>91</v>
      </c>
      <c r="B92" t="s">
        <v>130</v>
      </c>
      <c r="C92" t="s">
        <v>102</v>
      </c>
      <c r="D92" t="s">
        <v>22</v>
      </c>
      <c r="E92" t="s">
        <v>103</v>
      </c>
      <c r="F92">
        <v>119258</v>
      </c>
      <c r="G92">
        <v>19</v>
      </c>
      <c r="H92">
        <v>141917</v>
      </c>
      <c r="I92" t="s">
        <v>24</v>
      </c>
      <c r="J92" t="s">
        <v>25</v>
      </c>
      <c r="K92">
        <v>0</v>
      </c>
      <c r="L92">
        <v>0</v>
      </c>
      <c r="M92" t="s">
        <v>25</v>
      </c>
      <c r="N92" t="s">
        <v>25</v>
      </c>
      <c r="O92" t="s">
        <v>26</v>
      </c>
      <c r="P92" t="s">
        <v>25</v>
      </c>
      <c r="Q92" t="s">
        <v>27</v>
      </c>
      <c r="R92" t="s">
        <v>28</v>
      </c>
    </row>
    <row r="93" spans="1:18">
      <c r="A93">
        <v>92</v>
      </c>
      <c r="B93" t="s">
        <v>131</v>
      </c>
      <c r="C93" t="s">
        <v>102</v>
      </c>
      <c r="D93" t="s">
        <v>22</v>
      </c>
      <c r="E93" t="s">
        <v>103</v>
      </c>
      <c r="F93">
        <v>16820</v>
      </c>
      <c r="G93">
        <v>19</v>
      </c>
      <c r="H93">
        <v>20016</v>
      </c>
      <c r="I93" t="s">
        <v>24</v>
      </c>
      <c r="J93" t="s">
        <v>25</v>
      </c>
      <c r="K93">
        <v>0</v>
      </c>
      <c r="L93">
        <v>0</v>
      </c>
      <c r="M93" t="s">
        <v>25</v>
      </c>
      <c r="N93" t="s">
        <v>25</v>
      </c>
      <c r="O93" t="s">
        <v>26</v>
      </c>
      <c r="P93" t="s">
        <v>25</v>
      </c>
      <c r="Q93" t="s">
        <v>27</v>
      </c>
      <c r="R93" t="s">
        <v>28</v>
      </c>
    </row>
    <row r="94" spans="1:18">
      <c r="A94">
        <v>93</v>
      </c>
      <c r="B94" t="s">
        <v>132</v>
      </c>
      <c r="C94" t="s">
        <v>102</v>
      </c>
      <c r="D94" t="s">
        <v>22</v>
      </c>
      <c r="E94" t="s">
        <v>103</v>
      </c>
      <c r="F94">
        <v>16986</v>
      </c>
      <c r="G94">
        <v>19</v>
      </c>
      <c r="H94">
        <v>20213</v>
      </c>
      <c r="I94" t="s">
        <v>24</v>
      </c>
      <c r="J94" t="s">
        <v>25</v>
      </c>
      <c r="K94">
        <v>0</v>
      </c>
      <c r="L94">
        <v>0</v>
      </c>
      <c r="M94" t="s">
        <v>25</v>
      </c>
      <c r="N94" t="s">
        <v>25</v>
      </c>
      <c r="O94" t="s">
        <v>26</v>
      </c>
      <c r="P94" t="s">
        <v>25</v>
      </c>
      <c r="Q94" t="s">
        <v>27</v>
      </c>
      <c r="R94" t="s">
        <v>28</v>
      </c>
    </row>
    <row r="95" spans="1:18">
      <c r="A95">
        <v>94</v>
      </c>
      <c r="B95" t="s">
        <v>133</v>
      </c>
      <c r="C95" t="s">
        <v>102</v>
      </c>
      <c r="D95" t="s">
        <v>22</v>
      </c>
      <c r="E95" t="s">
        <v>103</v>
      </c>
      <c r="F95">
        <v>19348</v>
      </c>
      <c r="G95">
        <v>19</v>
      </c>
      <c r="H95">
        <v>23024</v>
      </c>
      <c r="I95" t="s">
        <v>24</v>
      </c>
      <c r="J95" t="s">
        <v>25</v>
      </c>
      <c r="K95">
        <v>0</v>
      </c>
      <c r="L95">
        <v>0</v>
      </c>
      <c r="M95" t="s">
        <v>25</v>
      </c>
      <c r="N95" t="s">
        <v>25</v>
      </c>
      <c r="O95" t="s">
        <v>26</v>
      </c>
      <c r="P95" t="s">
        <v>25</v>
      </c>
      <c r="Q95" t="s">
        <v>27</v>
      </c>
      <c r="R95" t="s">
        <v>28</v>
      </c>
    </row>
    <row r="96" spans="1:18">
      <c r="A96">
        <v>95</v>
      </c>
      <c r="B96" t="s">
        <v>134</v>
      </c>
      <c r="C96" t="s">
        <v>102</v>
      </c>
      <c r="D96" t="s">
        <v>22</v>
      </c>
      <c r="E96" t="s">
        <v>103</v>
      </c>
      <c r="F96">
        <v>12585</v>
      </c>
      <c r="G96">
        <v>19</v>
      </c>
      <c r="H96">
        <v>14976</v>
      </c>
      <c r="I96" t="s">
        <v>24</v>
      </c>
      <c r="J96" t="s">
        <v>25</v>
      </c>
      <c r="K96">
        <v>0</v>
      </c>
      <c r="L96">
        <v>0</v>
      </c>
      <c r="M96" t="s">
        <v>25</v>
      </c>
      <c r="N96" t="s">
        <v>25</v>
      </c>
      <c r="O96" t="s">
        <v>26</v>
      </c>
      <c r="P96" t="s">
        <v>25</v>
      </c>
      <c r="Q96" t="s">
        <v>27</v>
      </c>
      <c r="R96" t="s">
        <v>28</v>
      </c>
    </row>
    <row r="97" spans="1:18">
      <c r="A97">
        <v>96</v>
      </c>
      <c r="B97" t="s">
        <v>135</v>
      </c>
      <c r="C97" t="s">
        <v>102</v>
      </c>
      <c r="D97" t="s">
        <v>22</v>
      </c>
      <c r="E97" t="s">
        <v>103</v>
      </c>
      <c r="F97">
        <v>2034</v>
      </c>
      <c r="G97">
        <v>19</v>
      </c>
      <c r="H97">
        <v>2420</v>
      </c>
      <c r="I97" t="s">
        <v>24</v>
      </c>
      <c r="J97" t="s">
        <v>25</v>
      </c>
      <c r="K97">
        <v>0</v>
      </c>
      <c r="L97">
        <v>0</v>
      </c>
      <c r="M97" t="s">
        <v>25</v>
      </c>
      <c r="N97" t="s">
        <v>25</v>
      </c>
      <c r="O97" t="s">
        <v>26</v>
      </c>
      <c r="P97" t="s">
        <v>25</v>
      </c>
      <c r="Q97" t="s">
        <v>27</v>
      </c>
      <c r="R97" t="s">
        <v>28</v>
      </c>
    </row>
    <row r="98" spans="1:18">
      <c r="A98">
        <v>97</v>
      </c>
      <c r="B98" t="s">
        <v>136</v>
      </c>
      <c r="C98" t="s">
        <v>102</v>
      </c>
      <c r="D98" t="s">
        <v>22</v>
      </c>
      <c r="E98" t="s">
        <v>103</v>
      </c>
      <c r="F98">
        <v>12106</v>
      </c>
      <c r="G98">
        <v>19</v>
      </c>
      <c r="H98">
        <v>14406</v>
      </c>
      <c r="I98" t="s">
        <v>24</v>
      </c>
      <c r="J98" t="s">
        <v>25</v>
      </c>
      <c r="K98">
        <v>0</v>
      </c>
      <c r="L98">
        <v>0</v>
      </c>
      <c r="M98" t="s">
        <v>25</v>
      </c>
      <c r="N98" t="s">
        <v>25</v>
      </c>
      <c r="O98" t="s">
        <v>26</v>
      </c>
      <c r="P98" t="s">
        <v>25</v>
      </c>
      <c r="Q98" t="s">
        <v>27</v>
      </c>
      <c r="R98" t="s">
        <v>28</v>
      </c>
    </row>
    <row r="99" spans="1:18">
      <c r="A99">
        <v>98</v>
      </c>
      <c r="B99" t="s">
        <v>137</v>
      </c>
      <c r="C99" t="s">
        <v>102</v>
      </c>
      <c r="D99" t="s">
        <v>22</v>
      </c>
      <c r="E99" t="s">
        <v>103</v>
      </c>
      <c r="F99">
        <v>5950</v>
      </c>
      <c r="G99">
        <v>19</v>
      </c>
      <c r="H99">
        <v>7081</v>
      </c>
      <c r="I99" t="s">
        <v>24</v>
      </c>
      <c r="J99" t="s">
        <v>25</v>
      </c>
      <c r="K99">
        <v>0</v>
      </c>
      <c r="L99">
        <v>0</v>
      </c>
      <c r="M99" t="s">
        <v>25</v>
      </c>
      <c r="N99" t="s">
        <v>25</v>
      </c>
      <c r="O99" t="s">
        <v>26</v>
      </c>
      <c r="P99" t="s">
        <v>25</v>
      </c>
      <c r="Q99" t="s">
        <v>27</v>
      </c>
      <c r="R99" t="s">
        <v>28</v>
      </c>
    </row>
    <row r="100" spans="1:18">
      <c r="A100">
        <v>99</v>
      </c>
      <c r="B100" t="s">
        <v>138</v>
      </c>
      <c r="C100" t="s">
        <v>102</v>
      </c>
      <c r="D100" t="s">
        <v>22</v>
      </c>
      <c r="E100" t="s">
        <v>103</v>
      </c>
      <c r="F100">
        <v>6811</v>
      </c>
      <c r="G100">
        <v>19</v>
      </c>
      <c r="H100">
        <v>8105</v>
      </c>
      <c r="I100" t="s">
        <v>24</v>
      </c>
      <c r="J100" t="s">
        <v>25</v>
      </c>
      <c r="K100">
        <v>0</v>
      </c>
      <c r="L100">
        <v>0</v>
      </c>
      <c r="M100" t="s">
        <v>25</v>
      </c>
      <c r="N100" t="s">
        <v>25</v>
      </c>
      <c r="O100" t="s">
        <v>26</v>
      </c>
      <c r="P100" t="s">
        <v>25</v>
      </c>
      <c r="Q100" t="s">
        <v>27</v>
      </c>
      <c r="R100" t="s">
        <v>28</v>
      </c>
    </row>
    <row r="101" spans="1:18">
      <c r="A101">
        <v>100</v>
      </c>
      <c r="B101" t="s">
        <v>139</v>
      </c>
      <c r="C101" t="s">
        <v>102</v>
      </c>
      <c r="D101" t="s">
        <v>22</v>
      </c>
      <c r="E101" t="s">
        <v>103</v>
      </c>
      <c r="F101">
        <v>5208</v>
      </c>
      <c r="G101">
        <v>19</v>
      </c>
      <c r="H101">
        <v>6198</v>
      </c>
      <c r="I101" t="s">
        <v>24</v>
      </c>
      <c r="J101" t="s">
        <v>25</v>
      </c>
      <c r="K101">
        <v>0</v>
      </c>
      <c r="L101">
        <v>0</v>
      </c>
      <c r="M101" t="s">
        <v>25</v>
      </c>
      <c r="N101" t="s">
        <v>25</v>
      </c>
      <c r="O101" t="s">
        <v>26</v>
      </c>
      <c r="P101" t="s">
        <v>25</v>
      </c>
      <c r="Q101" t="s">
        <v>27</v>
      </c>
      <c r="R101" t="s">
        <v>28</v>
      </c>
    </row>
    <row r="102" spans="1:18">
      <c r="A102">
        <v>101</v>
      </c>
      <c r="B102" t="s">
        <v>140</v>
      </c>
      <c r="C102" t="s">
        <v>102</v>
      </c>
      <c r="D102" t="s">
        <v>22</v>
      </c>
      <c r="E102" t="s">
        <v>103</v>
      </c>
      <c r="F102">
        <v>6222</v>
      </c>
      <c r="G102">
        <v>19</v>
      </c>
      <c r="H102">
        <v>7404</v>
      </c>
      <c r="I102" t="s">
        <v>24</v>
      </c>
      <c r="J102" t="s">
        <v>25</v>
      </c>
      <c r="K102">
        <v>0</v>
      </c>
      <c r="L102">
        <v>0</v>
      </c>
      <c r="M102" t="s">
        <v>25</v>
      </c>
      <c r="N102" t="s">
        <v>25</v>
      </c>
      <c r="O102" t="s">
        <v>26</v>
      </c>
      <c r="P102" t="s">
        <v>25</v>
      </c>
      <c r="Q102" t="s">
        <v>27</v>
      </c>
      <c r="R102" t="s">
        <v>28</v>
      </c>
    </row>
    <row r="103" spans="1:18">
      <c r="A103">
        <v>102</v>
      </c>
      <c r="B103" t="s">
        <v>141</v>
      </c>
      <c r="C103" t="s">
        <v>102</v>
      </c>
      <c r="D103" t="s">
        <v>22</v>
      </c>
      <c r="E103" t="s">
        <v>103</v>
      </c>
      <c r="F103">
        <v>6222</v>
      </c>
      <c r="G103">
        <v>19</v>
      </c>
      <c r="H103">
        <v>7404</v>
      </c>
      <c r="I103" t="s">
        <v>24</v>
      </c>
      <c r="J103" t="s">
        <v>25</v>
      </c>
      <c r="K103">
        <v>0</v>
      </c>
      <c r="L103">
        <v>0</v>
      </c>
      <c r="M103" t="s">
        <v>25</v>
      </c>
      <c r="N103" t="s">
        <v>25</v>
      </c>
      <c r="O103" t="s">
        <v>26</v>
      </c>
      <c r="P103" t="s">
        <v>25</v>
      </c>
      <c r="Q103" t="s">
        <v>27</v>
      </c>
      <c r="R103" t="s">
        <v>28</v>
      </c>
    </row>
    <row r="104" spans="1:18">
      <c r="A104">
        <v>103</v>
      </c>
      <c r="B104" t="s">
        <v>142</v>
      </c>
      <c r="C104" t="s">
        <v>102</v>
      </c>
      <c r="D104" t="s">
        <v>22</v>
      </c>
      <c r="E104" t="s">
        <v>103</v>
      </c>
      <c r="F104">
        <v>10280</v>
      </c>
      <c r="G104">
        <v>19</v>
      </c>
      <c r="H104">
        <v>12233</v>
      </c>
      <c r="I104" t="s">
        <v>24</v>
      </c>
      <c r="J104" t="s">
        <v>25</v>
      </c>
      <c r="K104">
        <v>0</v>
      </c>
      <c r="L104">
        <v>0</v>
      </c>
      <c r="M104" t="s">
        <v>25</v>
      </c>
      <c r="N104" t="s">
        <v>25</v>
      </c>
      <c r="O104" t="s">
        <v>26</v>
      </c>
      <c r="P104" t="s">
        <v>25</v>
      </c>
      <c r="Q104" t="s">
        <v>27</v>
      </c>
      <c r="R104" t="s">
        <v>28</v>
      </c>
    </row>
    <row r="105" spans="1:18">
      <c r="A105">
        <v>104</v>
      </c>
      <c r="B105" t="s">
        <v>143</v>
      </c>
      <c r="C105" t="s">
        <v>102</v>
      </c>
      <c r="D105" t="s">
        <v>22</v>
      </c>
      <c r="E105" t="s">
        <v>103</v>
      </c>
      <c r="F105">
        <v>59434</v>
      </c>
      <c r="G105">
        <v>19</v>
      </c>
      <c r="H105">
        <v>70726</v>
      </c>
      <c r="I105" t="s">
        <v>24</v>
      </c>
      <c r="J105" t="s">
        <v>25</v>
      </c>
      <c r="K105">
        <v>0</v>
      </c>
      <c r="L105">
        <v>0</v>
      </c>
      <c r="M105" t="s">
        <v>25</v>
      </c>
      <c r="N105" t="s">
        <v>25</v>
      </c>
      <c r="O105" t="s">
        <v>26</v>
      </c>
      <c r="P105" t="s">
        <v>25</v>
      </c>
      <c r="Q105" t="s">
        <v>27</v>
      </c>
      <c r="R105" t="s">
        <v>28</v>
      </c>
    </row>
    <row r="106" spans="1:18">
      <c r="A106">
        <v>105</v>
      </c>
      <c r="B106" t="s">
        <v>144</v>
      </c>
      <c r="C106" t="s">
        <v>102</v>
      </c>
      <c r="D106" t="s">
        <v>22</v>
      </c>
      <c r="E106" t="s">
        <v>103</v>
      </c>
      <c r="F106">
        <v>79244</v>
      </c>
      <c r="G106">
        <v>19</v>
      </c>
      <c r="H106">
        <v>94300</v>
      </c>
      <c r="I106" t="s">
        <v>24</v>
      </c>
      <c r="J106" t="s">
        <v>25</v>
      </c>
      <c r="K106">
        <v>0</v>
      </c>
      <c r="L106">
        <v>0</v>
      </c>
      <c r="M106" t="s">
        <v>25</v>
      </c>
      <c r="N106" t="s">
        <v>25</v>
      </c>
      <c r="O106" t="s">
        <v>26</v>
      </c>
      <c r="P106" t="s">
        <v>25</v>
      </c>
      <c r="Q106" t="s">
        <v>27</v>
      </c>
      <c r="R106" t="s">
        <v>28</v>
      </c>
    </row>
    <row r="107" spans="1:18">
      <c r="A107">
        <v>106</v>
      </c>
      <c r="B107" t="s">
        <v>145</v>
      </c>
      <c r="C107" t="s">
        <v>102</v>
      </c>
      <c r="D107" t="s">
        <v>22</v>
      </c>
      <c r="E107" t="s">
        <v>103</v>
      </c>
      <c r="F107">
        <v>40404</v>
      </c>
      <c r="G107">
        <v>19</v>
      </c>
      <c r="H107">
        <v>48081</v>
      </c>
      <c r="I107" t="s">
        <v>24</v>
      </c>
      <c r="J107" t="s">
        <v>25</v>
      </c>
      <c r="K107">
        <v>0</v>
      </c>
      <c r="L107">
        <v>0</v>
      </c>
      <c r="M107" t="s">
        <v>25</v>
      </c>
      <c r="N107" t="s">
        <v>25</v>
      </c>
      <c r="O107" t="s">
        <v>26</v>
      </c>
      <c r="P107" t="s">
        <v>25</v>
      </c>
      <c r="Q107" t="s">
        <v>27</v>
      </c>
      <c r="R107" t="s">
        <v>28</v>
      </c>
    </row>
    <row r="108" spans="1:18">
      <c r="A108">
        <v>107</v>
      </c>
      <c r="B108" t="s">
        <v>146</v>
      </c>
      <c r="C108" t="s">
        <v>102</v>
      </c>
      <c r="D108" t="s">
        <v>22</v>
      </c>
      <c r="E108" t="s">
        <v>103</v>
      </c>
      <c r="F108">
        <v>72346</v>
      </c>
      <c r="G108">
        <v>19</v>
      </c>
      <c r="H108">
        <v>86092</v>
      </c>
      <c r="I108" t="s">
        <v>24</v>
      </c>
      <c r="J108" t="s">
        <v>25</v>
      </c>
      <c r="K108">
        <v>0</v>
      </c>
      <c r="L108">
        <v>0</v>
      </c>
      <c r="M108" t="s">
        <v>25</v>
      </c>
      <c r="N108" t="s">
        <v>25</v>
      </c>
      <c r="O108" t="s">
        <v>26</v>
      </c>
      <c r="P108" t="s">
        <v>25</v>
      </c>
      <c r="Q108" t="s">
        <v>27</v>
      </c>
      <c r="R108" t="s">
        <v>28</v>
      </c>
    </row>
    <row r="109" spans="1:18">
      <c r="A109">
        <v>108</v>
      </c>
      <c r="B109" t="s">
        <v>147</v>
      </c>
      <c r="C109" t="s">
        <v>102</v>
      </c>
      <c r="D109" t="s">
        <v>22</v>
      </c>
      <c r="E109" t="s">
        <v>103</v>
      </c>
      <c r="F109">
        <v>21557</v>
      </c>
      <c r="G109">
        <v>19</v>
      </c>
      <c r="H109">
        <v>25653</v>
      </c>
      <c r="I109" t="s">
        <v>24</v>
      </c>
      <c r="J109" t="s">
        <v>25</v>
      </c>
      <c r="K109">
        <v>0</v>
      </c>
      <c r="L109">
        <v>0</v>
      </c>
      <c r="M109" t="s">
        <v>25</v>
      </c>
      <c r="N109" t="s">
        <v>25</v>
      </c>
      <c r="O109" t="s">
        <v>26</v>
      </c>
      <c r="P109" t="s">
        <v>25</v>
      </c>
      <c r="Q109" t="s">
        <v>27</v>
      </c>
      <c r="R109" t="s">
        <v>28</v>
      </c>
    </row>
    <row r="110" spans="1:18">
      <c r="A110">
        <v>109</v>
      </c>
      <c r="B110" t="s">
        <v>148</v>
      </c>
      <c r="C110" t="s">
        <v>102</v>
      </c>
      <c r="D110" t="s">
        <v>22</v>
      </c>
      <c r="E110" t="s">
        <v>103</v>
      </c>
      <c r="F110">
        <v>5426</v>
      </c>
      <c r="G110">
        <v>19</v>
      </c>
      <c r="H110">
        <v>6457</v>
      </c>
      <c r="I110" t="s">
        <v>24</v>
      </c>
      <c r="J110" t="s">
        <v>25</v>
      </c>
      <c r="K110">
        <v>0</v>
      </c>
      <c r="L110">
        <v>0</v>
      </c>
      <c r="M110" t="s">
        <v>25</v>
      </c>
      <c r="N110" t="s">
        <v>25</v>
      </c>
      <c r="O110" t="s">
        <v>26</v>
      </c>
      <c r="P110" t="s">
        <v>25</v>
      </c>
      <c r="Q110" t="s">
        <v>27</v>
      </c>
      <c r="R110" t="s">
        <v>28</v>
      </c>
    </row>
    <row r="111" spans="1:18">
      <c r="A111">
        <v>110</v>
      </c>
      <c r="B111" t="s">
        <v>149</v>
      </c>
      <c r="C111" t="s">
        <v>102</v>
      </c>
      <c r="D111" t="s">
        <v>22</v>
      </c>
      <c r="E111" t="s">
        <v>103</v>
      </c>
      <c r="F111">
        <v>2805</v>
      </c>
      <c r="G111">
        <v>19</v>
      </c>
      <c r="H111">
        <v>3338</v>
      </c>
      <c r="I111" t="s">
        <v>24</v>
      </c>
      <c r="J111" t="s">
        <v>25</v>
      </c>
      <c r="K111">
        <v>0</v>
      </c>
      <c r="L111">
        <v>0</v>
      </c>
      <c r="M111" t="s">
        <v>25</v>
      </c>
      <c r="N111" t="s">
        <v>25</v>
      </c>
      <c r="O111" t="s">
        <v>26</v>
      </c>
      <c r="P111" t="s">
        <v>25</v>
      </c>
      <c r="Q111" t="s">
        <v>27</v>
      </c>
      <c r="R111" t="s">
        <v>28</v>
      </c>
    </row>
    <row r="112" spans="1:18">
      <c r="A112">
        <v>111</v>
      </c>
      <c r="B112" t="s">
        <v>150</v>
      </c>
      <c r="C112" t="s">
        <v>102</v>
      </c>
      <c r="D112" t="s">
        <v>22</v>
      </c>
      <c r="E112" t="s">
        <v>103</v>
      </c>
      <c r="F112">
        <v>9558</v>
      </c>
      <c r="G112">
        <v>19</v>
      </c>
      <c r="H112">
        <v>11374</v>
      </c>
      <c r="I112" t="s">
        <v>24</v>
      </c>
      <c r="J112" t="s">
        <v>25</v>
      </c>
      <c r="K112">
        <v>0</v>
      </c>
      <c r="L112">
        <v>0</v>
      </c>
      <c r="M112" t="s">
        <v>25</v>
      </c>
      <c r="N112" t="s">
        <v>25</v>
      </c>
      <c r="O112" t="s">
        <v>26</v>
      </c>
      <c r="P112" t="s">
        <v>25</v>
      </c>
      <c r="Q112" t="s">
        <v>27</v>
      </c>
      <c r="R112" t="s">
        <v>28</v>
      </c>
    </row>
    <row r="113" spans="1:18">
      <c r="A113">
        <v>112</v>
      </c>
      <c r="B113" t="s">
        <v>151</v>
      </c>
      <c r="C113" t="s">
        <v>102</v>
      </c>
      <c r="D113" t="s">
        <v>22</v>
      </c>
      <c r="E113" t="s">
        <v>103</v>
      </c>
      <c r="F113">
        <v>25307</v>
      </c>
      <c r="G113">
        <v>19</v>
      </c>
      <c r="H113">
        <v>30115</v>
      </c>
      <c r="I113" t="s">
        <v>24</v>
      </c>
      <c r="J113" t="s">
        <v>25</v>
      </c>
      <c r="K113">
        <v>0</v>
      </c>
      <c r="L113">
        <v>0</v>
      </c>
      <c r="M113" t="s">
        <v>25</v>
      </c>
      <c r="N113" t="s">
        <v>25</v>
      </c>
      <c r="O113" t="s">
        <v>26</v>
      </c>
      <c r="P113" t="s">
        <v>25</v>
      </c>
      <c r="Q113" t="s">
        <v>27</v>
      </c>
      <c r="R113" t="s">
        <v>28</v>
      </c>
    </row>
    <row r="114" spans="1:18">
      <c r="A114">
        <v>113</v>
      </c>
      <c r="B114" t="s">
        <v>152</v>
      </c>
      <c r="C114" t="s">
        <v>102</v>
      </c>
      <c r="D114" t="s">
        <v>22</v>
      </c>
      <c r="E114" t="s">
        <v>103</v>
      </c>
      <c r="F114">
        <v>10988</v>
      </c>
      <c r="G114">
        <v>19</v>
      </c>
      <c r="H114">
        <v>13076</v>
      </c>
      <c r="I114" t="s">
        <v>24</v>
      </c>
      <c r="J114" t="s">
        <v>25</v>
      </c>
      <c r="K114">
        <v>0</v>
      </c>
      <c r="L114">
        <v>0</v>
      </c>
      <c r="M114" t="s">
        <v>25</v>
      </c>
      <c r="N114" t="s">
        <v>25</v>
      </c>
      <c r="O114" t="s">
        <v>26</v>
      </c>
      <c r="P114" t="s">
        <v>25</v>
      </c>
      <c r="Q114" t="s">
        <v>27</v>
      </c>
      <c r="R114" t="s">
        <v>28</v>
      </c>
    </row>
    <row r="115" spans="1:18">
      <c r="A115">
        <v>114</v>
      </c>
      <c r="B115" t="s">
        <v>153</v>
      </c>
      <c r="C115" t="s">
        <v>102</v>
      </c>
      <c r="D115" t="s">
        <v>22</v>
      </c>
      <c r="E115" t="s">
        <v>103</v>
      </c>
      <c r="F115">
        <v>15115</v>
      </c>
      <c r="G115">
        <v>19</v>
      </c>
      <c r="H115">
        <v>17987</v>
      </c>
      <c r="I115" t="s">
        <v>24</v>
      </c>
      <c r="J115" t="s">
        <v>25</v>
      </c>
      <c r="K115">
        <v>0</v>
      </c>
      <c r="L115">
        <v>0</v>
      </c>
      <c r="M115" t="s">
        <v>25</v>
      </c>
      <c r="N115" t="s">
        <v>25</v>
      </c>
      <c r="O115" t="s">
        <v>26</v>
      </c>
      <c r="P115" t="s">
        <v>25</v>
      </c>
      <c r="Q115" t="s">
        <v>27</v>
      </c>
      <c r="R115" t="s">
        <v>28</v>
      </c>
    </row>
    <row r="116" spans="1:18">
      <c r="A116">
        <v>115</v>
      </c>
      <c r="B116" t="s">
        <v>154</v>
      </c>
      <c r="C116" t="s">
        <v>102</v>
      </c>
      <c r="D116" t="s">
        <v>22</v>
      </c>
      <c r="E116" t="s">
        <v>103</v>
      </c>
      <c r="F116">
        <v>11721</v>
      </c>
      <c r="G116">
        <v>19</v>
      </c>
      <c r="H116">
        <v>13948</v>
      </c>
      <c r="I116" t="s">
        <v>24</v>
      </c>
      <c r="J116" t="s">
        <v>25</v>
      </c>
      <c r="K116">
        <v>0</v>
      </c>
      <c r="L116">
        <v>0</v>
      </c>
      <c r="M116" t="s">
        <v>25</v>
      </c>
      <c r="N116" t="s">
        <v>25</v>
      </c>
      <c r="O116" t="s">
        <v>26</v>
      </c>
      <c r="P116" t="s">
        <v>25</v>
      </c>
      <c r="Q116" t="s">
        <v>27</v>
      </c>
      <c r="R116" t="s">
        <v>28</v>
      </c>
    </row>
    <row r="117" spans="1:18">
      <c r="A117">
        <v>116</v>
      </c>
      <c r="B117" t="s">
        <v>155</v>
      </c>
      <c r="C117" t="s">
        <v>102</v>
      </c>
      <c r="D117" t="s">
        <v>22</v>
      </c>
      <c r="E117" t="s">
        <v>103</v>
      </c>
      <c r="F117">
        <v>12695</v>
      </c>
      <c r="G117">
        <v>19</v>
      </c>
      <c r="H117">
        <v>15107</v>
      </c>
      <c r="I117" t="s">
        <v>24</v>
      </c>
      <c r="J117" t="s">
        <v>25</v>
      </c>
      <c r="K117">
        <v>0</v>
      </c>
      <c r="L117">
        <v>0</v>
      </c>
      <c r="M117" t="s">
        <v>25</v>
      </c>
      <c r="N117" t="s">
        <v>25</v>
      </c>
      <c r="O117" t="s">
        <v>26</v>
      </c>
      <c r="P117" t="s">
        <v>25</v>
      </c>
      <c r="Q117" t="s">
        <v>27</v>
      </c>
      <c r="R117" t="s">
        <v>28</v>
      </c>
    </row>
    <row r="118" spans="1:18">
      <c r="A118">
        <v>117</v>
      </c>
      <c r="B118" t="s">
        <v>156</v>
      </c>
      <c r="C118" t="s">
        <v>102</v>
      </c>
      <c r="D118" t="s">
        <v>22</v>
      </c>
      <c r="E118" t="s">
        <v>103</v>
      </c>
      <c r="F118">
        <v>9926</v>
      </c>
      <c r="G118">
        <v>19</v>
      </c>
      <c r="H118">
        <v>11812</v>
      </c>
      <c r="I118" t="s">
        <v>24</v>
      </c>
      <c r="J118" t="s">
        <v>25</v>
      </c>
      <c r="K118">
        <v>0</v>
      </c>
      <c r="L118">
        <v>0</v>
      </c>
      <c r="M118" t="s">
        <v>25</v>
      </c>
      <c r="N118" t="s">
        <v>25</v>
      </c>
      <c r="O118" t="s">
        <v>26</v>
      </c>
      <c r="P118" t="s">
        <v>25</v>
      </c>
      <c r="Q118" t="s">
        <v>27</v>
      </c>
      <c r="R118" t="s">
        <v>28</v>
      </c>
    </row>
    <row r="119" spans="1:18">
      <c r="A119">
        <v>118</v>
      </c>
      <c r="B119" t="s">
        <v>157</v>
      </c>
      <c r="C119" t="s">
        <v>102</v>
      </c>
      <c r="D119" t="s">
        <v>22</v>
      </c>
      <c r="E119" t="s">
        <v>103</v>
      </c>
      <c r="F119">
        <v>5824</v>
      </c>
      <c r="G119">
        <v>19</v>
      </c>
      <c r="H119">
        <v>6931</v>
      </c>
      <c r="I119" t="s">
        <v>24</v>
      </c>
      <c r="J119" t="s">
        <v>25</v>
      </c>
      <c r="K119">
        <v>0</v>
      </c>
      <c r="L119">
        <v>0</v>
      </c>
      <c r="M119" t="s">
        <v>25</v>
      </c>
      <c r="N119" t="s">
        <v>25</v>
      </c>
      <c r="O119" t="s">
        <v>26</v>
      </c>
      <c r="P119" t="s">
        <v>25</v>
      </c>
      <c r="Q119" t="s">
        <v>27</v>
      </c>
      <c r="R119" t="s">
        <v>28</v>
      </c>
    </row>
    <row r="120" spans="1:18">
      <c r="A120">
        <v>119</v>
      </c>
      <c r="B120" t="s">
        <v>158</v>
      </c>
      <c r="C120" t="s">
        <v>102</v>
      </c>
      <c r="D120" t="s">
        <v>22</v>
      </c>
      <c r="E120" t="s">
        <v>103</v>
      </c>
      <c r="F120">
        <v>2460</v>
      </c>
      <c r="G120">
        <v>19</v>
      </c>
      <c r="H120">
        <v>2927</v>
      </c>
      <c r="I120" t="s">
        <v>24</v>
      </c>
      <c r="J120" t="s">
        <v>25</v>
      </c>
      <c r="K120">
        <v>0</v>
      </c>
      <c r="L120">
        <v>0</v>
      </c>
      <c r="M120" t="s">
        <v>25</v>
      </c>
      <c r="N120" t="s">
        <v>25</v>
      </c>
      <c r="O120" t="s">
        <v>26</v>
      </c>
      <c r="P120" t="s">
        <v>25</v>
      </c>
      <c r="Q120" t="s">
        <v>27</v>
      </c>
      <c r="R120" t="s">
        <v>28</v>
      </c>
    </row>
    <row r="121" spans="1:18">
      <c r="A121">
        <v>120</v>
      </c>
      <c r="B121" t="s">
        <v>159</v>
      </c>
      <c r="C121" t="s">
        <v>102</v>
      </c>
      <c r="D121" t="s">
        <v>22</v>
      </c>
      <c r="E121" t="s">
        <v>103</v>
      </c>
      <c r="F121">
        <v>8181</v>
      </c>
      <c r="G121">
        <v>19</v>
      </c>
      <c r="H121">
        <v>9735</v>
      </c>
      <c r="I121" t="s">
        <v>24</v>
      </c>
      <c r="J121" t="s">
        <v>25</v>
      </c>
      <c r="K121">
        <v>0</v>
      </c>
      <c r="L121">
        <v>0</v>
      </c>
      <c r="M121" t="s">
        <v>25</v>
      </c>
      <c r="N121" t="s">
        <v>25</v>
      </c>
      <c r="O121" t="s">
        <v>26</v>
      </c>
      <c r="P121" t="s">
        <v>25</v>
      </c>
      <c r="Q121" t="s">
        <v>27</v>
      </c>
      <c r="R121" t="s">
        <v>28</v>
      </c>
    </row>
    <row r="122" spans="1:18">
      <c r="A122">
        <v>121</v>
      </c>
      <c r="B122" t="s">
        <v>160</v>
      </c>
      <c r="C122" t="s">
        <v>102</v>
      </c>
      <c r="D122" t="s">
        <v>22</v>
      </c>
      <c r="E122" t="s">
        <v>103</v>
      </c>
      <c r="F122">
        <v>20715</v>
      </c>
      <c r="G122">
        <v>19</v>
      </c>
      <c r="H122">
        <v>24651</v>
      </c>
      <c r="I122" t="s">
        <v>24</v>
      </c>
      <c r="J122" t="s">
        <v>25</v>
      </c>
      <c r="K122">
        <v>0</v>
      </c>
      <c r="L122">
        <v>0</v>
      </c>
      <c r="M122" t="s">
        <v>25</v>
      </c>
      <c r="N122" t="s">
        <v>25</v>
      </c>
      <c r="O122" t="s">
        <v>26</v>
      </c>
      <c r="P122" t="s">
        <v>25</v>
      </c>
      <c r="Q122" t="s">
        <v>27</v>
      </c>
      <c r="R122" t="s">
        <v>28</v>
      </c>
    </row>
    <row r="123" spans="1:18">
      <c r="A123">
        <v>122</v>
      </c>
      <c r="B123" t="s">
        <v>161</v>
      </c>
      <c r="C123" t="s">
        <v>102</v>
      </c>
      <c r="D123" t="s">
        <v>22</v>
      </c>
      <c r="E123" t="s">
        <v>103</v>
      </c>
      <c r="F123">
        <v>4093</v>
      </c>
      <c r="G123">
        <v>19</v>
      </c>
      <c r="H123">
        <v>4871</v>
      </c>
      <c r="I123" t="s">
        <v>24</v>
      </c>
      <c r="J123" t="s">
        <v>25</v>
      </c>
      <c r="K123">
        <v>0</v>
      </c>
      <c r="L123">
        <v>0</v>
      </c>
      <c r="M123" t="s">
        <v>25</v>
      </c>
      <c r="N123" t="s">
        <v>25</v>
      </c>
      <c r="O123" t="s">
        <v>26</v>
      </c>
      <c r="P123" t="s">
        <v>25</v>
      </c>
      <c r="Q123" t="s">
        <v>27</v>
      </c>
      <c r="R123" t="s">
        <v>28</v>
      </c>
    </row>
    <row r="124" spans="1:18">
      <c r="A124">
        <v>123</v>
      </c>
      <c r="B124" t="s">
        <v>162</v>
      </c>
      <c r="C124" t="s">
        <v>102</v>
      </c>
      <c r="D124" t="s">
        <v>22</v>
      </c>
      <c r="E124" t="s">
        <v>163</v>
      </c>
      <c r="F124">
        <v>5459</v>
      </c>
      <c r="G124">
        <v>19</v>
      </c>
      <c r="H124">
        <v>6496</v>
      </c>
      <c r="I124" t="s">
        <v>24</v>
      </c>
      <c r="J124" t="s">
        <v>25</v>
      </c>
      <c r="K124">
        <v>0</v>
      </c>
      <c r="L124">
        <v>0</v>
      </c>
      <c r="M124" t="s">
        <v>25</v>
      </c>
      <c r="N124" t="s">
        <v>25</v>
      </c>
      <c r="O124" t="s">
        <v>26</v>
      </c>
      <c r="P124" t="s">
        <v>25</v>
      </c>
      <c r="Q124" t="s">
        <v>27</v>
      </c>
      <c r="R124" t="s">
        <v>28</v>
      </c>
    </row>
    <row r="125" spans="1:18">
      <c r="A125">
        <v>124</v>
      </c>
      <c r="B125" t="s">
        <v>164</v>
      </c>
      <c r="C125" t="s">
        <v>102</v>
      </c>
      <c r="D125" t="s">
        <v>22</v>
      </c>
      <c r="E125" t="s">
        <v>163</v>
      </c>
      <c r="F125">
        <v>19011</v>
      </c>
      <c r="G125">
        <v>19</v>
      </c>
      <c r="H125">
        <v>22623</v>
      </c>
      <c r="I125" t="s">
        <v>24</v>
      </c>
      <c r="J125" t="s">
        <v>25</v>
      </c>
      <c r="K125">
        <v>0</v>
      </c>
      <c r="L125">
        <v>0</v>
      </c>
      <c r="M125" t="s">
        <v>25</v>
      </c>
      <c r="N125" t="s">
        <v>25</v>
      </c>
      <c r="O125" t="s">
        <v>26</v>
      </c>
      <c r="P125" t="s">
        <v>25</v>
      </c>
      <c r="Q125" t="s">
        <v>27</v>
      </c>
      <c r="R125" t="s">
        <v>28</v>
      </c>
    </row>
    <row r="126" spans="1:18">
      <c r="A126">
        <v>125</v>
      </c>
      <c r="B126" t="s">
        <v>165</v>
      </c>
      <c r="C126" t="s">
        <v>102</v>
      </c>
      <c r="D126" t="s">
        <v>22</v>
      </c>
      <c r="E126" t="s">
        <v>163</v>
      </c>
      <c r="F126">
        <v>72128</v>
      </c>
      <c r="G126">
        <v>19</v>
      </c>
      <c r="H126">
        <v>85832</v>
      </c>
      <c r="I126" t="s">
        <v>24</v>
      </c>
      <c r="J126" t="s">
        <v>25</v>
      </c>
      <c r="K126">
        <v>0</v>
      </c>
      <c r="L126">
        <v>0</v>
      </c>
      <c r="M126" t="s">
        <v>25</v>
      </c>
      <c r="N126" t="s">
        <v>25</v>
      </c>
      <c r="O126" t="s">
        <v>26</v>
      </c>
      <c r="P126" t="s">
        <v>25</v>
      </c>
      <c r="Q126" t="s">
        <v>27</v>
      </c>
      <c r="R126" t="s">
        <v>28</v>
      </c>
    </row>
    <row r="127" spans="1:18">
      <c r="A127">
        <v>126</v>
      </c>
      <c r="B127" t="s">
        <v>166</v>
      </c>
      <c r="C127" t="s">
        <v>102</v>
      </c>
      <c r="D127" t="s">
        <v>22</v>
      </c>
      <c r="E127" t="s">
        <v>163</v>
      </c>
      <c r="F127">
        <v>6704</v>
      </c>
      <c r="G127">
        <v>19</v>
      </c>
      <c r="H127">
        <v>7978</v>
      </c>
      <c r="I127" t="s">
        <v>24</v>
      </c>
      <c r="J127" t="s">
        <v>25</v>
      </c>
      <c r="K127">
        <v>0</v>
      </c>
      <c r="L127">
        <v>0</v>
      </c>
      <c r="M127" t="s">
        <v>25</v>
      </c>
      <c r="N127" t="s">
        <v>25</v>
      </c>
      <c r="O127" t="s">
        <v>26</v>
      </c>
      <c r="P127" t="s">
        <v>25</v>
      </c>
      <c r="Q127" t="s">
        <v>27</v>
      </c>
      <c r="R127" t="s">
        <v>28</v>
      </c>
    </row>
    <row r="128" spans="1:18">
      <c r="A128">
        <v>127</v>
      </c>
      <c r="B128" t="s">
        <v>167</v>
      </c>
      <c r="C128" t="s">
        <v>102</v>
      </c>
      <c r="D128" t="s">
        <v>22</v>
      </c>
      <c r="E128" t="s">
        <v>163</v>
      </c>
      <c r="F128">
        <v>48536</v>
      </c>
      <c r="G128">
        <v>19</v>
      </c>
      <c r="H128">
        <v>57758</v>
      </c>
      <c r="I128" t="s">
        <v>24</v>
      </c>
      <c r="J128" t="s">
        <v>25</v>
      </c>
      <c r="K128">
        <v>0</v>
      </c>
      <c r="L128">
        <v>0</v>
      </c>
      <c r="M128" t="s">
        <v>25</v>
      </c>
      <c r="N128" t="s">
        <v>25</v>
      </c>
      <c r="O128" t="s">
        <v>26</v>
      </c>
      <c r="P128" t="s">
        <v>25</v>
      </c>
      <c r="Q128" t="s">
        <v>27</v>
      </c>
      <c r="R128" t="s">
        <v>28</v>
      </c>
    </row>
    <row r="129" spans="1:18">
      <c r="A129">
        <v>128</v>
      </c>
      <c r="B129" t="s">
        <v>168</v>
      </c>
      <c r="C129" t="s">
        <v>102</v>
      </c>
      <c r="D129" t="s">
        <v>22</v>
      </c>
      <c r="E129" t="s">
        <v>163</v>
      </c>
      <c r="F129">
        <v>1127</v>
      </c>
      <c r="G129">
        <v>19</v>
      </c>
      <c r="H129">
        <v>1341</v>
      </c>
      <c r="I129" t="s">
        <v>24</v>
      </c>
      <c r="J129" t="s">
        <v>25</v>
      </c>
      <c r="K129">
        <v>0</v>
      </c>
      <c r="L129">
        <v>0</v>
      </c>
      <c r="M129" t="s">
        <v>25</v>
      </c>
      <c r="N129" t="s">
        <v>25</v>
      </c>
      <c r="O129" t="s">
        <v>26</v>
      </c>
      <c r="P129" t="s">
        <v>25</v>
      </c>
      <c r="Q129" t="s">
        <v>27</v>
      </c>
      <c r="R129" t="s">
        <v>28</v>
      </c>
    </row>
    <row r="130" spans="1:18">
      <c r="A130">
        <v>129</v>
      </c>
      <c r="B130" t="s">
        <v>169</v>
      </c>
      <c r="C130" t="s">
        <v>102</v>
      </c>
      <c r="D130" t="s">
        <v>22</v>
      </c>
      <c r="E130" t="s">
        <v>163</v>
      </c>
      <c r="F130">
        <v>3295</v>
      </c>
      <c r="G130">
        <v>19</v>
      </c>
      <c r="H130">
        <v>3921</v>
      </c>
      <c r="I130" t="s">
        <v>24</v>
      </c>
      <c r="J130" t="s">
        <v>25</v>
      </c>
      <c r="K130">
        <v>0</v>
      </c>
      <c r="L130">
        <v>0</v>
      </c>
      <c r="M130" t="s">
        <v>25</v>
      </c>
      <c r="N130" t="s">
        <v>25</v>
      </c>
      <c r="O130" t="s">
        <v>26</v>
      </c>
      <c r="P130" t="s">
        <v>25</v>
      </c>
      <c r="Q130" t="s">
        <v>27</v>
      </c>
      <c r="R130" t="s">
        <v>28</v>
      </c>
    </row>
    <row r="131" spans="1:18">
      <c r="A131">
        <v>130</v>
      </c>
      <c r="B131" t="s">
        <v>170</v>
      </c>
      <c r="C131" t="s">
        <v>102</v>
      </c>
      <c r="D131" t="s">
        <v>22</v>
      </c>
      <c r="E131" t="s">
        <v>163</v>
      </c>
      <c r="F131">
        <v>4176</v>
      </c>
      <c r="G131">
        <v>19</v>
      </c>
      <c r="H131">
        <v>4969</v>
      </c>
      <c r="I131" t="s">
        <v>24</v>
      </c>
      <c r="J131" t="s">
        <v>25</v>
      </c>
      <c r="K131">
        <v>0</v>
      </c>
      <c r="L131">
        <v>0</v>
      </c>
      <c r="M131" t="s">
        <v>25</v>
      </c>
      <c r="N131" t="s">
        <v>25</v>
      </c>
      <c r="O131" t="s">
        <v>26</v>
      </c>
      <c r="P131" t="s">
        <v>25</v>
      </c>
      <c r="Q131" t="s">
        <v>27</v>
      </c>
      <c r="R131" t="s">
        <v>28</v>
      </c>
    </row>
    <row r="132" spans="1:18">
      <c r="A132">
        <v>131</v>
      </c>
      <c r="B132" t="s">
        <v>171</v>
      </c>
      <c r="C132" t="s">
        <v>102</v>
      </c>
      <c r="D132" t="s">
        <v>22</v>
      </c>
      <c r="E132" t="s">
        <v>163</v>
      </c>
      <c r="F132">
        <v>2399</v>
      </c>
      <c r="G132">
        <v>19</v>
      </c>
      <c r="H132">
        <v>2855</v>
      </c>
      <c r="I132" t="s">
        <v>24</v>
      </c>
      <c r="J132" t="s">
        <v>25</v>
      </c>
      <c r="K132">
        <v>0</v>
      </c>
      <c r="L132">
        <v>0</v>
      </c>
      <c r="M132" t="s">
        <v>25</v>
      </c>
      <c r="N132" t="s">
        <v>25</v>
      </c>
      <c r="O132" t="s">
        <v>26</v>
      </c>
      <c r="P132" t="s">
        <v>25</v>
      </c>
      <c r="Q132" t="s">
        <v>27</v>
      </c>
      <c r="R132" t="s">
        <v>28</v>
      </c>
    </row>
    <row r="133" spans="1:18">
      <c r="A133">
        <v>132</v>
      </c>
      <c r="B133" t="s">
        <v>172</v>
      </c>
      <c r="C133" t="s">
        <v>102</v>
      </c>
      <c r="D133" t="s">
        <v>22</v>
      </c>
      <c r="E133" t="s">
        <v>163</v>
      </c>
      <c r="F133">
        <v>12856</v>
      </c>
      <c r="G133">
        <v>19</v>
      </c>
      <c r="H133">
        <v>15299</v>
      </c>
      <c r="I133" t="s">
        <v>24</v>
      </c>
      <c r="J133" t="s">
        <v>25</v>
      </c>
      <c r="K133">
        <v>0</v>
      </c>
      <c r="L133">
        <v>0</v>
      </c>
      <c r="M133" t="s">
        <v>25</v>
      </c>
      <c r="N133" t="s">
        <v>25</v>
      </c>
      <c r="O133" t="s">
        <v>26</v>
      </c>
      <c r="P133" t="s">
        <v>25</v>
      </c>
      <c r="Q133" t="s">
        <v>27</v>
      </c>
      <c r="R133" t="s">
        <v>28</v>
      </c>
    </row>
    <row r="134" spans="1:18">
      <c r="A134">
        <v>133</v>
      </c>
      <c r="B134" t="s">
        <v>173</v>
      </c>
      <c r="C134" t="s">
        <v>102</v>
      </c>
      <c r="D134" t="s">
        <v>22</v>
      </c>
      <c r="E134" t="s">
        <v>163</v>
      </c>
      <c r="F134">
        <v>172412</v>
      </c>
      <c r="G134">
        <v>19</v>
      </c>
      <c r="H134">
        <v>205170</v>
      </c>
      <c r="I134" t="s">
        <v>24</v>
      </c>
      <c r="J134" t="s">
        <v>25</v>
      </c>
      <c r="K134">
        <v>0</v>
      </c>
      <c r="L134">
        <v>0</v>
      </c>
      <c r="M134" t="s">
        <v>25</v>
      </c>
      <c r="N134" t="s">
        <v>25</v>
      </c>
      <c r="O134" t="s">
        <v>26</v>
      </c>
      <c r="P134" t="s">
        <v>25</v>
      </c>
      <c r="Q134" t="s">
        <v>27</v>
      </c>
      <c r="R134" t="s">
        <v>28</v>
      </c>
    </row>
    <row r="135" spans="1:18">
      <c r="A135">
        <v>134</v>
      </c>
      <c r="B135" t="s">
        <v>174</v>
      </c>
      <c r="C135" t="s">
        <v>102</v>
      </c>
      <c r="D135" t="s">
        <v>22</v>
      </c>
      <c r="E135" t="s">
        <v>163</v>
      </c>
      <c r="F135">
        <v>1646</v>
      </c>
      <c r="G135">
        <v>19</v>
      </c>
      <c r="H135">
        <v>1959</v>
      </c>
      <c r="I135" t="s">
        <v>24</v>
      </c>
      <c r="J135" t="s">
        <v>25</v>
      </c>
      <c r="K135">
        <v>0</v>
      </c>
      <c r="L135">
        <v>0</v>
      </c>
      <c r="M135" t="s">
        <v>25</v>
      </c>
      <c r="N135" t="s">
        <v>25</v>
      </c>
      <c r="O135" t="s">
        <v>26</v>
      </c>
      <c r="P135" t="s">
        <v>25</v>
      </c>
      <c r="Q135" t="s">
        <v>27</v>
      </c>
      <c r="R135" t="s">
        <v>28</v>
      </c>
    </row>
    <row r="136" spans="1:18">
      <c r="A136">
        <v>135</v>
      </c>
      <c r="B136" t="s">
        <v>175</v>
      </c>
      <c r="C136" t="s">
        <v>102</v>
      </c>
      <c r="D136" t="s">
        <v>22</v>
      </c>
      <c r="E136" t="s">
        <v>163</v>
      </c>
      <c r="F136">
        <v>1196</v>
      </c>
      <c r="G136">
        <v>19</v>
      </c>
      <c r="H136">
        <v>1423</v>
      </c>
      <c r="I136" t="s">
        <v>24</v>
      </c>
      <c r="J136" t="s">
        <v>25</v>
      </c>
      <c r="K136">
        <v>0</v>
      </c>
      <c r="L136">
        <v>0</v>
      </c>
      <c r="M136" t="s">
        <v>25</v>
      </c>
      <c r="N136" t="s">
        <v>25</v>
      </c>
      <c r="O136" t="s">
        <v>26</v>
      </c>
      <c r="P136" t="s">
        <v>25</v>
      </c>
      <c r="Q136" t="s">
        <v>27</v>
      </c>
      <c r="R136" t="s">
        <v>28</v>
      </c>
    </row>
    <row r="137" spans="1:18">
      <c r="A137">
        <v>136</v>
      </c>
      <c r="B137" t="s">
        <v>176</v>
      </c>
      <c r="C137" t="s">
        <v>102</v>
      </c>
      <c r="D137" t="s">
        <v>22</v>
      </c>
      <c r="E137" t="s">
        <v>163</v>
      </c>
      <c r="F137">
        <v>627</v>
      </c>
      <c r="G137">
        <v>19</v>
      </c>
      <c r="H137">
        <v>746</v>
      </c>
      <c r="I137" t="s">
        <v>24</v>
      </c>
      <c r="J137" t="s">
        <v>25</v>
      </c>
      <c r="K137">
        <v>0</v>
      </c>
      <c r="L137">
        <v>0</v>
      </c>
      <c r="M137" t="s">
        <v>25</v>
      </c>
      <c r="N137" t="s">
        <v>25</v>
      </c>
      <c r="O137" t="s">
        <v>26</v>
      </c>
      <c r="P137" t="s">
        <v>25</v>
      </c>
      <c r="Q137" t="s">
        <v>27</v>
      </c>
      <c r="R137" t="s">
        <v>28</v>
      </c>
    </row>
    <row r="138" spans="1:18">
      <c r="A138">
        <v>137</v>
      </c>
      <c r="B138" t="s">
        <v>177</v>
      </c>
      <c r="C138" t="s">
        <v>102</v>
      </c>
      <c r="D138" t="s">
        <v>22</v>
      </c>
      <c r="E138" t="s">
        <v>163</v>
      </c>
      <c r="F138">
        <v>2736</v>
      </c>
      <c r="G138">
        <v>19</v>
      </c>
      <c r="H138">
        <v>3256</v>
      </c>
      <c r="I138" t="s">
        <v>24</v>
      </c>
      <c r="J138" t="s">
        <v>25</v>
      </c>
      <c r="K138">
        <v>0</v>
      </c>
      <c r="L138">
        <v>0</v>
      </c>
      <c r="M138" t="s">
        <v>25</v>
      </c>
      <c r="N138" t="s">
        <v>25</v>
      </c>
      <c r="O138" t="s">
        <v>26</v>
      </c>
      <c r="P138" t="s">
        <v>25</v>
      </c>
      <c r="Q138" t="s">
        <v>27</v>
      </c>
      <c r="R138" t="s">
        <v>28</v>
      </c>
    </row>
    <row r="139" spans="1:18">
      <c r="A139">
        <v>138</v>
      </c>
      <c r="B139" t="s">
        <v>178</v>
      </c>
      <c r="C139" t="s">
        <v>102</v>
      </c>
      <c r="D139" t="s">
        <v>22</v>
      </c>
      <c r="E139" t="s">
        <v>163</v>
      </c>
      <c r="F139">
        <v>1829</v>
      </c>
      <c r="G139">
        <v>19</v>
      </c>
      <c r="H139">
        <v>2177</v>
      </c>
      <c r="I139" t="s">
        <v>24</v>
      </c>
      <c r="J139" t="s">
        <v>25</v>
      </c>
      <c r="K139">
        <v>0</v>
      </c>
      <c r="L139">
        <v>0</v>
      </c>
      <c r="M139" t="s">
        <v>25</v>
      </c>
      <c r="N139" t="s">
        <v>25</v>
      </c>
      <c r="O139" t="s">
        <v>26</v>
      </c>
      <c r="P139" t="s">
        <v>25</v>
      </c>
      <c r="Q139" t="s">
        <v>27</v>
      </c>
      <c r="R139" t="s">
        <v>28</v>
      </c>
    </row>
    <row r="140" spans="1:18">
      <c r="A140">
        <v>139</v>
      </c>
      <c r="B140" t="s">
        <v>179</v>
      </c>
      <c r="C140" t="s">
        <v>102</v>
      </c>
      <c r="D140" t="s">
        <v>22</v>
      </c>
      <c r="E140" t="s">
        <v>163</v>
      </c>
      <c r="F140">
        <v>3778</v>
      </c>
      <c r="G140">
        <v>19</v>
      </c>
      <c r="H140">
        <v>4496</v>
      </c>
      <c r="I140" t="s">
        <v>24</v>
      </c>
      <c r="J140" t="s">
        <v>25</v>
      </c>
      <c r="K140">
        <v>0</v>
      </c>
      <c r="L140">
        <v>0</v>
      </c>
      <c r="M140" t="s">
        <v>25</v>
      </c>
      <c r="N140" t="s">
        <v>25</v>
      </c>
      <c r="O140" t="s">
        <v>26</v>
      </c>
      <c r="P140" t="s">
        <v>25</v>
      </c>
      <c r="Q140" t="s">
        <v>27</v>
      </c>
      <c r="R140" t="s">
        <v>28</v>
      </c>
    </row>
    <row r="141" spans="1:18">
      <c r="A141">
        <v>140</v>
      </c>
      <c r="B141" t="s">
        <v>180</v>
      </c>
      <c r="C141" t="s">
        <v>102</v>
      </c>
      <c r="D141" t="s">
        <v>22</v>
      </c>
      <c r="E141" t="s">
        <v>163</v>
      </c>
      <c r="F141">
        <v>3983</v>
      </c>
      <c r="G141">
        <v>19</v>
      </c>
      <c r="H141">
        <v>4740</v>
      </c>
      <c r="I141" t="s">
        <v>24</v>
      </c>
      <c r="J141" t="s">
        <v>25</v>
      </c>
      <c r="K141">
        <v>0</v>
      </c>
      <c r="L141">
        <v>0</v>
      </c>
      <c r="M141" t="s">
        <v>25</v>
      </c>
      <c r="N141" t="s">
        <v>25</v>
      </c>
      <c r="O141" t="s">
        <v>26</v>
      </c>
      <c r="P141" t="s">
        <v>25</v>
      </c>
      <c r="Q141" t="s">
        <v>27</v>
      </c>
      <c r="R141" t="s">
        <v>28</v>
      </c>
    </row>
    <row r="142" spans="1:18">
      <c r="A142">
        <v>141</v>
      </c>
      <c r="B142" t="s">
        <v>181</v>
      </c>
      <c r="C142" t="s">
        <v>102</v>
      </c>
      <c r="D142" t="s">
        <v>22</v>
      </c>
      <c r="E142" t="s">
        <v>163</v>
      </c>
      <c r="F142">
        <v>3558</v>
      </c>
      <c r="G142">
        <v>19</v>
      </c>
      <c r="H142">
        <v>4234</v>
      </c>
      <c r="I142" t="s">
        <v>24</v>
      </c>
      <c r="J142" t="s">
        <v>25</v>
      </c>
      <c r="K142">
        <v>0</v>
      </c>
      <c r="L142">
        <v>0</v>
      </c>
      <c r="M142" t="s">
        <v>25</v>
      </c>
      <c r="N142" t="s">
        <v>25</v>
      </c>
      <c r="O142" t="s">
        <v>26</v>
      </c>
      <c r="P142" t="s">
        <v>25</v>
      </c>
      <c r="Q142" t="s">
        <v>27</v>
      </c>
      <c r="R142" t="s">
        <v>28</v>
      </c>
    </row>
    <row r="143" spans="1:18">
      <c r="A143">
        <v>142</v>
      </c>
      <c r="B143" t="s">
        <v>182</v>
      </c>
      <c r="C143" t="s">
        <v>102</v>
      </c>
      <c r="D143" t="s">
        <v>22</v>
      </c>
      <c r="E143" t="s">
        <v>163</v>
      </c>
      <c r="F143">
        <v>3984</v>
      </c>
      <c r="G143">
        <v>19</v>
      </c>
      <c r="H143">
        <v>4741</v>
      </c>
      <c r="I143" t="s">
        <v>24</v>
      </c>
      <c r="J143" t="s">
        <v>25</v>
      </c>
      <c r="K143">
        <v>0</v>
      </c>
      <c r="L143">
        <v>0</v>
      </c>
      <c r="M143" t="s">
        <v>25</v>
      </c>
      <c r="N143" t="s">
        <v>25</v>
      </c>
      <c r="O143" t="s">
        <v>26</v>
      </c>
      <c r="P143" t="s">
        <v>25</v>
      </c>
      <c r="Q143" t="s">
        <v>27</v>
      </c>
      <c r="R143" t="s">
        <v>28</v>
      </c>
    </row>
    <row r="144" spans="1:18">
      <c r="A144">
        <v>143</v>
      </c>
      <c r="B144" t="s">
        <v>183</v>
      </c>
      <c r="C144" t="s">
        <v>102</v>
      </c>
      <c r="D144" t="s">
        <v>22</v>
      </c>
      <c r="E144" t="s">
        <v>163</v>
      </c>
      <c r="F144">
        <v>3886</v>
      </c>
      <c r="G144">
        <v>19</v>
      </c>
      <c r="H144">
        <v>4624</v>
      </c>
      <c r="I144" t="s">
        <v>24</v>
      </c>
      <c r="J144" t="s">
        <v>25</v>
      </c>
      <c r="K144">
        <v>0</v>
      </c>
      <c r="L144">
        <v>0</v>
      </c>
      <c r="M144" t="s">
        <v>25</v>
      </c>
      <c r="N144" t="s">
        <v>25</v>
      </c>
      <c r="O144" t="s">
        <v>26</v>
      </c>
      <c r="P144" t="s">
        <v>25</v>
      </c>
      <c r="Q144" t="s">
        <v>27</v>
      </c>
      <c r="R144" t="s">
        <v>28</v>
      </c>
    </row>
    <row r="145" spans="1:18">
      <c r="A145">
        <v>144</v>
      </c>
      <c r="B145" t="s">
        <v>184</v>
      </c>
      <c r="C145" t="s">
        <v>102</v>
      </c>
      <c r="D145" t="s">
        <v>22</v>
      </c>
      <c r="E145" t="s">
        <v>163</v>
      </c>
      <c r="F145">
        <v>3983</v>
      </c>
      <c r="G145">
        <v>19</v>
      </c>
      <c r="H145">
        <v>4740</v>
      </c>
      <c r="I145" t="s">
        <v>24</v>
      </c>
      <c r="J145" t="s">
        <v>25</v>
      </c>
      <c r="K145">
        <v>0</v>
      </c>
      <c r="L145">
        <v>0</v>
      </c>
      <c r="M145" t="s">
        <v>25</v>
      </c>
      <c r="N145" t="s">
        <v>25</v>
      </c>
      <c r="O145" t="s">
        <v>26</v>
      </c>
      <c r="P145" t="s">
        <v>25</v>
      </c>
      <c r="Q145" t="s">
        <v>27</v>
      </c>
      <c r="R145" t="s">
        <v>28</v>
      </c>
    </row>
    <row r="146" spans="1:18">
      <c r="A146">
        <v>145</v>
      </c>
      <c r="B146" t="s">
        <v>185</v>
      </c>
      <c r="C146" t="s">
        <v>102</v>
      </c>
      <c r="D146" t="s">
        <v>22</v>
      </c>
      <c r="E146" t="s">
        <v>163</v>
      </c>
      <c r="F146">
        <v>3983</v>
      </c>
      <c r="G146">
        <v>19</v>
      </c>
      <c r="H146">
        <v>4740</v>
      </c>
      <c r="I146" t="s">
        <v>24</v>
      </c>
      <c r="J146" t="s">
        <v>25</v>
      </c>
      <c r="K146">
        <v>0</v>
      </c>
      <c r="L146">
        <v>0</v>
      </c>
      <c r="M146" t="s">
        <v>25</v>
      </c>
      <c r="N146" t="s">
        <v>25</v>
      </c>
      <c r="O146" t="s">
        <v>26</v>
      </c>
      <c r="P146" t="s">
        <v>25</v>
      </c>
      <c r="Q146" t="s">
        <v>27</v>
      </c>
      <c r="R146" t="s">
        <v>28</v>
      </c>
    </row>
    <row r="147" spans="1:18">
      <c r="A147">
        <v>146</v>
      </c>
      <c r="B147" t="s">
        <v>186</v>
      </c>
      <c r="C147" t="s">
        <v>102</v>
      </c>
      <c r="D147" t="s">
        <v>22</v>
      </c>
      <c r="E147" t="s">
        <v>163</v>
      </c>
      <c r="F147">
        <v>3984</v>
      </c>
      <c r="G147">
        <v>19</v>
      </c>
      <c r="H147">
        <v>4741</v>
      </c>
      <c r="I147" t="s">
        <v>24</v>
      </c>
      <c r="J147" t="s">
        <v>25</v>
      </c>
      <c r="K147">
        <v>0</v>
      </c>
      <c r="L147">
        <v>0</v>
      </c>
      <c r="M147" t="s">
        <v>25</v>
      </c>
      <c r="N147" t="s">
        <v>25</v>
      </c>
      <c r="O147" t="s">
        <v>26</v>
      </c>
      <c r="P147" t="s">
        <v>25</v>
      </c>
      <c r="Q147" t="s">
        <v>27</v>
      </c>
      <c r="R147" t="s">
        <v>28</v>
      </c>
    </row>
    <row r="148" spans="1:18">
      <c r="A148">
        <v>147</v>
      </c>
      <c r="B148" t="s">
        <v>187</v>
      </c>
      <c r="C148" t="s">
        <v>102</v>
      </c>
      <c r="D148" t="s">
        <v>22</v>
      </c>
      <c r="E148" t="s">
        <v>163</v>
      </c>
      <c r="F148">
        <v>6423</v>
      </c>
      <c r="G148">
        <v>19</v>
      </c>
      <c r="H148">
        <v>7643</v>
      </c>
      <c r="I148" t="s">
        <v>24</v>
      </c>
      <c r="J148" t="s">
        <v>25</v>
      </c>
      <c r="K148">
        <v>0</v>
      </c>
      <c r="L148">
        <v>0</v>
      </c>
      <c r="M148" t="s">
        <v>25</v>
      </c>
      <c r="N148" t="s">
        <v>25</v>
      </c>
      <c r="O148" t="s">
        <v>26</v>
      </c>
      <c r="P148" t="s">
        <v>25</v>
      </c>
      <c r="Q148" t="s">
        <v>27</v>
      </c>
      <c r="R148" t="s">
        <v>28</v>
      </c>
    </row>
    <row r="149" spans="1:18">
      <c r="A149">
        <v>148</v>
      </c>
      <c r="B149" t="s">
        <v>188</v>
      </c>
      <c r="C149" t="s">
        <v>102</v>
      </c>
      <c r="D149" t="s">
        <v>22</v>
      </c>
      <c r="E149" t="s">
        <v>163</v>
      </c>
      <c r="F149">
        <v>12303</v>
      </c>
      <c r="G149">
        <v>19</v>
      </c>
      <c r="H149">
        <v>14641</v>
      </c>
      <c r="I149" t="s">
        <v>24</v>
      </c>
      <c r="J149" t="s">
        <v>25</v>
      </c>
      <c r="K149">
        <v>0</v>
      </c>
      <c r="L149">
        <v>0</v>
      </c>
      <c r="M149" t="s">
        <v>25</v>
      </c>
      <c r="N149" t="s">
        <v>25</v>
      </c>
      <c r="O149" t="s">
        <v>26</v>
      </c>
      <c r="P149" t="s">
        <v>25</v>
      </c>
      <c r="Q149" t="s">
        <v>27</v>
      </c>
      <c r="R149" t="s">
        <v>28</v>
      </c>
    </row>
    <row r="150" spans="1:18">
      <c r="A150">
        <v>149</v>
      </c>
      <c r="B150" t="s">
        <v>189</v>
      </c>
      <c r="C150" t="s">
        <v>102</v>
      </c>
      <c r="D150" t="s">
        <v>22</v>
      </c>
      <c r="E150" t="s">
        <v>163</v>
      </c>
      <c r="F150">
        <v>7408</v>
      </c>
      <c r="G150">
        <v>19</v>
      </c>
      <c r="H150">
        <v>8816</v>
      </c>
      <c r="I150" t="s">
        <v>24</v>
      </c>
      <c r="J150" t="s">
        <v>25</v>
      </c>
      <c r="K150">
        <v>0</v>
      </c>
      <c r="L150">
        <v>0</v>
      </c>
      <c r="M150" t="s">
        <v>25</v>
      </c>
      <c r="N150" t="s">
        <v>25</v>
      </c>
      <c r="O150" t="s">
        <v>26</v>
      </c>
      <c r="P150" t="s">
        <v>25</v>
      </c>
      <c r="Q150" t="s">
        <v>27</v>
      </c>
      <c r="R150" t="s">
        <v>28</v>
      </c>
    </row>
    <row r="151" spans="1:18">
      <c r="A151">
        <v>150</v>
      </c>
      <c r="B151" t="s">
        <v>190</v>
      </c>
      <c r="C151" t="s">
        <v>102</v>
      </c>
      <c r="D151" t="s">
        <v>22</v>
      </c>
      <c r="E151" t="s">
        <v>163</v>
      </c>
      <c r="F151">
        <v>5335</v>
      </c>
      <c r="G151">
        <v>19</v>
      </c>
      <c r="H151">
        <v>6349</v>
      </c>
      <c r="I151" t="s">
        <v>24</v>
      </c>
      <c r="J151" t="s">
        <v>25</v>
      </c>
      <c r="K151">
        <v>0</v>
      </c>
      <c r="L151">
        <v>0</v>
      </c>
      <c r="M151" t="s">
        <v>25</v>
      </c>
      <c r="N151" t="s">
        <v>25</v>
      </c>
      <c r="O151" t="s">
        <v>26</v>
      </c>
      <c r="P151" t="s">
        <v>25</v>
      </c>
      <c r="Q151" t="s">
        <v>27</v>
      </c>
      <c r="R151" t="s">
        <v>28</v>
      </c>
    </row>
    <row r="152" spans="1:18">
      <c r="A152">
        <v>151</v>
      </c>
      <c r="B152" t="s">
        <v>191</v>
      </c>
      <c r="C152" t="s">
        <v>102</v>
      </c>
      <c r="D152" t="s">
        <v>22</v>
      </c>
      <c r="E152" t="s">
        <v>163</v>
      </c>
      <c r="F152">
        <v>5243</v>
      </c>
      <c r="G152">
        <v>19</v>
      </c>
      <c r="H152">
        <v>6239</v>
      </c>
      <c r="I152" t="s">
        <v>24</v>
      </c>
      <c r="J152" t="s">
        <v>25</v>
      </c>
      <c r="K152">
        <v>0</v>
      </c>
      <c r="L152">
        <v>0</v>
      </c>
      <c r="M152" t="s">
        <v>25</v>
      </c>
      <c r="N152" t="s">
        <v>25</v>
      </c>
      <c r="O152" t="s">
        <v>26</v>
      </c>
      <c r="P152" t="s">
        <v>25</v>
      </c>
      <c r="Q152" t="s">
        <v>27</v>
      </c>
      <c r="R152" t="s">
        <v>28</v>
      </c>
    </row>
    <row r="153" spans="1:18">
      <c r="A153">
        <v>152</v>
      </c>
      <c r="B153" t="s">
        <v>192</v>
      </c>
      <c r="C153" t="s">
        <v>102</v>
      </c>
      <c r="D153" t="s">
        <v>22</v>
      </c>
      <c r="E153" t="s">
        <v>163</v>
      </c>
      <c r="F153">
        <v>6060</v>
      </c>
      <c r="G153">
        <v>19</v>
      </c>
      <c r="H153">
        <v>7211</v>
      </c>
      <c r="I153" t="s">
        <v>24</v>
      </c>
      <c r="J153" t="s">
        <v>25</v>
      </c>
      <c r="K153">
        <v>0</v>
      </c>
      <c r="L153">
        <v>0</v>
      </c>
      <c r="M153" t="s">
        <v>25</v>
      </c>
      <c r="N153" t="s">
        <v>25</v>
      </c>
      <c r="O153" t="s">
        <v>26</v>
      </c>
      <c r="P153" t="s">
        <v>25</v>
      </c>
      <c r="Q153" t="s">
        <v>27</v>
      </c>
      <c r="R153" t="s">
        <v>28</v>
      </c>
    </row>
    <row r="154" spans="1:18">
      <c r="A154">
        <v>153</v>
      </c>
      <c r="B154" t="s">
        <v>193</v>
      </c>
      <c r="C154" t="s">
        <v>102</v>
      </c>
      <c r="D154" t="s">
        <v>22</v>
      </c>
      <c r="E154" t="s">
        <v>163</v>
      </c>
      <c r="F154">
        <v>1584</v>
      </c>
      <c r="G154">
        <v>19</v>
      </c>
      <c r="H154">
        <v>1885</v>
      </c>
      <c r="I154" t="s">
        <v>24</v>
      </c>
      <c r="J154" t="s">
        <v>25</v>
      </c>
      <c r="K154">
        <v>0</v>
      </c>
      <c r="L154">
        <v>0</v>
      </c>
      <c r="M154" t="s">
        <v>25</v>
      </c>
      <c r="N154" t="s">
        <v>25</v>
      </c>
      <c r="O154" t="s">
        <v>26</v>
      </c>
      <c r="P154" t="s">
        <v>25</v>
      </c>
      <c r="Q154" t="s">
        <v>27</v>
      </c>
      <c r="R154" t="s">
        <v>28</v>
      </c>
    </row>
    <row r="155" spans="1:18">
      <c r="A155">
        <v>154</v>
      </c>
      <c r="B155" t="s">
        <v>194</v>
      </c>
      <c r="C155" t="s">
        <v>102</v>
      </c>
      <c r="D155" t="s">
        <v>22</v>
      </c>
      <c r="E155" t="s">
        <v>163</v>
      </c>
      <c r="F155">
        <v>35001</v>
      </c>
      <c r="G155">
        <v>19</v>
      </c>
      <c r="H155">
        <v>41651</v>
      </c>
      <c r="I155" t="s">
        <v>24</v>
      </c>
      <c r="J155" t="s">
        <v>25</v>
      </c>
      <c r="K155">
        <v>0</v>
      </c>
      <c r="L155">
        <v>0</v>
      </c>
      <c r="M155" t="s">
        <v>25</v>
      </c>
      <c r="N155" t="s">
        <v>25</v>
      </c>
      <c r="O155" t="s">
        <v>26</v>
      </c>
      <c r="P155" t="s">
        <v>25</v>
      </c>
      <c r="Q155" t="s">
        <v>27</v>
      </c>
      <c r="R155" t="s">
        <v>28</v>
      </c>
    </row>
    <row r="156" spans="1:18">
      <c r="A156">
        <v>155</v>
      </c>
      <c r="B156" t="s">
        <v>195</v>
      </c>
      <c r="C156" t="s">
        <v>102</v>
      </c>
      <c r="D156" t="s">
        <v>22</v>
      </c>
      <c r="E156" t="s">
        <v>163</v>
      </c>
      <c r="F156">
        <v>4092</v>
      </c>
      <c r="G156">
        <v>19</v>
      </c>
      <c r="H156">
        <v>4869</v>
      </c>
      <c r="I156" t="s">
        <v>24</v>
      </c>
      <c r="J156" t="s">
        <v>25</v>
      </c>
      <c r="K156">
        <v>0</v>
      </c>
      <c r="L156">
        <v>0</v>
      </c>
      <c r="M156" t="s">
        <v>25</v>
      </c>
      <c r="N156" t="s">
        <v>25</v>
      </c>
      <c r="O156" t="s">
        <v>26</v>
      </c>
      <c r="P156" t="s">
        <v>25</v>
      </c>
      <c r="Q156" t="s">
        <v>27</v>
      </c>
      <c r="R156" t="s">
        <v>28</v>
      </c>
    </row>
    <row r="157" spans="1:18">
      <c r="A157">
        <v>156</v>
      </c>
      <c r="B157" t="s">
        <v>196</v>
      </c>
      <c r="C157" t="s">
        <v>102</v>
      </c>
      <c r="D157" t="s">
        <v>22</v>
      </c>
      <c r="E157" t="s">
        <v>163</v>
      </c>
      <c r="F157">
        <v>1515</v>
      </c>
      <c r="G157">
        <v>19</v>
      </c>
      <c r="H157">
        <v>1803</v>
      </c>
      <c r="I157" t="s">
        <v>24</v>
      </c>
      <c r="J157" t="s">
        <v>25</v>
      </c>
      <c r="K157">
        <v>0</v>
      </c>
      <c r="L157">
        <v>0</v>
      </c>
      <c r="M157" t="s">
        <v>25</v>
      </c>
      <c r="N157" t="s">
        <v>25</v>
      </c>
      <c r="O157" t="s">
        <v>26</v>
      </c>
      <c r="P157" t="s">
        <v>25</v>
      </c>
      <c r="Q157" t="s">
        <v>27</v>
      </c>
      <c r="R157" t="s">
        <v>28</v>
      </c>
    </row>
    <row r="158" spans="1:18">
      <c r="A158">
        <v>157</v>
      </c>
      <c r="B158" t="s">
        <v>197</v>
      </c>
      <c r="C158" t="s">
        <v>102</v>
      </c>
      <c r="D158" t="s">
        <v>22</v>
      </c>
      <c r="E158" t="s">
        <v>163</v>
      </c>
      <c r="F158">
        <v>1178</v>
      </c>
      <c r="G158">
        <v>19</v>
      </c>
      <c r="H158">
        <v>1402</v>
      </c>
      <c r="I158" t="s">
        <v>24</v>
      </c>
      <c r="J158" t="s">
        <v>25</v>
      </c>
      <c r="K158">
        <v>0</v>
      </c>
      <c r="L158">
        <v>0</v>
      </c>
      <c r="M158" t="s">
        <v>25</v>
      </c>
      <c r="N158" t="s">
        <v>25</v>
      </c>
      <c r="O158" t="s">
        <v>26</v>
      </c>
      <c r="P158" t="s">
        <v>25</v>
      </c>
      <c r="Q158" t="s">
        <v>27</v>
      </c>
      <c r="R158" t="s">
        <v>28</v>
      </c>
    </row>
    <row r="159" spans="1:18">
      <c r="A159">
        <v>158</v>
      </c>
      <c r="B159" t="s">
        <v>198</v>
      </c>
      <c r="C159" t="s">
        <v>102</v>
      </c>
      <c r="D159" t="s">
        <v>22</v>
      </c>
      <c r="E159" t="s">
        <v>163</v>
      </c>
      <c r="F159">
        <v>1178</v>
      </c>
      <c r="G159">
        <v>19</v>
      </c>
      <c r="H159">
        <v>1402</v>
      </c>
      <c r="I159" t="s">
        <v>24</v>
      </c>
      <c r="J159" t="s">
        <v>25</v>
      </c>
      <c r="K159">
        <v>0</v>
      </c>
      <c r="L159">
        <v>0</v>
      </c>
      <c r="M159" t="s">
        <v>25</v>
      </c>
      <c r="N159" t="s">
        <v>25</v>
      </c>
      <c r="O159" t="s">
        <v>26</v>
      </c>
      <c r="P159" t="s">
        <v>25</v>
      </c>
      <c r="Q159" t="s">
        <v>27</v>
      </c>
      <c r="R159" t="s">
        <v>28</v>
      </c>
    </row>
    <row r="160" spans="1:18">
      <c r="A160">
        <v>159</v>
      </c>
      <c r="B160" t="s">
        <v>199</v>
      </c>
      <c r="C160" t="s">
        <v>102</v>
      </c>
      <c r="D160" t="s">
        <v>22</v>
      </c>
      <c r="E160" t="s">
        <v>163</v>
      </c>
      <c r="F160">
        <v>144304</v>
      </c>
      <c r="G160">
        <v>19</v>
      </c>
      <c r="H160">
        <v>171722</v>
      </c>
      <c r="I160" t="s">
        <v>24</v>
      </c>
      <c r="J160" t="s">
        <v>25</v>
      </c>
      <c r="K160">
        <v>0</v>
      </c>
      <c r="L160">
        <v>0</v>
      </c>
      <c r="M160" t="s">
        <v>25</v>
      </c>
      <c r="N160" t="s">
        <v>25</v>
      </c>
      <c r="O160" t="s">
        <v>26</v>
      </c>
      <c r="P160" t="s">
        <v>25</v>
      </c>
      <c r="Q160" t="s">
        <v>27</v>
      </c>
      <c r="R160" t="s">
        <v>28</v>
      </c>
    </row>
    <row r="161" spans="1:18">
      <c r="A161">
        <v>160</v>
      </c>
      <c r="B161" t="s">
        <v>200</v>
      </c>
      <c r="C161" t="s">
        <v>102</v>
      </c>
      <c r="D161" t="s">
        <v>22</v>
      </c>
      <c r="E161" t="s">
        <v>163</v>
      </c>
      <c r="F161">
        <v>10319</v>
      </c>
      <c r="G161">
        <v>19</v>
      </c>
      <c r="H161">
        <v>12280</v>
      </c>
      <c r="I161" t="s">
        <v>24</v>
      </c>
      <c r="J161" t="s">
        <v>25</v>
      </c>
      <c r="K161">
        <v>0</v>
      </c>
      <c r="L161">
        <v>0</v>
      </c>
      <c r="M161" t="s">
        <v>25</v>
      </c>
      <c r="N161" t="s">
        <v>25</v>
      </c>
      <c r="O161" t="s">
        <v>26</v>
      </c>
      <c r="P161" t="s">
        <v>25</v>
      </c>
      <c r="Q161" t="s">
        <v>27</v>
      </c>
      <c r="R161" t="s">
        <v>28</v>
      </c>
    </row>
    <row r="162" spans="1:18">
      <c r="A162">
        <v>161</v>
      </c>
      <c r="B162" t="s">
        <v>201</v>
      </c>
      <c r="C162" t="s">
        <v>102</v>
      </c>
      <c r="D162" t="s">
        <v>22</v>
      </c>
      <c r="E162" t="s">
        <v>163</v>
      </c>
      <c r="F162">
        <v>18857</v>
      </c>
      <c r="G162">
        <v>19</v>
      </c>
      <c r="H162">
        <v>22440</v>
      </c>
      <c r="I162" t="s">
        <v>24</v>
      </c>
      <c r="J162" t="s">
        <v>25</v>
      </c>
      <c r="K162">
        <v>0</v>
      </c>
      <c r="L162">
        <v>0</v>
      </c>
      <c r="M162" t="s">
        <v>25</v>
      </c>
      <c r="N162" t="s">
        <v>25</v>
      </c>
      <c r="O162" t="s">
        <v>26</v>
      </c>
      <c r="P162" t="s">
        <v>25</v>
      </c>
      <c r="Q162" t="s">
        <v>27</v>
      </c>
      <c r="R162" t="s">
        <v>28</v>
      </c>
    </row>
    <row r="163" spans="1:18">
      <c r="A163">
        <v>162</v>
      </c>
      <c r="B163" t="s">
        <v>202</v>
      </c>
      <c r="C163" t="s">
        <v>102</v>
      </c>
      <c r="D163" t="s">
        <v>22</v>
      </c>
      <c r="E163" t="s">
        <v>163</v>
      </c>
      <c r="F163">
        <v>15902</v>
      </c>
      <c r="G163">
        <v>19</v>
      </c>
      <c r="H163">
        <v>18923</v>
      </c>
      <c r="I163" t="s">
        <v>24</v>
      </c>
      <c r="J163" t="s">
        <v>25</v>
      </c>
      <c r="K163">
        <v>0</v>
      </c>
      <c r="L163">
        <v>0</v>
      </c>
      <c r="M163" t="s">
        <v>25</v>
      </c>
      <c r="N163" t="s">
        <v>25</v>
      </c>
      <c r="O163" t="s">
        <v>26</v>
      </c>
      <c r="P163" t="s">
        <v>25</v>
      </c>
      <c r="Q163" t="s">
        <v>27</v>
      </c>
      <c r="R163" t="s">
        <v>28</v>
      </c>
    </row>
    <row r="164" spans="1:18">
      <c r="A164">
        <v>163</v>
      </c>
      <c r="B164" t="s">
        <v>203</v>
      </c>
      <c r="C164" t="s">
        <v>102</v>
      </c>
      <c r="D164" t="s">
        <v>22</v>
      </c>
      <c r="E164" t="s">
        <v>163</v>
      </c>
      <c r="F164">
        <v>2171</v>
      </c>
      <c r="G164">
        <v>19</v>
      </c>
      <c r="H164">
        <v>2583</v>
      </c>
      <c r="I164" t="s">
        <v>24</v>
      </c>
      <c r="J164" t="s">
        <v>25</v>
      </c>
      <c r="K164">
        <v>0</v>
      </c>
      <c r="L164">
        <v>0</v>
      </c>
      <c r="M164" t="s">
        <v>25</v>
      </c>
      <c r="N164" t="s">
        <v>25</v>
      </c>
      <c r="O164" t="s">
        <v>26</v>
      </c>
      <c r="P164" t="s">
        <v>25</v>
      </c>
      <c r="Q164" t="s">
        <v>27</v>
      </c>
      <c r="R164" t="s">
        <v>28</v>
      </c>
    </row>
    <row r="165" spans="1:18">
      <c r="A165">
        <v>164</v>
      </c>
      <c r="B165" t="s">
        <v>204</v>
      </c>
      <c r="C165" t="s">
        <v>102</v>
      </c>
      <c r="D165" t="s">
        <v>22</v>
      </c>
      <c r="E165" t="s">
        <v>163</v>
      </c>
      <c r="F165">
        <v>559</v>
      </c>
      <c r="G165">
        <v>19</v>
      </c>
      <c r="H165">
        <v>665</v>
      </c>
      <c r="I165" t="s">
        <v>24</v>
      </c>
      <c r="J165" t="s">
        <v>25</v>
      </c>
      <c r="K165">
        <v>0</v>
      </c>
      <c r="L165">
        <v>0</v>
      </c>
      <c r="M165" t="s">
        <v>25</v>
      </c>
      <c r="N165" t="s">
        <v>25</v>
      </c>
      <c r="O165" t="s">
        <v>26</v>
      </c>
      <c r="P165" t="s">
        <v>25</v>
      </c>
      <c r="Q165" t="s">
        <v>27</v>
      </c>
      <c r="R165" t="s">
        <v>28</v>
      </c>
    </row>
    <row r="166" spans="1:18">
      <c r="A166">
        <v>165</v>
      </c>
      <c r="B166" t="s">
        <v>205</v>
      </c>
      <c r="C166" t="s">
        <v>102</v>
      </c>
      <c r="D166" t="s">
        <v>22</v>
      </c>
      <c r="E166" t="s">
        <v>163</v>
      </c>
      <c r="F166">
        <v>167</v>
      </c>
      <c r="G166">
        <v>19</v>
      </c>
      <c r="H166">
        <v>199</v>
      </c>
      <c r="I166" t="s">
        <v>24</v>
      </c>
      <c r="J166" t="s">
        <v>25</v>
      </c>
      <c r="K166">
        <v>0</v>
      </c>
      <c r="L166">
        <v>0</v>
      </c>
      <c r="M166" t="s">
        <v>25</v>
      </c>
      <c r="N166" t="s">
        <v>25</v>
      </c>
      <c r="O166" t="s">
        <v>26</v>
      </c>
      <c r="P166" t="s">
        <v>25</v>
      </c>
      <c r="Q166" t="s">
        <v>27</v>
      </c>
      <c r="R166" t="s">
        <v>28</v>
      </c>
    </row>
    <row r="167" spans="1:18">
      <c r="A167">
        <v>166</v>
      </c>
      <c r="B167" t="s">
        <v>206</v>
      </c>
      <c r="C167" t="s">
        <v>102</v>
      </c>
      <c r="D167" t="s">
        <v>22</v>
      </c>
      <c r="E167" t="s">
        <v>163</v>
      </c>
      <c r="F167">
        <v>1112</v>
      </c>
      <c r="G167">
        <v>19</v>
      </c>
      <c r="H167">
        <v>1323</v>
      </c>
      <c r="I167" t="s">
        <v>24</v>
      </c>
      <c r="J167" t="s">
        <v>25</v>
      </c>
      <c r="K167">
        <v>0</v>
      </c>
      <c r="L167">
        <v>0</v>
      </c>
      <c r="M167" t="s">
        <v>25</v>
      </c>
      <c r="N167" t="s">
        <v>25</v>
      </c>
      <c r="O167" t="s">
        <v>26</v>
      </c>
      <c r="P167" t="s">
        <v>25</v>
      </c>
      <c r="Q167" t="s">
        <v>27</v>
      </c>
      <c r="R167" t="s">
        <v>28</v>
      </c>
    </row>
    <row r="168" spans="1:18">
      <c r="A168">
        <v>167</v>
      </c>
      <c r="B168" t="s">
        <v>207</v>
      </c>
      <c r="C168" t="s">
        <v>102</v>
      </c>
      <c r="D168" t="s">
        <v>22</v>
      </c>
      <c r="E168" t="s">
        <v>163</v>
      </c>
      <c r="F168">
        <v>43696</v>
      </c>
      <c r="G168">
        <v>19</v>
      </c>
      <c r="H168">
        <v>51998</v>
      </c>
      <c r="I168" t="s">
        <v>24</v>
      </c>
      <c r="J168" t="s">
        <v>25</v>
      </c>
      <c r="K168">
        <v>0</v>
      </c>
      <c r="L168">
        <v>0</v>
      </c>
      <c r="M168" t="s">
        <v>25</v>
      </c>
      <c r="N168" t="s">
        <v>25</v>
      </c>
      <c r="O168" t="s">
        <v>26</v>
      </c>
      <c r="P168" t="s">
        <v>25</v>
      </c>
      <c r="Q168" t="s">
        <v>27</v>
      </c>
      <c r="R168" t="s">
        <v>28</v>
      </c>
    </row>
    <row r="169" spans="1:18">
      <c r="A169">
        <v>168</v>
      </c>
      <c r="B169" t="s">
        <v>208</v>
      </c>
      <c r="C169" t="s">
        <v>102</v>
      </c>
      <c r="D169" t="s">
        <v>22</v>
      </c>
      <c r="E169" t="s">
        <v>163</v>
      </c>
      <c r="F169">
        <v>43105</v>
      </c>
      <c r="G169">
        <v>19</v>
      </c>
      <c r="H169">
        <v>51295</v>
      </c>
      <c r="I169" t="s">
        <v>24</v>
      </c>
      <c r="J169" t="s">
        <v>25</v>
      </c>
      <c r="K169">
        <v>0</v>
      </c>
      <c r="L169">
        <v>0</v>
      </c>
      <c r="M169" t="s">
        <v>25</v>
      </c>
      <c r="N169" t="s">
        <v>25</v>
      </c>
      <c r="O169" t="s">
        <v>26</v>
      </c>
      <c r="P169" t="s">
        <v>25</v>
      </c>
      <c r="Q169" t="s">
        <v>27</v>
      </c>
      <c r="R169" t="s">
        <v>28</v>
      </c>
    </row>
    <row r="170" spans="1:18">
      <c r="A170">
        <v>169</v>
      </c>
      <c r="B170" t="s">
        <v>209</v>
      </c>
      <c r="C170" t="s">
        <v>102</v>
      </c>
      <c r="D170" t="s">
        <v>22</v>
      </c>
      <c r="E170" t="s">
        <v>163</v>
      </c>
      <c r="F170">
        <v>43105</v>
      </c>
      <c r="G170">
        <v>19</v>
      </c>
      <c r="H170">
        <v>51295</v>
      </c>
      <c r="I170" t="s">
        <v>24</v>
      </c>
      <c r="J170" t="s">
        <v>25</v>
      </c>
      <c r="K170">
        <v>0</v>
      </c>
      <c r="L170">
        <v>0</v>
      </c>
      <c r="M170" t="s">
        <v>25</v>
      </c>
      <c r="N170" t="s">
        <v>25</v>
      </c>
      <c r="O170" t="s">
        <v>26</v>
      </c>
      <c r="P170" t="s">
        <v>25</v>
      </c>
      <c r="Q170" t="s">
        <v>27</v>
      </c>
      <c r="R170" t="s">
        <v>28</v>
      </c>
    </row>
    <row r="171" spans="1:18">
      <c r="A171">
        <v>170</v>
      </c>
      <c r="B171" t="s">
        <v>210</v>
      </c>
      <c r="C171" t="s">
        <v>102</v>
      </c>
      <c r="D171" t="s">
        <v>22</v>
      </c>
      <c r="E171" t="s">
        <v>163</v>
      </c>
      <c r="F171">
        <v>42615</v>
      </c>
      <c r="G171">
        <v>19</v>
      </c>
      <c r="H171">
        <v>50712</v>
      </c>
      <c r="I171" t="s">
        <v>24</v>
      </c>
      <c r="J171" t="s">
        <v>25</v>
      </c>
      <c r="K171">
        <v>0</v>
      </c>
      <c r="L171">
        <v>0</v>
      </c>
      <c r="M171" t="s">
        <v>25</v>
      </c>
      <c r="N171" t="s">
        <v>25</v>
      </c>
      <c r="O171" t="s">
        <v>26</v>
      </c>
      <c r="P171" t="s">
        <v>25</v>
      </c>
      <c r="Q171" t="s">
        <v>27</v>
      </c>
      <c r="R171" t="s">
        <v>28</v>
      </c>
    </row>
    <row r="172" spans="1:18">
      <c r="A172">
        <v>171</v>
      </c>
      <c r="B172" t="s">
        <v>211</v>
      </c>
      <c r="C172" t="s">
        <v>102</v>
      </c>
      <c r="D172" t="s">
        <v>22</v>
      </c>
      <c r="E172" t="s">
        <v>163</v>
      </c>
      <c r="F172">
        <v>40914</v>
      </c>
      <c r="G172">
        <v>19</v>
      </c>
      <c r="H172">
        <v>48688</v>
      </c>
      <c r="I172" t="s">
        <v>24</v>
      </c>
      <c r="J172" t="s">
        <v>25</v>
      </c>
      <c r="K172">
        <v>0</v>
      </c>
      <c r="L172">
        <v>0</v>
      </c>
      <c r="M172" t="s">
        <v>25</v>
      </c>
      <c r="N172" t="s">
        <v>25</v>
      </c>
      <c r="O172" t="s">
        <v>26</v>
      </c>
      <c r="P172" t="s">
        <v>25</v>
      </c>
      <c r="Q172" t="s">
        <v>27</v>
      </c>
      <c r="R172" t="s">
        <v>28</v>
      </c>
    </row>
    <row r="173" spans="1:18">
      <c r="A173">
        <v>172</v>
      </c>
      <c r="B173" t="s">
        <v>212</v>
      </c>
      <c r="C173" t="s">
        <v>102</v>
      </c>
      <c r="D173" t="s">
        <v>22</v>
      </c>
      <c r="E173" t="s">
        <v>163</v>
      </c>
      <c r="F173">
        <v>40914</v>
      </c>
      <c r="G173">
        <v>19</v>
      </c>
      <c r="H173">
        <v>48688</v>
      </c>
      <c r="I173" t="s">
        <v>24</v>
      </c>
      <c r="J173" t="s">
        <v>25</v>
      </c>
      <c r="K173">
        <v>0</v>
      </c>
      <c r="L173">
        <v>0</v>
      </c>
      <c r="M173" t="s">
        <v>25</v>
      </c>
      <c r="N173" t="s">
        <v>25</v>
      </c>
      <c r="O173" t="s">
        <v>26</v>
      </c>
      <c r="P173" t="s">
        <v>25</v>
      </c>
      <c r="Q173" t="s">
        <v>27</v>
      </c>
      <c r="R173" t="s">
        <v>28</v>
      </c>
    </row>
    <row r="174" spans="1:18">
      <c r="A174">
        <v>173</v>
      </c>
      <c r="B174" t="s">
        <v>213</v>
      </c>
      <c r="C174" t="s">
        <v>102</v>
      </c>
      <c r="D174" t="s">
        <v>22</v>
      </c>
      <c r="E174" t="s">
        <v>163</v>
      </c>
      <c r="F174">
        <v>40914</v>
      </c>
      <c r="G174">
        <v>19</v>
      </c>
      <c r="H174">
        <v>48688</v>
      </c>
      <c r="I174" t="s">
        <v>24</v>
      </c>
      <c r="J174" t="s">
        <v>25</v>
      </c>
      <c r="K174">
        <v>0</v>
      </c>
      <c r="L174">
        <v>0</v>
      </c>
      <c r="M174" t="s">
        <v>25</v>
      </c>
      <c r="N174" t="s">
        <v>25</v>
      </c>
      <c r="O174" t="s">
        <v>26</v>
      </c>
      <c r="P174" t="s">
        <v>25</v>
      </c>
      <c r="Q174" t="s">
        <v>27</v>
      </c>
      <c r="R174" t="s">
        <v>28</v>
      </c>
    </row>
    <row r="175" spans="1:18">
      <c r="A175">
        <v>174</v>
      </c>
      <c r="B175" t="s">
        <v>214</v>
      </c>
      <c r="C175" t="s">
        <v>102</v>
      </c>
      <c r="D175" t="s">
        <v>22</v>
      </c>
      <c r="E175" t="s">
        <v>163</v>
      </c>
      <c r="F175">
        <v>40914</v>
      </c>
      <c r="G175">
        <v>19</v>
      </c>
      <c r="H175">
        <v>48688</v>
      </c>
      <c r="I175" t="s">
        <v>24</v>
      </c>
      <c r="J175" t="s">
        <v>25</v>
      </c>
      <c r="K175">
        <v>0</v>
      </c>
      <c r="L175">
        <v>0</v>
      </c>
      <c r="M175" t="s">
        <v>25</v>
      </c>
      <c r="N175" t="s">
        <v>25</v>
      </c>
      <c r="O175" t="s">
        <v>26</v>
      </c>
      <c r="P175" t="s">
        <v>25</v>
      </c>
      <c r="Q175" t="s">
        <v>27</v>
      </c>
      <c r="R175" t="s">
        <v>28</v>
      </c>
    </row>
    <row r="176" spans="1:18">
      <c r="A176">
        <v>175</v>
      </c>
      <c r="B176" t="s">
        <v>215</v>
      </c>
      <c r="C176" t="s">
        <v>216</v>
      </c>
      <c r="D176" t="s">
        <v>217</v>
      </c>
      <c r="E176" t="s">
        <v>218</v>
      </c>
      <c r="F176">
        <v>0</v>
      </c>
      <c r="G176">
        <v>19</v>
      </c>
      <c r="H176">
        <v>0</v>
      </c>
      <c r="I176" t="s">
        <v>24</v>
      </c>
      <c r="J176" t="s">
        <v>25</v>
      </c>
      <c r="K176">
        <v>0</v>
      </c>
      <c r="L176">
        <v>0</v>
      </c>
      <c r="M176" t="s">
        <v>25</v>
      </c>
      <c r="N176" t="s">
        <v>25</v>
      </c>
      <c r="O176" t="s">
        <v>26</v>
      </c>
      <c r="P176" t="s">
        <v>25</v>
      </c>
      <c r="Q176" t="s">
        <v>27</v>
      </c>
      <c r="R176" t="s">
        <v>28</v>
      </c>
    </row>
    <row r="177" spans="1:20">
      <c r="A177">
        <v>176</v>
      </c>
      <c r="B177" t="s">
        <v>219</v>
      </c>
      <c r="C177" t="s">
        <v>102</v>
      </c>
      <c r="D177" t="s">
        <v>22</v>
      </c>
      <c r="E177" t="s">
        <v>103</v>
      </c>
      <c r="F177">
        <v>10000</v>
      </c>
      <c r="G177">
        <v>19</v>
      </c>
      <c r="H177">
        <v>11900</v>
      </c>
      <c r="I177" t="s">
        <v>24</v>
      </c>
      <c r="J177" t="s">
        <v>25</v>
      </c>
      <c r="K177">
        <v>0</v>
      </c>
      <c r="L177">
        <v>0</v>
      </c>
      <c r="M177" t="s">
        <v>25</v>
      </c>
      <c r="N177" t="s">
        <v>25</v>
      </c>
      <c r="O177" t="s">
        <v>26</v>
      </c>
      <c r="P177" t="s">
        <v>25</v>
      </c>
      <c r="Q177" t="s">
        <v>27</v>
      </c>
      <c r="R177" t="s">
        <v>28</v>
      </c>
    </row>
    <row r="178" spans="1:20">
      <c r="A178">
        <v>177</v>
      </c>
      <c r="B178" t="s">
        <v>220</v>
      </c>
      <c r="C178" t="s">
        <v>102</v>
      </c>
      <c r="D178" t="s">
        <v>22</v>
      </c>
      <c r="E178" t="s">
        <v>103</v>
      </c>
      <c r="F178">
        <v>29412</v>
      </c>
      <c r="G178">
        <v>19</v>
      </c>
      <c r="H178">
        <v>35000</v>
      </c>
      <c r="I178" t="s">
        <v>24</v>
      </c>
      <c r="J178" t="s">
        <v>25</v>
      </c>
      <c r="K178">
        <v>0</v>
      </c>
      <c r="L178">
        <v>0</v>
      </c>
      <c r="M178" t="s">
        <v>25</v>
      </c>
      <c r="N178" t="s">
        <v>25</v>
      </c>
      <c r="O178" t="s">
        <v>26</v>
      </c>
      <c r="P178" t="s">
        <v>25</v>
      </c>
      <c r="Q178" t="s">
        <v>27</v>
      </c>
      <c r="R178" t="s">
        <v>28</v>
      </c>
    </row>
    <row r="179" spans="1:20">
      <c r="A179">
        <v>178</v>
      </c>
      <c r="B179" t="s">
        <v>221</v>
      </c>
      <c r="C179" t="s">
        <v>102</v>
      </c>
      <c r="D179" t="s">
        <v>22</v>
      </c>
      <c r="E179" t="s">
        <v>103</v>
      </c>
      <c r="F179">
        <v>20168</v>
      </c>
      <c r="G179">
        <v>19</v>
      </c>
      <c r="H179">
        <v>24000</v>
      </c>
      <c r="I179" t="s">
        <v>24</v>
      </c>
      <c r="J179" t="s">
        <v>25</v>
      </c>
      <c r="K179">
        <v>0</v>
      </c>
      <c r="L179">
        <v>0</v>
      </c>
      <c r="M179" t="s">
        <v>25</v>
      </c>
      <c r="N179" t="s">
        <v>25</v>
      </c>
      <c r="O179" t="s">
        <v>26</v>
      </c>
      <c r="P179" t="s">
        <v>25</v>
      </c>
      <c r="Q179" t="s">
        <v>27</v>
      </c>
      <c r="R179" t="s">
        <v>28</v>
      </c>
    </row>
    <row r="180" spans="1:20">
      <c r="A180">
        <v>179</v>
      </c>
      <c r="B180" t="s">
        <v>222</v>
      </c>
      <c r="C180" t="s">
        <v>102</v>
      </c>
      <c r="D180" t="s">
        <v>22</v>
      </c>
      <c r="E180" t="s">
        <v>103</v>
      </c>
      <c r="F180">
        <v>1449</v>
      </c>
      <c r="G180">
        <v>19</v>
      </c>
      <c r="H180">
        <v>1724</v>
      </c>
      <c r="I180" t="s">
        <v>24</v>
      </c>
      <c r="J180" t="s">
        <v>25</v>
      </c>
      <c r="K180">
        <v>0</v>
      </c>
      <c r="L180">
        <v>0</v>
      </c>
      <c r="M180" t="s">
        <v>25</v>
      </c>
      <c r="N180" t="s">
        <v>25</v>
      </c>
      <c r="O180" t="s">
        <v>26</v>
      </c>
      <c r="P180" t="s">
        <v>25</v>
      </c>
      <c r="Q180" t="s">
        <v>27</v>
      </c>
      <c r="R180" t="s">
        <v>28</v>
      </c>
    </row>
    <row r="181" spans="1:20">
      <c r="A181">
        <v>180</v>
      </c>
      <c r="B181" t="s">
        <v>223</v>
      </c>
      <c r="C181" t="s">
        <v>102</v>
      </c>
      <c r="D181" t="s">
        <v>22</v>
      </c>
      <c r="E181" t="s">
        <v>103</v>
      </c>
      <c r="F181">
        <v>700</v>
      </c>
      <c r="G181">
        <v>19</v>
      </c>
      <c r="H181">
        <v>833</v>
      </c>
      <c r="I181" t="s">
        <v>24</v>
      </c>
      <c r="J181" t="s">
        <v>25</v>
      </c>
      <c r="K181">
        <v>0</v>
      </c>
      <c r="L181">
        <v>0</v>
      </c>
      <c r="M181" t="s">
        <v>25</v>
      </c>
      <c r="N181" t="s">
        <v>25</v>
      </c>
      <c r="O181" t="s">
        <v>26</v>
      </c>
      <c r="P181" t="s">
        <v>25</v>
      </c>
      <c r="Q181" t="s">
        <v>27</v>
      </c>
      <c r="R181" t="s">
        <v>28</v>
      </c>
    </row>
    <row r="182" spans="1:20">
      <c r="A182">
        <v>181</v>
      </c>
      <c r="B182" t="s">
        <v>224</v>
      </c>
      <c r="C182" t="s">
        <v>102</v>
      </c>
      <c r="D182" t="s">
        <v>22</v>
      </c>
      <c r="E182" t="s">
        <v>103</v>
      </c>
      <c r="F182">
        <v>13455</v>
      </c>
      <c r="G182">
        <v>19</v>
      </c>
      <c r="H182">
        <v>16011</v>
      </c>
      <c r="I182" t="s">
        <v>24</v>
      </c>
      <c r="J182" t="s">
        <v>25</v>
      </c>
      <c r="K182">
        <v>0</v>
      </c>
      <c r="L182">
        <v>0</v>
      </c>
      <c r="M182" t="s">
        <v>25</v>
      </c>
      <c r="N182" t="s">
        <v>25</v>
      </c>
      <c r="O182" t="s">
        <v>26</v>
      </c>
      <c r="P182" t="s">
        <v>25</v>
      </c>
      <c r="Q182" t="s">
        <v>27</v>
      </c>
      <c r="R182" t="s">
        <v>28</v>
      </c>
    </row>
    <row r="183" spans="1:20">
      <c r="A183">
        <v>182</v>
      </c>
      <c r="B183" t="s">
        <v>225</v>
      </c>
      <c r="C183" t="s">
        <v>102</v>
      </c>
      <c r="D183" t="s">
        <v>22</v>
      </c>
      <c r="E183" t="s">
        <v>103</v>
      </c>
      <c r="F183">
        <v>10000</v>
      </c>
      <c r="G183">
        <v>19</v>
      </c>
      <c r="H183">
        <v>11900</v>
      </c>
      <c r="I183" t="s">
        <v>24</v>
      </c>
      <c r="J183" t="s">
        <v>25</v>
      </c>
      <c r="K183">
        <v>0</v>
      </c>
      <c r="L183">
        <v>0</v>
      </c>
      <c r="M183" t="s">
        <v>25</v>
      </c>
      <c r="N183" t="s">
        <v>25</v>
      </c>
      <c r="O183" t="s">
        <v>26</v>
      </c>
      <c r="P183" t="s">
        <v>25</v>
      </c>
      <c r="Q183" t="s">
        <v>27</v>
      </c>
      <c r="R183" t="s">
        <v>28</v>
      </c>
    </row>
    <row r="184" spans="1:20">
      <c r="A184">
        <v>183</v>
      </c>
      <c r="B184" t="s">
        <v>226</v>
      </c>
      <c r="C184" t="s">
        <v>102</v>
      </c>
      <c r="D184" t="s">
        <v>22</v>
      </c>
      <c r="E184" t="s">
        <v>23</v>
      </c>
      <c r="F184">
        <v>0</v>
      </c>
      <c r="G184">
        <v>19</v>
      </c>
      <c r="H184">
        <v>0</v>
      </c>
      <c r="I184" t="s">
        <v>24</v>
      </c>
      <c r="J184" t="s">
        <v>25</v>
      </c>
      <c r="K184">
        <v>0</v>
      </c>
      <c r="L184">
        <v>0</v>
      </c>
      <c r="M184" t="s">
        <v>25</v>
      </c>
      <c r="N184" t="s">
        <v>25</v>
      </c>
      <c r="O184" t="s">
        <v>26</v>
      </c>
      <c r="P184" t="s">
        <v>25</v>
      </c>
      <c r="Q184" t="s">
        <v>27</v>
      </c>
      <c r="R184" t="s">
        <v>28</v>
      </c>
    </row>
    <row r="185" spans="1:20">
      <c r="A185">
        <v>184</v>
      </c>
      <c r="B185" t="s">
        <v>227</v>
      </c>
      <c r="C185" t="s">
        <v>228</v>
      </c>
      <c r="D185" t="s">
        <v>229</v>
      </c>
      <c r="E185" t="s">
        <v>230</v>
      </c>
      <c r="F185">
        <v>65000</v>
      </c>
      <c r="G185">
        <v>19</v>
      </c>
      <c r="H185">
        <v>77350</v>
      </c>
      <c r="I185" t="s">
        <v>24</v>
      </c>
      <c r="J185" t="s">
        <v>25</v>
      </c>
      <c r="K185">
        <v>0</v>
      </c>
      <c r="L185">
        <v>0</v>
      </c>
      <c r="M185" t="s">
        <v>25</v>
      </c>
      <c r="N185" t="s">
        <v>25</v>
      </c>
      <c r="O185" t="s">
        <v>26</v>
      </c>
      <c r="P185" t="s">
        <v>25</v>
      </c>
      <c r="Q185" t="s">
        <v>27</v>
      </c>
      <c r="R185" t="s">
        <v>28</v>
      </c>
      <c r="S185" t="s">
        <v>231</v>
      </c>
      <c r="T185" t="s">
        <v>232</v>
      </c>
    </row>
    <row r="186" spans="1:20">
      <c r="A186">
        <v>185</v>
      </c>
      <c r="B186" t="s">
        <v>233</v>
      </c>
      <c r="C186" t="s">
        <v>228</v>
      </c>
      <c r="D186" t="s">
        <v>229</v>
      </c>
      <c r="E186" t="s">
        <v>230</v>
      </c>
      <c r="F186">
        <v>950000</v>
      </c>
      <c r="G186">
        <v>19</v>
      </c>
      <c r="H186">
        <v>1130500</v>
      </c>
      <c r="I186" t="s">
        <v>24</v>
      </c>
      <c r="J186" t="s">
        <v>25</v>
      </c>
      <c r="K186">
        <v>0</v>
      </c>
      <c r="L186">
        <v>0</v>
      </c>
      <c r="M186" t="s">
        <v>25</v>
      </c>
      <c r="N186" t="s">
        <v>25</v>
      </c>
      <c r="O186" t="s">
        <v>26</v>
      </c>
      <c r="P186" t="s">
        <v>25</v>
      </c>
      <c r="Q186" t="s">
        <v>27</v>
      </c>
      <c r="R186" t="s">
        <v>28</v>
      </c>
    </row>
    <row r="187" spans="1:20">
      <c r="A187">
        <v>186</v>
      </c>
      <c r="B187" t="s">
        <v>234</v>
      </c>
      <c r="C187" t="s">
        <v>228</v>
      </c>
      <c r="D187" t="s">
        <v>217</v>
      </c>
      <c r="E187" t="s">
        <v>230</v>
      </c>
      <c r="F187">
        <v>5900000</v>
      </c>
      <c r="G187">
        <v>19</v>
      </c>
      <c r="H187">
        <v>7021000</v>
      </c>
      <c r="I187" t="s">
        <v>24</v>
      </c>
      <c r="J187" t="s">
        <v>25</v>
      </c>
      <c r="K187">
        <v>0</v>
      </c>
      <c r="L187">
        <v>0</v>
      </c>
      <c r="M187" t="s">
        <v>25</v>
      </c>
      <c r="N187" t="s">
        <v>25</v>
      </c>
      <c r="O187" t="s">
        <v>26</v>
      </c>
      <c r="P187" t="s">
        <v>25</v>
      </c>
      <c r="Q187" t="s">
        <v>27</v>
      </c>
      <c r="R187" t="s">
        <v>28</v>
      </c>
    </row>
    <row r="188" spans="1:20">
      <c r="A188">
        <v>187</v>
      </c>
      <c r="B188" t="s">
        <v>235</v>
      </c>
      <c r="C188" t="s">
        <v>228</v>
      </c>
      <c r="D188" t="s">
        <v>217</v>
      </c>
      <c r="E188" t="s">
        <v>230</v>
      </c>
      <c r="F188">
        <v>5500000</v>
      </c>
      <c r="G188">
        <v>19</v>
      </c>
      <c r="H188">
        <v>6545000</v>
      </c>
      <c r="I188" t="s">
        <v>24</v>
      </c>
      <c r="J188" t="s">
        <v>25</v>
      </c>
      <c r="K188">
        <v>0</v>
      </c>
      <c r="L188">
        <v>0</v>
      </c>
      <c r="M188" t="s">
        <v>25</v>
      </c>
      <c r="N188" t="s">
        <v>25</v>
      </c>
      <c r="O188" t="s">
        <v>26</v>
      </c>
      <c r="P188" t="s">
        <v>25</v>
      </c>
      <c r="Q188" t="s">
        <v>27</v>
      </c>
      <c r="R188" t="s">
        <v>28</v>
      </c>
    </row>
    <row r="189" spans="1:20">
      <c r="A189">
        <v>188</v>
      </c>
      <c r="B189" t="s">
        <v>236</v>
      </c>
      <c r="C189" t="s">
        <v>228</v>
      </c>
      <c r="D189" t="s">
        <v>229</v>
      </c>
      <c r="E189" t="s">
        <v>230</v>
      </c>
      <c r="F189">
        <v>42000000</v>
      </c>
      <c r="G189">
        <v>19</v>
      </c>
      <c r="H189">
        <v>49980000</v>
      </c>
      <c r="I189" t="s">
        <v>24</v>
      </c>
      <c r="J189" t="s">
        <v>25</v>
      </c>
      <c r="K189">
        <v>0</v>
      </c>
      <c r="L189">
        <v>0</v>
      </c>
      <c r="M189" t="s">
        <v>25</v>
      </c>
      <c r="N189" t="s">
        <v>25</v>
      </c>
      <c r="O189" t="s">
        <v>26</v>
      </c>
      <c r="P189" t="s">
        <v>25</v>
      </c>
      <c r="Q189" t="s">
        <v>27</v>
      </c>
      <c r="R189" t="s">
        <v>28</v>
      </c>
    </row>
    <row r="190" spans="1:20">
      <c r="A190">
        <v>189</v>
      </c>
      <c r="B190" t="s">
        <v>237</v>
      </c>
      <c r="C190" t="s">
        <v>228</v>
      </c>
      <c r="D190" t="s">
        <v>217</v>
      </c>
      <c r="E190" t="s">
        <v>230</v>
      </c>
      <c r="F190">
        <v>6000000</v>
      </c>
      <c r="G190">
        <v>19</v>
      </c>
      <c r="H190">
        <v>7140000</v>
      </c>
      <c r="I190" t="s">
        <v>24</v>
      </c>
      <c r="J190" t="s">
        <v>25</v>
      </c>
      <c r="K190">
        <v>0</v>
      </c>
      <c r="L190">
        <v>0</v>
      </c>
      <c r="M190" t="s">
        <v>25</v>
      </c>
      <c r="N190" t="s">
        <v>25</v>
      </c>
      <c r="O190" t="s">
        <v>26</v>
      </c>
      <c r="P190" t="s">
        <v>25</v>
      </c>
      <c r="Q190" t="s">
        <v>27</v>
      </c>
      <c r="R190" t="s">
        <v>28</v>
      </c>
      <c r="S190" t="s">
        <v>238</v>
      </c>
      <c r="T190" t="s">
        <v>239</v>
      </c>
    </row>
    <row r="191" spans="1:20">
      <c r="A191">
        <v>190</v>
      </c>
      <c r="B191" t="s">
        <v>240</v>
      </c>
      <c r="C191" t="s">
        <v>228</v>
      </c>
      <c r="D191" t="s">
        <v>229</v>
      </c>
      <c r="E191" t="s">
        <v>230</v>
      </c>
      <c r="F191">
        <v>0</v>
      </c>
      <c r="G191">
        <v>19</v>
      </c>
      <c r="H191">
        <v>0</v>
      </c>
      <c r="I191" t="s">
        <v>24</v>
      </c>
      <c r="J191" t="s">
        <v>25</v>
      </c>
      <c r="K191">
        <v>0</v>
      </c>
      <c r="L191">
        <v>0</v>
      </c>
      <c r="M191" t="s">
        <v>25</v>
      </c>
      <c r="N191" t="s">
        <v>25</v>
      </c>
      <c r="O191" t="s">
        <v>26</v>
      </c>
      <c r="P191" t="s">
        <v>25</v>
      </c>
      <c r="Q191" t="s">
        <v>27</v>
      </c>
      <c r="R191" t="s">
        <v>28</v>
      </c>
    </row>
    <row r="192" spans="1:20">
      <c r="A192">
        <v>191</v>
      </c>
      <c r="B192" t="s">
        <v>241</v>
      </c>
      <c r="C192" t="s">
        <v>228</v>
      </c>
      <c r="D192" t="s">
        <v>229</v>
      </c>
      <c r="E192" t="s">
        <v>230</v>
      </c>
      <c r="F192">
        <v>0</v>
      </c>
      <c r="G192">
        <v>19</v>
      </c>
      <c r="H192">
        <v>0</v>
      </c>
      <c r="I192" t="s">
        <v>24</v>
      </c>
      <c r="J192" t="s">
        <v>25</v>
      </c>
      <c r="K192">
        <v>0</v>
      </c>
      <c r="L192">
        <v>0</v>
      </c>
      <c r="M192" t="s">
        <v>25</v>
      </c>
      <c r="N192" t="s">
        <v>25</v>
      </c>
      <c r="O192" t="s">
        <v>26</v>
      </c>
      <c r="P192" t="s">
        <v>25</v>
      </c>
      <c r="Q192" t="s">
        <v>27</v>
      </c>
      <c r="R192" t="s">
        <v>28</v>
      </c>
    </row>
    <row r="193" spans="1:18">
      <c r="A193">
        <v>192</v>
      </c>
      <c r="B193" t="s">
        <v>242</v>
      </c>
      <c r="C193" t="s">
        <v>228</v>
      </c>
      <c r="D193" t="s">
        <v>229</v>
      </c>
      <c r="E193" t="s">
        <v>230</v>
      </c>
      <c r="F193">
        <v>0</v>
      </c>
      <c r="G193">
        <v>19</v>
      </c>
      <c r="H193">
        <v>0</v>
      </c>
      <c r="I193" t="s">
        <v>24</v>
      </c>
      <c r="J193" t="s">
        <v>25</v>
      </c>
      <c r="K193">
        <v>0</v>
      </c>
      <c r="L193">
        <v>0</v>
      </c>
      <c r="M193" t="s">
        <v>25</v>
      </c>
      <c r="N193" t="s">
        <v>25</v>
      </c>
      <c r="O193" t="s">
        <v>26</v>
      </c>
      <c r="P193" t="s">
        <v>25</v>
      </c>
      <c r="Q193" t="s">
        <v>27</v>
      </c>
      <c r="R193" t="s">
        <v>28</v>
      </c>
    </row>
    <row r="194" spans="1:18">
      <c r="A194">
        <v>193</v>
      </c>
      <c r="B194" t="s">
        <v>243</v>
      </c>
      <c r="C194" t="s">
        <v>228</v>
      </c>
      <c r="D194" t="s">
        <v>217</v>
      </c>
      <c r="E194" t="s">
        <v>244</v>
      </c>
      <c r="F194">
        <v>0</v>
      </c>
      <c r="G194">
        <v>19</v>
      </c>
      <c r="H194">
        <v>0</v>
      </c>
      <c r="I194" t="s">
        <v>24</v>
      </c>
      <c r="J194" t="s">
        <v>25</v>
      </c>
      <c r="K194">
        <v>0</v>
      </c>
      <c r="L194">
        <v>0</v>
      </c>
      <c r="M194" t="s">
        <v>25</v>
      </c>
      <c r="N194" t="s">
        <v>25</v>
      </c>
      <c r="O194" t="s">
        <v>26</v>
      </c>
      <c r="P194" t="s">
        <v>25</v>
      </c>
      <c r="Q194" t="s">
        <v>27</v>
      </c>
      <c r="R194" t="s">
        <v>28</v>
      </c>
    </row>
    <row r="195" spans="1:18">
      <c r="A195">
        <v>194</v>
      </c>
      <c r="B195" t="s">
        <v>245</v>
      </c>
      <c r="C195" t="s">
        <v>228</v>
      </c>
      <c r="D195" t="s">
        <v>22</v>
      </c>
      <c r="E195" t="s">
        <v>244</v>
      </c>
      <c r="F195">
        <v>0</v>
      </c>
      <c r="G195">
        <v>19</v>
      </c>
      <c r="H195">
        <v>0</v>
      </c>
      <c r="I195" t="s">
        <v>24</v>
      </c>
      <c r="J195" t="s">
        <v>25</v>
      </c>
      <c r="K195">
        <v>0</v>
      </c>
      <c r="L195">
        <v>0</v>
      </c>
      <c r="M195" t="s">
        <v>25</v>
      </c>
      <c r="N195" t="s">
        <v>25</v>
      </c>
      <c r="O195" t="s">
        <v>26</v>
      </c>
      <c r="P195" t="s">
        <v>25</v>
      </c>
      <c r="Q195" t="s">
        <v>27</v>
      </c>
      <c r="R195" t="s">
        <v>28</v>
      </c>
    </row>
    <row r="196" spans="1:18">
      <c r="A196">
        <v>195</v>
      </c>
      <c r="B196" t="s">
        <v>246</v>
      </c>
      <c r="C196" t="s">
        <v>247</v>
      </c>
      <c r="D196" t="s">
        <v>22</v>
      </c>
      <c r="E196" t="s">
        <v>23</v>
      </c>
      <c r="F196">
        <v>0</v>
      </c>
      <c r="G196">
        <v>19</v>
      </c>
      <c r="H196">
        <v>0</v>
      </c>
      <c r="I196" t="s">
        <v>24</v>
      </c>
      <c r="J196" t="s">
        <v>25</v>
      </c>
      <c r="K196">
        <v>0</v>
      </c>
      <c r="L196">
        <v>0</v>
      </c>
      <c r="M196" t="s">
        <v>25</v>
      </c>
      <c r="N196" t="s">
        <v>25</v>
      </c>
      <c r="O196" t="s">
        <v>26</v>
      </c>
      <c r="P196" t="s">
        <v>25</v>
      </c>
      <c r="Q196" t="s">
        <v>27</v>
      </c>
      <c r="R196" t="s">
        <v>28</v>
      </c>
    </row>
    <row r="197" spans="1:18">
      <c r="A197">
        <v>196</v>
      </c>
      <c r="B197" t="s">
        <v>248</v>
      </c>
      <c r="C197" t="s">
        <v>102</v>
      </c>
      <c r="D197" t="s">
        <v>22</v>
      </c>
      <c r="E197" t="s">
        <v>163</v>
      </c>
      <c r="F197">
        <v>0</v>
      </c>
      <c r="G197">
        <v>19</v>
      </c>
      <c r="H197">
        <v>0</v>
      </c>
      <c r="I197" t="s">
        <v>24</v>
      </c>
      <c r="J197" t="s">
        <v>25</v>
      </c>
      <c r="K197">
        <v>0</v>
      </c>
      <c r="L197">
        <v>0</v>
      </c>
      <c r="M197" t="s">
        <v>25</v>
      </c>
      <c r="N197" t="s">
        <v>25</v>
      </c>
      <c r="O197" t="s">
        <v>26</v>
      </c>
      <c r="P197" t="s">
        <v>25</v>
      </c>
      <c r="Q197" t="s">
        <v>27</v>
      </c>
      <c r="R197" t="s">
        <v>28</v>
      </c>
    </row>
    <row r="198" spans="1:18">
      <c r="A198">
        <v>197</v>
      </c>
      <c r="B198" t="s">
        <v>249</v>
      </c>
      <c r="C198" t="s">
        <v>247</v>
      </c>
      <c r="D198" t="s">
        <v>22</v>
      </c>
      <c r="E198" t="s">
        <v>23</v>
      </c>
      <c r="F198">
        <v>0</v>
      </c>
      <c r="G198">
        <v>19</v>
      </c>
      <c r="H198">
        <v>0</v>
      </c>
      <c r="I198" t="s">
        <v>24</v>
      </c>
      <c r="J198" t="s">
        <v>25</v>
      </c>
      <c r="K198">
        <v>0</v>
      </c>
      <c r="L198">
        <v>0</v>
      </c>
      <c r="M198" t="s">
        <v>25</v>
      </c>
      <c r="N198" t="s">
        <v>25</v>
      </c>
      <c r="O198" t="s">
        <v>26</v>
      </c>
      <c r="P198" t="s">
        <v>25</v>
      </c>
      <c r="Q198" t="s">
        <v>27</v>
      </c>
      <c r="R198" t="s">
        <v>28</v>
      </c>
    </row>
    <row r="199" spans="1:18">
      <c r="A199">
        <v>198</v>
      </c>
      <c r="B199" t="s">
        <v>250</v>
      </c>
      <c r="C199" t="s">
        <v>102</v>
      </c>
      <c r="D199" t="s">
        <v>22</v>
      </c>
      <c r="E199" t="s">
        <v>23</v>
      </c>
      <c r="F199">
        <v>0</v>
      </c>
      <c r="G199">
        <v>19</v>
      </c>
      <c r="H199">
        <v>0</v>
      </c>
      <c r="I199" t="s">
        <v>24</v>
      </c>
      <c r="J199" t="s">
        <v>25</v>
      </c>
      <c r="K199">
        <v>0</v>
      </c>
      <c r="L199">
        <v>0</v>
      </c>
      <c r="M199" t="s">
        <v>25</v>
      </c>
      <c r="N199" t="s">
        <v>25</v>
      </c>
      <c r="O199" t="s">
        <v>26</v>
      </c>
      <c r="P199" t="s">
        <v>25</v>
      </c>
      <c r="Q199" t="s">
        <v>27</v>
      </c>
      <c r="R199" t="s">
        <v>28</v>
      </c>
    </row>
    <row r="200" spans="1:18">
      <c r="A200">
        <v>199</v>
      </c>
      <c r="B200" t="s">
        <v>251</v>
      </c>
      <c r="C200" t="s">
        <v>102</v>
      </c>
      <c r="D200" t="s">
        <v>22</v>
      </c>
      <c r="E200" t="s">
        <v>23</v>
      </c>
      <c r="F200">
        <v>0</v>
      </c>
      <c r="G200">
        <v>19</v>
      </c>
      <c r="H200">
        <v>0</v>
      </c>
      <c r="I200" t="s">
        <v>24</v>
      </c>
      <c r="J200" t="s">
        <v>25</v>
      </c>
      <c r="K200">
        <v>0</v>
      </c>
      <c r="L200">
        <v>0</v>
      </c>
      <c r="M200" t="s">
        <v>25</v>
      </c>
      <c r="N200" t="s">
        <v>25</v>
      </c>
      <c r="O200" t="s">
        <v>26</v>
      </c>
      <c r="P200" t="s">
        <v>25</v>
      </c>
      <c r="Q200" t="s">
        <v>27</v>
      </c>
      <c r="R200" t="s">
        <v>28</v>
      </c>
    </row>
    <row r="201" spans="1:18">
      <c r="A201">
        <v>200</v>
      </c>
      <c r="B201" t="s">
        <v>252</v>
      </c>
      <c r="C201" t="s">
        <v>102</v>
      </c>
      <c r="D201" t="s">
        <v>22</v>
      </c>
      <c r="E201" t="s">
        <v>23</v>
      </c>
      <c r="F201">
        <v>0</v>
      </c>
      <c r="G201">
        <v>19</v>
      </c>
      <c r="H201">
        <v>0</v>
      </c>
      <c r="I201" t="s">
        <v>24</v>
      </c>
      <c r="J201" t="s">
        <v>25</v>
      </c>
      <c r="K201">
        <v>0</v>
      </c>
      <c r="L201">
        <v>0</v>
      </c>
      <c r="M201" t="s">
        <v>25</v>
      </c>
      <c r="N201" t="s">
        <v>25</v>
      </c>
      <c r="O201" t="s">
        <v>26</v>
      </c>
      <c r="P201" t="s">
        <v>25</v>
      </c>
      <c r="Q201" t="s">
        <v>27</v>
      </c>
      <c r="R201" t="s">
        <v>28</v>
      </c>
    </row>
    <row r="202" spans="1:18">
      <c r="A202">
        <v>201</v>
      </c>
      <c r="B202" t="s">
        <v>253</v>
      </c>
      <c r="C202" t="s">
        <v>102</v>
      </c>
      <c r="D202" t="s">
        <v>22</v>
      </c>
      <c r="E202" t="s">
        <v>163</v>
      </c>
      <c r="F202">
        <v>0</v>
      </c>
      <c r="G202">
        <v>19</v>
      </c>
      <c r="H202">
        <v>0</v>
      </c>
      <c r="I202" t="s">
        <v>24</v>
      </c>
      <c r="J202" t="s">
        <v>25</v>
      </c>
      <c r="K202">
        <v>0</v>
      </c>
      <c r="L202">
        <v>0</v>
      </c>
      <c r="M202" t="s">
        <v>25</v>
      </c>
      <c r="N202" t="s">
        <v>25</v>
      </c>
      <c r="O202" t="s">
        <v>26</v>
      </c>
      <c r="P202" t="s">
        <v>25</v>
      </c>
      <c r="Q202" t="s">
        <v>27</v>
      </c>
      <c r="R202" t="s">
        <v>28</v>
      </c>
    </row>
    <row r="203" spans="1:18">
      <c r="A203">
        <v>202</v>
      </c>
      <c r="B203" t="s">
        <v>254</v>
      </c>
      <c r="C203" t="s">
        <v>102</v>
      </c>
      <c r="D203" t="s">
        <v>22</v>
      </c>
      <c r="E203" t="s">
        <v>163</v>
      </c>
      <c r="F203">
        <v>0</v>
      </c>
      <c r="G203">
        <v>19</v>
      </c>
      <c r="H203">
        <v>0</v>
      </c>
      <c r="I203" t="s">
        <v>24</v>
      </c>
      <c r="J203" t="s">
        <v>25</v>
      </c>
      <c r="K203">
        <v>0</v>
      </c>
      <c r="L203">
        <v>0</v>
      </c>
      <c r="M203" t="s">
        <v>25</v>
      </c>
      <c r="N203" t="s">
        <v>25</v>
      </c>
      <c r="O203" t="s">
        <v>26</v>
      </c>
      <c r="P203" t="s">
        <v>25</v>
      </c>
      <c r="Q203" t="s">
        <v>27</v>
      </c>
      <c r="R203" t="s">
        <v>28</v>
      </c>
    </row>
    <row r="204" spans="1:18">
      <c r="A204">
        <v>203</v>
      </c>
      <c r="B204" t="s">
        <v>255</v>
      </c>
      <c r="C204" t="s">
        <v>102</v>
      </c>
      <c r="D204" t="s">
        <v>22</v>
      </c>
      <c r="E204" t="s">
        <v>163</v>
      </c>
      <c r="F204">
        <v>0</v>
      </c>
      <c r="G204">
        <v>19</v>
      </c>
      <c r="H204">
        <v>0</v>
      </c>
      <c r="I204" t="s">
        <v>24</v>
      </c>
      <c r="J204" t="s">
        <v>25</v>
      </c>
      <c r="K204">
        <v>0</v>
      </c>
      <c r="L204">
        <v>0</v>
      </c>
      <c r="M204" t="s">
        <v>25</v>
      </c>
      <c r="N204" t="s">
        <v>25</v>
      </c>
      <c r="O204" t="s">
        <v>26</v>
      </c>
      <c r="P204" t="s">
        <v>25</v>
      </c>
      <c r="Q204" t="s">
        <v>27</v>
      </c>
      <c r="R204" t="s">
        <v>28</v>
      </c>
    </row>
    <row r="205" spans="1:18">
      <c r="A205">
        <v>204</v>
      </c>
      <c r="B205" t="s">
        <v>256</v>
      </c>
      <c r="C205" t="s">
        <v>102</v>
      </c>
      <c r="D205" t="s">
        <v>22</v>
      </c>
      <c r="E205" t="s">
        <v>163</v>
      </c>
      <c r="F205">
        <v>0</v>
      </c>
      <c r="G205">
        <v>19</v>
      </c>
      <c r="H205">
        <v>0</v>
      </c>
      <c r="I205" t="s">
        <v>24</v>
      </c>
      <c r="J205" t="s">
        <v>25</v>
      </c>
      <c r="K205">
        <v>0</v>
      </c>
      <c r="L205">
        <v>0</v>
      </c>
      <c r="M205" t="s">
        <v>25</v>
      </c>
      <c r="N205" t="s">
        <v>25</v>
      </c>
      <c r="O205" t="s">
        <v>26</v>
      </c>
      <c r="P205" t="s">
        <v>25</v>
      </c>
      <c r="Q205" t="s">
        <v>27</v>
      </c>
      <c r="R205" t="s">
        <v>28</v>
      </c>
    </row>
    <row r="206" spans="1:18">
      <c r="A206">
        <v>205</v>
      </c>
      <c r="B206" t="s">
        <v>257</v>
      </c>
      <c r="C206" t="s">
        <v>247</v>
      </c>
      <c r="D206" t="s">
        <v>22</v>
      </c>
      <c r="E206" t="s">
        <v>23</v>
      </c>
      <c r="F206">
        <v>0</v>
      </c>
      <c r="G206">
        <v>19</v>
      </c>
      <c r="H206">
        <v>0</v>
      </c>
      <c r="I206" t="s">
        <v>24</v>
      </c>
      <c r="J206" t="s">
        <v>25</v>
      </c>
      <c r="K206">
        <v>0</v>
      </c>
      <c r="L206">
        <v>0</v>
      </c>
      <c r="M206" t="s">
        <v>25</v>
      </c>
      <c r="N206" t="s">
        <v>25</v>
      </c>
      <c r="O206" t="s">
        <v>26</v>
      </c>
      <c r="P206" t="s">
        <v>25</v>
      </c>
      <c r="Q206" t="s">
        <v>27</v>
      </c>
      <c r="R206" t="s">
        <v>28</v>
      </c>
    </row>
    <row r="207" spans="1:18">
      <c r="A207">
        <v>206</v>
      </c>
      <c r="B207" t="s">
        <v>258</v>
      </c>
      <c r="C207" t="s">
        <v>102</v>
      </c>
      <c r="D207" t="s">
        <v>22</v>
      </c>
      <c r="E207" t="s">
        <v>163</v>
      </c>
      <c r="F207">
        <v>0</v>
      </c>
      <c r="G207">
        <v>19</v>
      </c>
      <c r="H207">
        <v>0</v>
      </c>
      <c r="I207" t="s">
        <v>24</v>
      </c>
      <c r="J207" t="s">
        <v>25</v>
      </c>
      <c r="K207">
        <v>0</v>
      </c>
      <c r="L207">
        <v>0</v>
      </c>
      <c r="M207" t="s">
        <v>25</v>
      </c>
      <c r="N207" t="s">
        <v>25</v>
      </c>
      <c r="O207" t="s">
        <v>26</v>
      </c>
      <c r="P207" t="s">
        <v>25</v>
      </c>
      <c r="Q207" t="s">
        <v>27</v>
      </c>
      <c r="R207" t="s">
        <v>28</v>
      </c>
    </row>
    <row r="208" spans="1:18">
      <c r="A208">
        <v>207</v>
      </c>
      <c r="B208" t="s">
        <v>259</v>
      </c>
      <c r="C208" t="s">
        <v>102</v>
      </c>
      <c r="D208" t="s">
        <v>22</v>
      </c>
      <c r="E208" t="s">
        <v>163</v>
      </c>
      <c r="F208">
        <v>0</v>
      </c>
      <c r="G208">
        <v>19</v>
      </c>
      <c r="H208">
        <v>0</v>
      </c>
      <c r="I208" t="s">
        <v>24</v>
      </c>
      <c r="J208" t="s">
        <v>25</v>
      </c>
      <c r="K208">
        <v>0</v>
      </c>
      <c r="L208">
        <v>0</v>
      </c>
      <c r="M208" t="s">
        <v>25</v>
      </c>
      <c r="N208" t="s">
        <v>25</v>
      </c>
      <c r="O208" t="s">
        <v>26</v>
      </c>
      <c r="P208" t="s">
        <v>25</v>
      </c>
      <c r="Q208" t="s">
        <v>27</v>
      </c>
      <c r="R208" t="s">
        <v>28</v>
      </c>
    </row>
    <row r="209" spans="1:20">
      <c r="A209">
        <v>208</v>
      </c>
      <c r="B209" t="s">
        <v>260</v>
      </c>
      <c r="C209" t="s">
        <v>21</v>
      </c>
      <c r="D209" t="s">
        <v>22</v>
      </c>
      <c r="E209" t="s">
        <v>23</v>
      </c>
      <c r="F209">
        <v>48000</v>
      </c>
      <c r="G209">
        <v>19</v>
      </c>
      <c r="H209">
        <v>57120</v>
      </c>
      <c r="I209" t="s">
        <v>24</v>
      </c>
      <c r="J209" t="s">
        <v>25</v>
      </c>
      <c r="K209">
        <v>0</v>
      </c>
      <c r="L209">
        <v>0</v>
      </c>
      <c r="M209" t="s">
        <v>25</v>
      </c>
      <c r="N209" t="s">
        <v>25</v>
      </c>
      <c r="O209" t="s">
        <v>26</v>
      </c>
      <c r="P209" t="s">
        <v>25</v>
      </c>
      <c r="Q209" t="s">
        <v>27</v>
      </c>
      <c r="R209" t="s">
        <v>28</v>
      </c>
      <c r="S209" t="s">
        <v>51</v>
      </c>
      <c r="T209" t="s">
        <v>261</v>
      </c>
    </row>
    <row r="210" spans="1:20">
      <c r="A210">
        <v>209</v>
      </c>
      <c r="B210" t="s">
        <v>262</v>
      </c>
      <c r="C210" t="s">
        <v>102</v>
      </c>
      <c r="D210" t="s">
        <v>22</v>
      </c>
      <c r="E210" t="s">
        <v>163</v>
      </c>
      <c r="F210">
        <v>0</v>
      </c>
      <c r="G210">
        <v>19</v>
      </c>
      <c r="H210">
        <v>0</v>
      </c>
      <c r="I210" t="s">
        <v>24</v>
      </c>
      <c r="J210" t="s">
        <v>25</v>
      </c>
      <c r="K210">
        <v>0</v>
      </c>
      <c r="L210">
        <v>0</v>
      </c>
      <c r="M210" t="s">
        <v>25</v>
      </c>
      <c r="N210" t="s">
        <v>25</v>
      </c>
      <c r="O210" t="s">
        <v>26</v>
      </c>
      <c r="P210" t="s">
        <v>25</v>
      </c>
      <c r="Q210" t="s">
        <v>27</v>
      </c>
      <c r="R210" t="s">
        <v>28</v>
      </c>
    </row>
    <row r="211" spans="1:20">
      <c r="A211">
        <v>210</v>
      </c>
      <c r="B211" t="s">
        <v>263</v>
      </c>
      <c r="C211" t="s">
        <v>102</v>
      </c>
      <c r="D211" t="s">
        <v>22</v>
      </c>
      <c r="E211" t="s">
        <v>23</v>
      </c>
      <c r="F211">
        <v>0</v>
      </c>
      <c r="G211">
        <v>19</v>
      </c>
      <c r="H211">
        <v>0</v>
      </c>
      <c r="I211" t="s">
        <v>24</v>
      </c>
      <c r="J211" t="s">
        <v>25</v>
      </c>
      <c r="K211">
        <v>0</v>
      </c>
      <c r="L211">
        <v>0</v>
      </c>
      <c r="M211" t="s">
        <v>25</v>
      </c>
      <c r="N211" t="s">
        <v>25</v>
      </c>
      <c r="O211" t="s">
        <v>26</v>
      </c>
      <c r="P211" t="s">
        <v>25</v>
      </c>
      <c r="Q211" t="s">
        <v>27</v>
      </c>
      <c r="R211" t="s">
        <v>28</v>
      </c>
    </row>
    <row r="212" spans="1:20">
      <c r="A212">
        <v>211</v>
      </c>
      <c r="B212" t="s">
        <v>264</v>
      </c>
      <c r="C212" t="s">
        <v>102</v>
      </c>
      <c r="D212" t="s">
        <v>22</v>
      </c>
      <c r="E212" t="s">
        <v>23</v>
      </c>
      <c r="F212">
        <v>0</v>
      </c>
      <c r="G212">
        <v>19</v>
      </c>
      <c r="H212">
        <v>0</v>
      </c>
      <c r="I212" t="s">
        <v>24</v>
      </c>
      <c r="J212" t="s">
        <v>25</v>
      </c>
      <c r="K212">
        <v>0</v>
      </c>
      <c r="L212">
        <v>0</v>
      </c>
      <c r="M212" t="s">
        <v>25</v>
      </c>
      <c r="N212" t="s">
        <v>25</v>
      </c>
      <c r="O212" t="s">
        <v>26</v>
      </c>
      <c r="P212" t="s">
        <v>25</v>
      </c>
      <c r="Q212" t="s">
        <v>27</v>
      </c>
      <c r="R212" t="s">
        <v>28</v>
      </c>
    </row>
    <row r="213" spans="1:20">
      <c r="A213">
        <v>212</v>
      </c>
      <c r="B213" t="s">
        <v>265</v>
      </c>
      <c r="C213" t="s">
        <v>102</v>
      </c>
      <c r="D213" t="s">
        <v>22</v>
      </c>
      <c r="E213" t="s">
        <v>163</v>
      </c>
      <c r="F213">
        <v>0</v>
      </c>
      <c r="G213">
        <v>19</v>
      </c>
      <c r="H213">
        <v>0</v>
      </c>
      <c r="I213" t="s">
        <v>24</v>
      </c>
      <c r="J213" t="s">
        <v>25</v>
      </c>
      <c r="K213">
        <v>0</v>
      </c>
      <c r="L213">
        <v>0</v>
      </c>
      <c r="M213" t="s">
        <v>25</v>
      </c>
      <c r="N213" t="s">
        <v>25</v>
      </c>
      <c r="O213" t="s">
        <v>26</v>
      </c>
      <c r="P213" t="s">
        <v>25</v>
      </c>
      <c r="Q213" t="s">
        <v>27</v>
      </c>
      <c r="R213" t="s">
        <v>28</v>
      </c>
    </row>
    <row r="214" spans="1:20">
      <c r="A214">
        <v>213</v>
      </c>
      <c r="B214" t="s">
        <v>266</v>
      </c>
      <c r="C214" t="s">
        <v>228</v>
      </c>
      <c r="D214" t="s">
        <v>229</v>
      </c>
      <c r="E214" t="s">
        <v>230</v>
      </c>
      <c r="F214">
        <v>0</v>
      </c>
      <c r="G214">
        <v>19</v>
      </c>
      <c r="H214">
        <v>0</v>
      </c>
      <c r="I214" t="s">
        <v>24</v>
      </c>
      <c r="J214" t="s">
        <v>25</v>
      </c>
      <c r="K214">
        <v>0</v>
      </c>
      <c r="L214">
        <v>0</v>
      </c>
      <c r="M214" t="s">
        <v>25</v>
      </c>
      <c r="N214" t="s">
        <v>25</v>
      </c>
      <c r="O214" t="s">
        <v>26</v>
      </c>
      <c r="P214" t="s">
        <v>25</v>
      </c>
      <c r="Q214" t="s">
        <v>27</v>
      </c>
      <c r="R214" t="s">
        <v>28</v>
      </c>
    </row>
    <row r="215" spans="1:20">
      <c r="A215">
        <v>214</v>
      </c>
      <c r="B215" t="s">
        <v>267</v>
      </c>
      <c r="C215" t="s">
        <v>36</v>
      </c>
      <c r="D215" t="s">
        <v>217</v>
      </c>
      <c r="E215" t="s">
        <v>268</v>
      </c>
      <c r="F215">
        <v>0</v>
      </c>
      <c r="G215">
        <v>19</v>
      </c>
      <c r="H215">
        <v>0</v>
      </c>
      <c r="I215" t="s">
        <v>24</v>
      </c>
      <c r="J215" t="s">
        <v>25</v>
      </c>
      <c r="K215">
        <v>0</v>
      </c>
      <c r="L215">
        <v>0</v>
      </c>
      <c r="M215" t="s">
        <v>25</v>
      </c>
      <c r="N215" t="s">
        <v>25</v>
      </c>
      <c r="O215" t="s">
        <v>26</v>
      </c>
      <c r="P215" t="s">
        <v>25</v>
      </c>
      <c r="Q215" t="s">
        <v>27</v>
      </c>
      <c r="R215" t="s">
        <v>28</v>
      </c>
    </row>
    <row r="216" spans="1:20">
      <c r="A216">
        <v>215</v>
      </c>
      <c r="B216" t="s">
        <v>269</v>
      </c>
      <c r="C216" t="s">
        <v>102</v>
      </c>
      <c r="D216" t="s">
        <v>22</v>
      </c>
      <c r="E216" t="s">
        <v>23</v>
      </c>
      <c r="F216">
        <v>0</v>
      </c>
      <c r="G216">
        <v>19</v>
      </c>
      <c r="H216">
        <v>0</v>
      </c>
      <c r="I216" t="s">
        <v>24</v>
      </c>
      <c r="J216" t="s">
        <v>25</v>
      </c>
      <c r="K216">
        <v>0</v>
      </c>
      <c r="L216">
        <v>0</v>
      </c>
      <c r="M216" t="s">
        <v>25</v>
      </c>
      <c r="N216" t="s">
        <v>25</v>
      </c>
      <c r="O216" t="s">
        <v>26</v>
      </c>
      <c r="P216" t="s">
        <v>25</v>
      </c>
      <c r="Q216" t="s">
        <v>27</v>
      </c>
      <c r="R216" t="s">
        <v>28</v>
      </c>
    </row>
    <row r="217" spans="1:20">
      <c r="A217">
        <v>216</v>
      </c>
      <c r="B217" t="s">
        <v>270</v>
      </c>
      <c r="C217" t="s">
        <v>102</v>
      </c>
      <c r="D217" t="s">
        <v>22</v>
      </c>
      <c r="E217" t="s">
        <v>23</v>
      </c>
      <c r="F217">
        <v>0</v>
      </c>
      <c r="G217">
        <v>19</v>
      </c>
      <c r="H217">
        <v>0</v>
      </c>
      <c r="I217" t="s">
        <v>24</v>
      </c>
      <c r="J217" t="s">
        <v>25</v>
      </c>
      <c r="K217">
        <v>0</v>
      </c>
      <c r="L217">
        <v>0</v>
      </c>
      <c r="M217" t="s">
        <v>25</v>
      </c>
      <c r="N217" t="s">
        <v>25</v>
      </c>
      <c r="O217" t="s">
        <v>26</v>
      </c>
      <c r="P217" t="s">
        <v>25</v>
      </c>
      <c r="Q217" t="s">
        <v>27</v>
      </c>
      <c r="R217" t="s">
        <v>28</v>
      </c>
    </row>
    <row r="218" spans="1:20">
      <c r="A218">
        <v>217</v>
      </c>
      <c r="B218" t="s">
        <v>271</v>
      </c>
      <c r="C218" t="s">
        <v>102</v>
      </c>
      <c r="D218" t="s">
        <v>22</v>
      </c>
      <c r="E218" t="s">
        <v>23</v>
      </c>
      <c r="F218">
        <v>0</v>
      </c>
      <c r="G218">
        <v>19</v>
      </c>
      <c r="H218">
        <v>0</v>
      </c>
      <c r="I218" t="s">
        <v>24</v>
      </c>
      <c r="J218" t="s">
        <v>25</v>
      </c>
      <c r="K218">
        <v>0</v>
      </c>
      <c r="L218">
        <v>0</v>
      </c>
      <c r="M218" t="s">
        <v>25</v>
      </c>
      <c r="N218" t="s">
        <v>25</v>
      </c>
      <c r="O218" t="s">
        <v>26</v>
      </c>
      <c r="P218" t="s">
        <v>25</v>
      </c>
      <c r="Q218" t="s">
        <v>27</v>
      </c>
      <c r="R218" t="s">
        <v>28</v>
      </c>
    </row>
    <row r="219" spans="1:20">
      <c r="A219">
        <v>218</v>
      </c>
      <c r="B219" t="s">
        <v>272</v>
      </c>
      <c r="C219" t="s">
        <v>102</v>
      </c>
      <c r="D219" t="s">
        <v>273</v>
      </c>
      <c r="E219" t="s">
        <v>23</v>
      </c>
      <c r="F219">
        <v>0</v>
      </c>
      <c r="G219">
        <v>19</v>
      </c>
      <c r="H219">
        <v>0</v>
      </c>
      <c r="I219" t="s">
        <v>24</v>
      </c>
      <c r="J219" t="s">
        <v>25</v>
      </c>
      <c r="K219">
        <v>0</v>
      </c>
      <c r="L219">
        <v>0</v>
      </c>
      <c r="M219" t="s">
        <v>25</v>
      </c>
      <c r="N219" t="s">
        <v>25</v>
      </c>
      <c r="O219" t="s">
        <v>26</v>
      </c>
      <c r="P219" t="s">
        <v>25</v>
      </c>
      <c r="Q219" t="s">
        <v>27</v>
      </c>
      <c r="R219" t="s">
        <v>28</v>
      </c>
    </row>
    <row r="220" spans="1:20">
      <c r="A220">
        <v>219</v>
      </c>
      <c r="B220" t="s">
        <v>274</v>
      </c>
      <c r="C220" t="s">
        <v>102</v>
      </c>
      <c r="D220" t="s">
        <v>22</v>
      </c>
      <c r="E220" t="s">
        <v>23</v>
      </c>
      <c r="F220">
        <v>0</v>
      </c>
      <c r="G220">
        <v>19</v>
      </c>
      <c r="H220">
        <v>0</v>
      </c>
      <c r="I220" t="s">
        <v>24</v>
      </c>
      <c r="J220" t="s">
        <v>25</v>
      </c>
      <c r="K220">
        <v>0</v>
      </c>
      <c r="L220">
        <v>0</v>
      </c>
      <c r="M220" t="s">
        <v>25</v>
      </c>
      <c r="N220" t="s">
        <v>25</v>
      </c>
      <c r="O220" t="s">
        <v>26</v>
      </c>
      <c r="P220" t="s">
        <v>25</v>
      </c>
      <c r="Q220" t="s">
        <v>27</v>
      </c>
      <c r="R220" t="s">
        <v>28</v>
      </c>
    </row>
    <row r="221" spans="1:20">
      <c r="A221">
        <v>220</v>
      </c>
      <c r="B221" t="s">
        <v>275</v>
      </c>
      <c r="C221" t="s">
        <v>102</v>
      </c>
      <c r="D221" t="s">
        <v>22</v>
      </c>
      <c r="E221" t="s">
        <v>23</v>
      </c>
      <c r="F221">
        <v>0</v>
      </c>
      <c r="G221">
        <v>19</v>
      </c>
      <c r="H221">
        <v>0</v>
      </c>
      <c r="I221" t="s">
        <v>24</v>
      </c>
      <c r="J221" t="s">
        <v>25</v>
      </c>
      <c r="K221">
        <v>0</v>
      </c>
      <c r="L221">
        <v>0</v>
      </c>
      <c r="M221" t="s">
        <v>25</v>
      </c>
      <c r="N221" t="s">
        <v>25</v>
      </c>
      <c r="O221" t="s">
        <v>26</v>
      </c>
      <c r="P221" t="s">
        <v>25</v>
      </c>
      <c r="Q221" t="s">
        <v>27</v>
      </c>
      <c r="R221" t="s">
        <v>28</v>
      </c>
    </row>
    <row r="222" spans="1:20">
      <c r="A222">
        <v>221</v>
      </c>
      <c r="B222" t="s">
        <v>276</v>
      </c>
      <c r="C222" t="s">
        <v>102</v>
      </c>
      <c r="D222" t="s">
        <v>22</v>
      </c>
      <c r="E222" t="s">
        <v>23</v>
      </c>
      <c r="F222">
        <v>0</v>
      </c>
      <c r="G222">
        <v>19</v>
      </c>
      <c r="H222">
        <v>0</v>
      </c>
      <c r="I222" t="s">
        <v>24</v>
      </c>
      <c r="J222" t="s">
        <v>25</v>
      </c>
      <c r="K222">
        <v>0</v>
      </c>
      <c r="L222">
        <v>0</v>
      </c>
      <c r="M222" t="s">
        <v>25</v>
      </c>
      <c r="N222" t="s">
        <v>25</v>
      </c>
      <c r="O222" t="s">
        <v>26</v>
      </c>
      <c r="P222" t="s">
        <v>25</v>
      </c>
      <c r="Q222" t="s">
        <v>27</v>
      </c>
      <c r="R222" t="s">
        <v>28</v>
      </c>
    </row>
    <row r="223" spans="1:20">
      <c r="A223">
        <v>222</v>
      </c>
      <c r="B223" t="s">
        <v>277</v>
      </c>
      <c r="C223" t="s">
        <v>102</v>
      </c>
      <c r="D223" t="s">
        <v>22</v>
      </c>
      <c r="E223" t="s">
        <v>23</v>
      </c>
      <c r="F223">
        <v>0</v>
      </c>
      <c r="G223">
        <v>19</v>
      </c>
      <c r="H223">
        <v>0</v>
      </c>
      <c r="I223" t="s">
        <v>24</v>
      </c>
      <c r="J223" t="s">
        <v>25</v>
      </c>
      <c r="K223">
        <v>0</v>
      </c>
      <c r="L223">
        <v>0</v>
      </c>
      <c r="M223" t="s">
        <v>25</v>
      </c>
      <c r="N223" t="s">
        <v>25</v>
      </c>
      <c r="O223" t="s">
        <v>26</v>
      </c>
      <c r="P223" t="s">
        <v>25</v>
      </c>
      <c r="Q223" t="s">
        <v>27</v>
      </c>
      <c r="R223" t="s">
        <v>28</v>
      </c>
    </row>
    <row r="224" spans="1:20">
      <c r="A224">
        <v>223</v>
      </c>
      <c r="B224" t="s">
        <v>278</v>
      </c>
      <c r="C224" t="s">
        <v>102</v>
      </c>
      <c r="D224" t="s">
        <v>22</v>
      </c>
      <c r="E224" t="s">
        <v>23</v>
      </c>
      <c r="F224">
        <v>0</v>
      </c>
      <c r="G224">
        <v>19</v>
      </c>
      <c r="H224">
        <v>0</v>
      </c>
      <c r="I224" t="s">
        <v>24</v>
      </c>
      <c r="J224" t="s">
        <v>25</v>
      </c>
      <c r="K224">
        <v>0</v>
      </c>
      <c r="L224">
        <v>0</v>
      </c>
      <c r="M224" t="s">
        <v>25</v>
      </c>
      <c r="N224" t="s">
        <v>25</v>
      </c>
      <c r="O224" t="s">
        <v>26</v>
      </c>
      <c r="P224" t="s">
        <v>25</v>
      </c>
      <c r="Q224" t="s">
        <v>27</v>
      </c>
      <c r="R224" t="s">
        <v>28</v>
      </c>
    </row>
    <row r="225" spans="1:20">
      <c r="A225">
        <v>224</v>
      </c>
      <c r="B225" t="s">
        <v>279</v>
      </c>
      <c r="C225" t="s">
        <v>102</v>
      </c>
      <c r="D225" t="s">
        <v>22</v>
      </c>
      <c r="E225" t="s">
        <v>23</v>
      </c>
      <c r="F225">
        <v>0</v>
      </c>
      <c r="G225">
        <v>19</v>
      </c>
      <c r="H225">
        <v>0</v>
      </c>
      <c r="I225" t="s">
        <v>24</v>
      </c>
      <c r="J225" t="s">
        <v>25</v>
      </c>
      <c r="K225">
        <v>0</v>
      </c>
      <c r="L225">
        <v>0</v>
      </c>
      <c r="M225" t="s">
        <v>25</v>
      </c>
      <c r="N225" t="s">
        <v>25</v>
      </c>
      <c r="O225" t="s">
        <v>26</v>
      </c>
      <c r="P225" t="s">
        <v>25</v>
      </c>
      <c r="Q225" t="s">
        <v>27</v>
      </c>
      <c r="R225" t="s">
        <v>28</v>
      </c>
    </row>
    <row r="226" spans="1:20">
      <c r="A226">
        <v>225</v>
      </c>
      <c r="B226" t="s">
        <v>280</v>
      </c>
      <c r="C226" t="s">
        <v>102</v>
      </c>
      <c r="D226" t="s">
        <v>22</v>
      </c>
      <c r="E226" t="s">
        <v>23</v>
      </c>
      <c r="F226">
        <v>0</v>
      </c>
      <c r="G226">
        <v>19</v>
      </c>
      <c r="H226">
        <v>0</v>
      </c>
      <c r="I226" t="s">
        <v>24</v>
      </c>
      <c r="J226" t="s">
        <v>25</v>
      </c>
      <c r="K226">
        <v>0</v>
      </c>
      <c r="L226">
        <v>0</v>
      </c>
      <c r="M226" t="s">
        <v>25</v>
      </c>
      <c r="N226" t="s">
        <v>25</v>
      </c>
      <c r="O226" t="s">
        <v>26</v>
      </c>
      <c r="P226" t="s">
        <v>25</v>
      </c>
      <c r="Q226" t="s">
        <v>27</v>
      </c>
      <c r="R226" t="s">
        <v>28</v>
      </c>
    </row>
    <row r="227" spans="1:20">
      <c r="A227">
        <v>226</v>
      </c>
      <c r="B227" t="s">
        <v>281</v>
      </c>
      <c r="C227" t="s">
        <v>21</v>
      </c>
      <c r="D227" t="s">
        <v>22</v>
      </c>
      <c r="E227" t="s">
        <v>23</v>
      </c>
      <c r="F227">
        <v>15300</v>
      </c>
      <c r="G227">
        <v>19</v>
      </c>
      <c r="H227">
        <v>18207</v>
      </c>
      <c r="I227" t="s">
        <v>24</v>
      </c>
      <c r="J227" t="s">
        <v>25</v>
      </c>
      <c r="K227">
        <v>0</v>
      </c>
      <c r="L227">
        <v>0</v>
      </c>
      <c r="M227" t="s">
        <v>25</v>
      </c>
      <c r="N227" t="s">
        <v>25</v>
      </c>
      <c r="O227" t="s">
        <v>26</v>
      </c>
      <c r="P227" t="s">
        <v>25</v>
      </c>
      <c r="Q227" t="s">
        <v>27</v>
      </c>
      <c r="R227" t="s">
        <v>28</v>
      </c>
    </row>
    <row r="228" spans="1:20">
      <c r="A228">
        <v>227</v>
      </c>
      <c r="B228" t="s">
        <v>282</v>
      </c>
      <c r="C228" t="s">
        <v>21</v>
      </c>
      <c r="D228" t="s">
        <v>283</v>
      </c>
      <c r="E228" t="s">
        <v>23</v>
      </c>
      <c r="F228">
        <v>75400</v>
      </c>
      <c r="G228">
        <v>19</v>
      </c>
      <c r="H228">
        <v>89726</v>
      </c>
      <c r="I228" t="s">
        <v>24</v>
      </c>
      <c r="J228" t="s">
        <v>25</v>
      </c>
      <c r="K228">
        <v>0</v>
      </c>
      <c r="L228">
        <v>0</v>
      </c>
      <c r="M228" t="s">
        <v>25</v>
      </c>
      <c r="N228" t="s">
        <v>25</v>
      </c>
      <c r="O228" t="s">
        <v>26</v>
      </c>
      <c r="P228" t="s">
        <v>25</v>
      </c>
      <c r="Q228" t="s">
        <v>27</v>
      </c>
      <c r="R228" t="s">
        <v>28</v>
      </c>
      <c r="S228" t="s">
        <v>284</v>
      </c>
      <c r="T228" t="s">
        <v>285</v>
      </c>
    </row>
    <row r="229" spans="1:20">
      <c r="A229">
        <v>228</v>
      </c>
      <c r="B229" t="s">
        <v>286</v>
      </c>
      <c r="C229" t="s">
        <v>21</v>
      </c>
      <c r="D229" t="s">
        <v>22</v>
      </c>
      <c r="E229" t="s">
        <v>23</v>
      </c>
      <c r="F229">
        <v>264800</v>
      </c>
      <c r="G229">
        <v>19</v>
      </c>
      <c r="H229">
        <v>315112</v>
      </c>
      <c r="I229" t="s">
        <v>24</v>
      </c>
      <c r="J229" t="s">
        <v>25</v>
      </c>
      <c r="K229">
        <v>0</v>
      </c>
      <c r="L229">
        <v>0</v>
      </c>
      <c r="M229" t="s">
        <v>25</v>
      </c>
      <c r="N229" t="s">
        <v>25</v>
      </c>
      <c r="O229" t="s">
        <v>26</v>
      </c>
      <c r="P229" t="s">
        <v>25</v>
      </c>
      <c r="Q229" t="s">
        <v>27</v>
      </c>
      <c r="R229" t="s">
        <v>28</v>
      </c>
      <c r="S229" t="s">
        <v>51</v>
      </c>
      <c r="T229" t="s">
        <v>287</v>
      </c>
    </row>
    <row r="230" spans="1:20">
      <c r="A230">
        <v>229</v>
      </c>
      <c r="B230" t="s">
        <v>288</v>
      </c>
      <c r="C230" t="s">
        <v>21</v>
      </c>
      <c r="D230" t="s">
        <v>22</v>
      </c>
      <c r="E230" t="s">
        <v>23</v>
      </c>
      <c r="F230">
        <v>2700</v>
      </c>
      <c r="G230">
        <v>19</v>
      </c>
      <c r="H230">
        <v>3213</v>
      </c>
      <c r="I230" t="s">
        <v>24</v>
      </c>
      <c r="J230" t="s">
        <v>25</v>
      </c>
      <c r="K230">
        <v>0</v>
      </c>
      <c r="L230">
        <v>0</v>
      </c>
      <c r="M230" t="s">
        <v>25</v>
      </c>
      <c r="N230" t="s">
        <v>25</v>
      </c>
      <c r="O230" t="s">
        <v>26</v>
      </c>
      <c r="P230" t="s">
        <v>25</v>
      </c>
      <c r="Q230" t="s">
        <v>27</v>
      </c>
      <c r="R230" t="s">
        <v>28</v>
      </c>
    </row>
    <row r="231" spans="1:20">
      <c r="A231">
        <v>230</v>
      </c>
      <c r="B231" t="s">
        <v>289</v>
      </c>
      <c r="C231" t="s">
        <v>21</v>
      </c>
      <c r="D231" t="s">
        <v>22</v>
      </c>
      <c r="E231" t="s">
        <v>23</v>
      </c>
      <c r="F231">
        <v>47250</v>
      </c>
      <c r="G231">
        <v>19</v>
      </c>
      <c r="H231">
        <v>56228</v>
      </c>
      <c r="I231" t="s">
        <v>24</v>
      </c>
      <c r="J231" t="s">
        <v>25</v>
      </c>
      <c r="K231">
        <v>0</v>
      </c>
      <c r="L231">
        <v>0</v>
      </c>
      <c r="M231" t="s">
        <v>25</v>
      </c>
      <c r="N231" t="s">
        <v>25</v>
      </c>
      <c r="O231" t="s">
        <v>26</v>
      </c>
      <c r="P231" t="s">
        <v>25</v>
      </c>
      <c r="Q231" t="s">
        <v>27</v>
      </c>
      <c r="R231" t="s">
        <v>28</v>
      </c>
    </row>
    <row r="232" spans="1:20">
      <c r="A232">
        <v>231</v>
      </c>
      <c r="B232" t="s">
        <v>290</v>
      </c>
      <c r="C232" t="s">
        <v>21</v>
      </c>
      <c r="D232" t="s">
        <v>22</v>
      </c>
      <c r="E232" t="s">
        <v>23</v>
      </c>
      <c r="F232">
        <v>15900</v>
      </c>
      <c r="G232">
        <v>19</v>
      </c>
      <c r="H232">
        <v>18921</v>
      </c>
      <c r="I232" t="s">
        <v>24</v>
      </c>
      <c r="J232" t="s">
        <v>25</v>
      </c>
      <c r="K232">
        <v>0</v>
      </c>
      <c r="L232">
        <v>0</v>
      </c>
      <c r="M232" t="s">
        <v>25</v>
      </c>
      <c r="N232" t="s">
        <v>25</v>
      </c>
      <c r="O232" t="s">
        <v>26</v>
      </c>
      <c r="P232" t="s">
        <v>25</v>
      </c>
      <c r="Q232" t="s">
        <v>27</v>
      </c>
      <c r="R232" t="s">
        <v>28</v>
      </c>
    </row>
    <row r="233" spans="1:20">
      <c r="A233">
        <v>232</v>
      </c>
      <c r="B233" t="s">
        <v>291</v>
      </c>
      <c r="C233" t="s">
        <v>21</v>
      </c>
      <c r="D233" t="s">
        <v>22</v>
      </c>
      <c r="E233" t="s">
        <v>23</v>
      </c>
      <c r="F233">
        <v>15900</v>
      </c>
      <c r="G233">
        <v>19</v>
      </c>
      <c r="H233">
        <v>18921</v>
      </c>
      <c r="I233" t="s">
        <v>24</v>
      </c>
      <c r="J233" t="s">
        <v>25</v>
      </c>
      <c r="K233">
        <v>0</v>
      </c>
      <c r="L233">
        <v>0</v>
      </c>
      <c r="M233" t="s">
        <v>25</v>
      </c>
      <c r="N233" t="s">
        <v>25</v>
      </c>
      <c r="O233" t="s">
        <v>26</v>
      </c>
      <c r="P233" t="s">
        <v>25</v>
      </c>
      <c r="Q233" t="s">
        <v>27</v>
      </c>
      <c r="R233" t="s">
        <v>28</v>
      </c>
    </row>
    <row r="234" spans="1:20">
      <c r="A234">
        <v>233</v>
      </c>
      <c r="B234" t="s">
        <v>292</v>
      </c>
      <c r="C234" t="s">
        <v>21</v>
      </c>
      <c r="D234" t="s">
        <v>22</v>
      </c>
      <c r="E234" t="s">
        <v>23</v>
      </c>
      <c r="F234">
        <v>22950</v>
      </c>
      <c r="G234">
        <v>19</v>
      </c>
      <c r="H234">
        <v>27311</v>
      </c>
      <c r="I234" t="s">
        <v>24</v>
      </c>
      <c r="J234" t="s">
        <v>25</v>
      </c>
      <c r="K234">
        <v>0</v>
      </c>
      <c r="L234">
        <v>0</v>
      </c>
      <c r="M234" t="s">
        <v>25</v>
      </c>
      <c r="N234" t="s">
        <v>25</v>
      </c>
      <c r="O234" t="s">
        <v>26</v>
      </c>
      <c r="P234" t="s">
        <v>25</v>
      </c>
      <c r="Q234" t="s">
        <v>27</v>
      </c>
      <c r="R234" t="s">
        <v>28</v>
      </c>
    </row>
    <row r="235" spans="1:20">
      <c r="A235">
        <v>234</v>
      </c>
      <c r="B235" t="s">
        <v>293</v>
      </c>
      <c r="C235" t="s">
        <v>21</v>
      </c>
      <c r="D235" t="s">
        <v>22</v>
      </c>
      <c r="E235" t="s">
        <v>23</v>
      </c>
      <c r="F235">
        <v>8900</v>
      </c>
      <c r="G235">
        <v>19</v>
      </c>
      <c r="H235">
        <v>10591</v>
      </c>
      <c r="I235" t="s">
        <v>24</v>
      </c>
      <c r="J235" t="s">
        <v>25</v>
      </c>
      <c r="K235">
        <v>0</v>
      </c>
      <c r="L235">
        <v>0</v>
      </c>
      <c r="M235" t="s">
        <v>25</v>
      </c>
      <c r="N235" t="s">
        <v>25</v>
      </c>
      <c r="O235" t="s">
        <v>26</v>
      </c>
      <c r="P235" t="s">
        <v>25</v>
      </c>
      <c r="Q235" t="s">
        <v>27</v>
      </c>
      <c r="R235" t="s">
        <v>28</v>
      </c>
      <c r="S235" t="s">
        <v>48</v>
      </c>
      <c r="T235" t="s">
        <v>49</v>
      </c>
    </row>
    <row r="236" spans="1:20">
      <c r="A236">
        <v>235</v>
      </c>
      <c r="B236" t="s">
        <v>294</v>
      </c>
      <c r="C236" t="s">
        <v>21</v>
      </c>
      <c r="D236" t="s">
        <v>22</v>
      </c>
      <c r="E236" t="s">
        <v>23</v>
      </c>
      <c r="F236">
        <v>70000</v>
      </c>
      <c r="G236">
        <v>19</v>
      </c>
      <c r="H236">
        <v>83300</v>
      </c>
      <c r="I236" t="s">
        <v>24</v>
      </c>
      <c r="J236" t="s">
        <v>25</v>
      </c>
      <c r="K236">
        <v>0</v>
      </c>
      <c r="L236">
        <v>0</v>
      </c>
      <c r="M236" t="s">
        <v>25</v>
      </c>
      <c r="N236" t="s">
        <v>25</v>
      </c>
      <c r="O236" t="s">
        <v>26</v>
      </c>
      <c r="P236" t="s">
        <v>25</v>
      </c>
      <c r="Q236" t="s">
        <v>27</v>
      </c>
      <c r="R236" t="s">
        <v>28</v>
      </c>
    </row>
    <row r="237" spans="1:20">
      <c r="A237">
        <v>236</v>
      </c>
      <c r="B237" t="s">
        <v>295</v>
      </c>
      <c r="C237" t="s">
        <v>36</v>
      </c>
      <c r="D237" t="s">
        <v>22</v>
      </c>
      <c r="E237" t="s">
        <v>37</v>
      </c>
      <c r="F237">
        <v>0</v>
      </c>
      <c r="G237">
        <v>19</v>
      </c>
      <c r="H237">
        <v>0</v>
      </c>
      <c r="I237" t="s">
        <v>24</v>
      </c>
      <c r="J237" t="s">
        <v>25</v>
      </c>
      <c r="K237">
        <v>0</v>
      </c>
      <c r="L237">
        <v>0</v>
      </c>
      <c r="M237" t="s">
        <v>25</v>
      </c>
      <c r="N237" t="s">
        <v>25</v>
      </c>
      <c r="O237" t="s">
        <v>26</v>
      </c>
      <c r="P237" t="s">
        <v>25</v>
      </c>
      <c r="Q237" t="s">
        <v>27</v>
      </c>
      <c r="R237" t="s">
        <v>28</v>
      </c>
    </row>
    <row r="238" spans="1:20">
      <c r="A238">
        <v>237</v>
      </c>
      <c r="B238" t="s">
        <v>296</v>
      </c>
      <c r="C238" t="s">
        <v>36</v>
      </c>
      <c r="D238" t="s">
        <v>22</v>
      </c>
      <c r="E238" t="s">
        <v>23</v>
      </c>
      <c r="F238">
        <v>0</v>
      </c>
      <c r="G238">
        <v>19</v>
      </c>
      <c r="H238">
        <v>0</v>
      </c>
      <c r="I238" t="s">
        <v>24</v>
      </c>
      <c r="J238" t="s">
        <v>25</v>
      </c>
      <c r="K238">
        <v>0</v>
      </c>
      <c r="L238">
        <v>0</v>
      </c>
      <c r="M238" t="s">
        <v>25</v>
      </c>
      <c r="N238" t="s">
        <v>25</v>
      </c>
      <c r="O238" t="s">
        <v>26</v>
      </c>
      <c r="P238" t="s">
        <v>25</v>
      </c>
      <c r="Q238" t="s">
        <v>27</v>
      </c>
      <c r="R238" t="s">
        <v>28</v>
      </c>
      <c r="S238" t="s">
        <v>297</v>
      </c>
      <c r="T238" t="s">
        <v>239</v>
      </c>
    </row>
    <row r="239" spans="1:20">
      <c r="A239">
        <v>238</v>
      </c>
      <c r="B239" t="s">
        <v>298</v>
      </c>
      <c r="C239" t="s">
        <v>36</v>
      </c>
      <c r="D239" t="s">
        <v>22</v>
      </c>
      <c r="E239" t="s">
        <v>23</v>
      </c>
      <c r="F239">
        <v>0</v>
      </c>
      <c r="G239">
        <v>19</v>
      </c>
      <c r="H239">
        <v>0</v>
      </c>
      <c r="I239" t="s">
        <v>24</v>
      </c>
      <c r="J239" t="s">
        <v>25</v>
      </c>
      <c r="K239">
        <v>0</v>
      </c>
      <c r="L239">
        <v>0</v>
      </c>
      <c r="M239" t="s">
        <v>25</v>
      </c>
      <c r="N239" t="s">
        <v>25</v>
      </c>
      <c r="O239" t="s">
        <v>26</v>
      </c>
      <c r="P239" t="s">
        <v>25</v>
      </c>
      <c r="Q239" t="s">
        <v>27</v>
      </c>
      <c r="R239" t="s">
        <v>28</v>
      </c>
      <c r="S239" t="s">
        <v>297</v>
      </c>
      <c r="T239" t="s">
        <v>239</v>
      </c>
    </row>
    <row r="240" spans="1:20">
      <c r="A240">
        <v>239</v>
      </c>
      <c r="B240" t="s">
        <v>299</v>
      </c>
      <c r="C240" t="s">
        <v>36</v>
      </c>
      <c r="D240" t="s">
        <v>22</v>
      </c>
      <c r="E240" t="s">
        <v>300</v>
      </c>
      <c r="F240">
        <v>0</v>
      </c>
      <c r="G240">
        <v>19</v>
      </c>
      <c r="H240">
        <v>0</v>
      </c>
      <c r="I240" t="s">
        <v>24</v>
      </c>
      <c r="J240" t="s">
        <v>25</v>
      </c>
      <c r="K240">
        <v>0</v>
      </c>
      <c r="L240">
        <v>0</v>
      </c>
      <c r="M240" t="s">
        <v>25</v>
      </c>
      <c r="N240" t="s">
        <v>25</v>
      </c>
      <c r="O240" t="s">
        <v>26</v>
      </c>
      <c r="P240" t="s">
        <v>25</v>
      </c>
      <c r="Q240" t="s">
        <v>27</v>
      </c>
      <c r="R240" t="s">
        <v>28</v>
      </c>
    </row>
    <row r="241" spans="1:20">
      <c r="A241">
        <v>240</v>
      </c>
      <c r="B241" t="s">
        <v>301</v>
      </c>
      <c r="C241" t="s">
        <v>21</v>
      </c>
      <c r="D241" t="s">
        <v>302</v>
      </c>
      <c r="E241" t="s">
        <v>23</v>
      </c>
      <c r="F241">
        <v>23459</v>
      </c>
      <c r="G241">
        <v>19</v>
      </c>
      <c r="H241">
        <v>27916.21</v>
      </c>
      <c r="I241" t="s">
        <v>24</v>
      </c>
      <c r="J241" t="s">
        <v>25</v>
      </c>
      <c r="K241">
        <v>0</v>
      </c>
      <c r="L241">
        <v>0</v>
      </c>
      <c r="M241" t="s">
        <v>25</v>
      </c>
      <c r="N241" t="s">
        <v>25</v>
      </c>
      <c r="O241" t="s">
        <v>26</v>
      </c>
      <c r="P241" t="s">
        <v>25</v>
      </c>
      <c r="Q241" t="s">
        <v>27</v>
      </c>
      <c r="R241" t="s">
        <v>28</v>
      </c>
      <c r="S241" t="s">
        <v>51</v>
      </c>
      <c r="T241" t="s">
        <v>303</v>
      </c>
    </row>
    <row r="242" spans="1:20">
      <c r="A242">
        <v>241</v>
      </c>
      <c r="B242" t="s">
        <v>304</v>
      </c>
      <c r="C242" t="s">
        <v>21</v>
      </c>
      <c r="D242" t="s">
        <v>22</v>
      </c>
      <c r="E242" t="s">
        <v>23</v>
      </c>
      <c r="F242">
        <v>0</v>
      </c>
      <c r="G242">
        <v>19</v>
      </c>
      <c r="H242">
        <v>0</v>
      </c>
      <c r="I242" t="s">
        <v>24</v>
      </c>
      <c r="J242" t="s">
        <v>25</v>
      </c>
      <c r="K242">
        <v>0</v>
      </c>
      <c r="L242">
        <v>0</v>
      </c>
      <c r="M242" t="s">
        <v>25</v>
      </c>
      <c r="N242" t="s">
        <v>25</v>
      </c>
      <c r="O242" t="s">
        <v>26</v>
      </c>
      <c r="P242" t="s">
        <v>25</v>
      </c>
      <c r="Q242" t="s">
        <v>27</v>
      </c>
      <c r="R242" t="s">
        <v>28</v>
      </c>
      <c r="S242" t="s">
        <v>51</v>
      </c>
      <c r="T242" t="s">
        <v>305</v>
      </c>
    </row>
    <row r="243" spans="1:20">
      <c r="A243">
        <v>242</v>
      </c>
      <c r="B243" t="s">
        <v>306</v>
      </c>
      <c r="C243" t="s">
        <v>36</v>
      </c>
      <c r="D243" t="s">
        <v>217</v>
      </c>
      <c r="E243" t="s">
        <v>37</v>
      </c>
      <c r="F243">
        <v>1500000</v>
      </c>
      <c r="G243">
        <v>19</v>
      </c>
      <c r="H243">
        <v>1785000</v>
      </c>
      <c r="I243" t="s">
        <v>24</v>
      </c>
      <c r="J243" t="s">
        <v>25</v>
      </c>
      <c r="K243">
        <v>0</v>
      </c>
      <c r="L243">
        <v>0</v>
      </c>
      <c r="M243" t="s">
        <v>25</v>
      </c>
      <c r="N243" t="s">
        <v>25</v>
      </c>
      <c r="O243" t="s">
        <v>26</v>
      </c>
      <c r="P243" t="s">
        <v>25</v>
      </c>
      <c r="Q243" t="s">
        <v>27</v>
      </c>
      <c r="R243" t="s">
        <v>28</v>
      </c>
    </row>
    <row r="244" spans="1:20">
      <c r="A244">
        <v>243</v>
      </c>
      <c r="B244" t="s">
        <v>307</v>
      </c>
      <c r="C244" t="s">
        <v>21</v>
      </c>
      <c r="D244" t="s">
        <v>22</v>
      </c>
      <c r="E244" t="s">
        <v>23</v>
      </c>
      <c r="F244">
        <v>3361</v>
      </c>
      <c r="G244">
        <v>19</v>
      </c>
      <c r="H244">
        <v>4000</v>
      </c>
      <c r="I244" t="s">
        <v>24</v>
      </c>
      <c r="J244" t="s">
        <v>25</v>
      </c>
      <c r="K244">
        <v>0</v>
      </c>
      <c r="L244">
        <v>0</v>
      </c>
      <c r="M244" t="s">
        <v>25</v>
      </c>
      <c r="N244" t="s">
        <v>25</v>
      </c>
      <c r="O244" t="s">
        <v>26</v>
      </c>
      <c r="P244" t="s">
        <v>25</v>
      </c>
      <c r="Q244" t="s">
        <v>27</v>
      </c>
      <c r="R244" t="s">
        <v>28</v>
      </c>
      <c r="S244" t="s">
        <v>51</v>
      </c>
      <c r="T244" t="s">
        <v>308</v>
      </c>
    </row>
    <row r="245" spans="1:20">
      <c r="A245">
        <v>244</v>
      </c>
      <c r="B245" t="s">
        <v>309</v>
      </c>
      <c r="C245" t="s">
        <v>21</v>
      </c>
      <c r="D245" t="s">
        <v>310</v>
      </c>
      <c r="E245" t="s">
        <v>23</v>
      </c>
      <c r="F245">
        <v>3361</v>
      </c>
      <c r="G245">
        <v>19</v>
      </c>
      <c r="H245">
        <v>4000</v>
      </c>
      <c r="I245" t="s">
        <v>24</v>
      </c>
      <c r="J245" t="s">
        <v>25</v>
      </c>
      <c r="K245">
        <v>0</v>
      </c>
      <c r="L245">
        <v>0</v>
      </c>
      <c r="M245" t="s">
        <v>25</v>
      </c>
      <c r="N245" t="s">
        <v>25</v>
      </c>
      <c r="O245" t="s">
        <v>26</v>
      </c>
      <c r="P245" t="s">
        <v>25</v>
      </c>
      <c r="Q245" t="s">
        <v>27</v>
      </c>
      <c r="R245" t="s">
        <v>28</v>
      </c>
      <c r="S245" t="s">
        <v>51</v>
      </c>
      <c r="T245" t="s">
        <v>308</v>
      </c>
    </row>
    <row r="246" spans="1:20">
      <c r="A246">
        <v>245</v>
      </c>
      <c r="B246" t="s">
        <v>311</v>
      </c>
      <c r="C246" t="s">
        <v>21</v>
      </c>
      <c r="D246" t="s">
        <v>310</v>
      </c>
      <c r="E246" t="s">
        <v>23</v>
      </c>
      <c r="F246">
        <v>3361</v>
      </c>
      <c r="G246">
        <v>19</v>
      </c>
      <c r="H246">
        <v>4000</v>
      </c>
      <c r="I246" t="s">
        <v>24</v>
      </c>
      <c r="J246" t="s">
        <v>25</v>
      </c>
      <c r="K246">
        <v>0</v>
      </c>
      <c r="L246">
        <v>0</v>
      </c>
      <c r="M246" t="s">
        <v>25</v>
      </c>
      <c r="N246" t="s">
        <v>25</v>
      </c>
      <c r="O246" t="s">
        <v>26</v>
      </c>
      <c r="P246" t="s">
        <v>25</v>
      </c>
      <c r="Q246" t="s">
        <v>27</v>
      </c>
      <c r="R246" t="s">
        <v>28</v>
      </c>
      <c r="S246" t="s">
        <v>51</v>
      </c>
      <c r="T246" t="s">
        <v>308</v>
      </c>
    </row>
    <row r="247" spans="1:20">
      <c r="A247">
        <v>246</v>
      </c>
      <c r="B247" t="s">
        <v>312</v>
      </c>
      <c r="C247" t="s">
        <v>102</v>
      </c>
      <c r="D247" t="s">
        <v>22</v>
      </c>
      <c r="E247" t="s">
        <v>23</v>
      </c>
      <c r="F247">
        <v>2000</v>
      </c>
      <c r="G247">
        <v>19</v>
      </c>
      <c r="H247">
        <v>2380</v>
      </c>
      <c r="I247" t="s">
        <v>24</v>
      </c>
      <c r="J247" t="s">
        <v>25</v>
      </c>
      <c r="K247">
        <v>0</v>
      </c>
      <c r="L247">
        <v>0</v>
      </c>
      <c r="M247" t="s">
        <v>25</v>
      </c>
      <c r="N247" t="s">
        <v>25</v>
      </c>
      <c r="O247" t="s">
        <v>26</v>
      </c>
      <c r="P247" t="s">
        <v>25</v>
      </c>
      <c r="Q247" t="s">
        <v>27</v>
      </c>
      <c r="R247" t="s">
        <v>28</v>
      </c>
    </row>
    <row r="248" spans="1:20">
      <c r="A248">
        <v>247</v>
      </c>
      <c r="B248" t="s">
        <v>313</v>
      </c>
      <c r="C248" t="s">
        <v>21</v>
      </c>
      <c r="D248" t="s">
        <v>273</v>
      </c>
      <c r="E248" t="s">
        <v>23</v>
      </c>
      <c r="F248">
        <v>80000</v>
      </c>
      <c r="G248">
        <v>19</v>
      </c>
      <c r="H248">
        <v>95200</v>
      </c>
      <c r="I248" t="s">
        <v>24</v>
      </c>
      <c r="J248" t="s">
        <v>25</v>
      </c>
      <c r="K248">
        <v>0</v>
      </c>
      <c r="L248">
        <v>0</v>
      </c>
      <c r="M248" t="s">
        <v>25</v>
      </c>
      <c r="N248" t="s">
        <v>25</v>
      </c>
      <c r="O248" t="s">
        <v>26</v>
      </c>
      <c r="P248" t="s">
        <v>25</v>
      </c>
      <c r="Q248" t="s">
        <v>27</v>
      </c>
      <c r="R248" t="s">
        <v>28</v>
      </c>
    </row>
    <row r="249" spans="1:20">
      <c r="A249">
        <v>248</v>
      </c>
      <c r="B249" t="s">
        <v>314</v>
      </c>
      <c r="C249" t="s">
        <v>21</v>
      </c>
      <c r="D249" t="s">
        <v>22</v>
      </c>
      <c r="E249" t="s">
        <v>23</v>
      </c>
      <c r="F249">
        <v>80000</v>
      </c>
      <c r="G249">
        <v>19</v>
      </c>
      <c r="H249">
        <v>95200</v>
      </c>
      <c r="I249" t="s">
        <v>24</v>
      </c>
      <c r="J249" t="s">
        <v>25</v>
      </c>
      <c r="K249">
        <v>0</v>
      </c>
      <c r="L249">
        <v>0</v>
      </c>
      <c r="M249" t="s">
        <v>25</v>
      </c>
      <c r="N249" t="s">
        <v>25</v>
      </c>
      <c r="O249" t="s">
        <v>26</v>
      </c>
      <c r="P249" t="s">
        <v>25</v>
      </c>
      <c r="Q249" t="s">
        <v>27</v>
      </c>
      <c r="R249" t="s">
        <v>28</v>
      </c>
    </row>
    <row r="250" spans="1:20">
      <c r="A250">
        <v>249</v>
      </c>
      <c r="B250" t="s">
        <v>315</v>
      </c>
      <c r="C250" t="s">
        <v>21</v>
      </c>
      <c r="D250" t="s">
        <v>22</v>
      </c>
      <c r="E250" t="s">
        <v>23</v>
      </c>
      <c r="F250">
        <v>0</v>
      </c>
      <c r="G250">
        <v>19</v>
      </c>
      <c r="H250">
        <v>0</v>
      </c>
      <c r="I250" t="s">
        <v>24</v>
      </c>
      <c r="J250" t="s">
        <v>25</v>
      </c>
      <c r="K250">
        <v>0</v>
      </c>
      <c r="L250">
        <v>0</v>
      </c>
      <c r="M250" t="s">
        <v>25</v>
      </c>
      <c r="N250" t="s">
        <v>25</v>
      </c>
      <c r="O250" t="s">
        <v>26</v>
      </c>
      <c r="P250" t="s">
        <v>25</v>
      </c>
      <c r="Q250" t="s">
        <v>27</v>
      </c>
      <c r="R250" t="s">
        <v>28</v>
      </c>
    </row>
    <row r="251" spans="1:20">
      <c r="A251">
        <v>250</v>
      </c>
      <c r="B251" t="s">
        <v>316</v>
      </c>
      <c r="C251" t="s">
        <v>21</v>
      </c>
      <c r="D251" t="s">
        <v>22</v>
      </c>
      <c r="E251" t="s">
        <v>23</v>
      </c>
      <c r="F251">
        <v>0</v>
      </c>
      <c r="G251">
        <v>19</v>
      </c>
      <c r="H251">
        <v>0</v>
      </c>
      <c r="I251" t="s">
        <v>24</v>
      </c>
      <c r="J251" t="s">
        <v>25</v>
      </c>
      <c r="K251">
        <v>0</v>
      </c>
      <c r="L251">
        <v>0</v>
      </c>
      <c r="M251" t="s">
        <v>25</v>
      </c>
      <c r="N251" t="s">
        <v>25</v>
      </c>
      <c r="O251" t="s">
        <v>26</v>
      </c>
      <c r="P251" t="s">
        <v>25</v>
      </c>
      <c r="Q251" t="s">
        <v>27</v>
      </c>
      <c r="R251" t="s">
        <v>28</v>
      </c>
    </row>
    <row r="252" spans="1:20">
      <c r="A252">
        <v>251</v>
      </c>
      <c r="B252" t="s">
        <v>317</v>
      </c>
      <c r="C252" t="s">
        <v>21</v>
      </c>
      <c r="D252" t="s">
        <v>22</v>
      </c>
      <c r="E252" t="s">
        <v>23</v>
      </c>
      <c r="F252">
        <v>0</v>
      </c>
      <c r="G252">
        <v>19</v>
      </c>
      <c r="H252">
        <v>0</v>
      </c>
      <c r="I252" t="s">
        <v>24</v>
      </c>
      <c r="J252" t="s">
        <v>25</v>
      </c>
      <c r="K252">
        <v>0</v>
      </c>
      <c r="L252">
        <v>0</v>
      </c>
      <c r="M252" t="s">
        <v>25</v>
      </c>
      <c r="N252" t="s">
        <v>25</v>
      </c>
      <c r="O252" t="s">
        <v>26</v>
      </c>
      <c r="P252" t="s">
        <v>25</v>
      </c>
      <c r="Q252" t="s">
        <v>27</v>
      </c>
      <c r="R252" t="s">
        <v>28</v>
      </c>
    </row>
    <row r="253" spans="1:20">
      <c r="A253">
        <v>252</v>
      </c>
      <c r="B253" t="s">
        <v>318</v>
      </c>
      <c r="C253" t="s">
        <v>21</v>
      </c>
      <c r="D253" t="s">
        <v>22</v>
      </c>
      <c r="E253" t="s">
        <v>23</v>
      </c>
      <c r="F253">
        <v>0</v>
      </c>
      <c r="G253">
        <v>19</v>
      </c>
      <c r="H253">
        <v>0</v>
      </c>
      <c r="I253" t="s">
        <v>24</v>
      </c>
      <c r="J253" t="s">
        <v>25</v>
      </c>
      <c r="K253">
        <v>0</v>
      </c>
      <c r="L253">
        <v>0</v>
      </c>
      <c r="M253" t="s">
        <v>25</v>
      </c>
      <c r="N253" t="s">
        <v>25</v>
      </c>
      <c r="O253" t="s">
        <v>26</v>
      </c>
      <c r="P253" t="s">
        <v>25</v>
      </c>
      <c r="Q253" t="s">
        <v>27</v>
      </c>
      <c r="R253" t="s">
        <v>28</v>
      </c>
    </row>
    <row r="254" spans="1:20">
      <c r="A254">
        <v>253</v>
      </c>
      <c r="B254" t="s">
        <v>319</v>
      </c>
      <c r="C254" t="s">
        <v>320</v>
      </c>
      <c r="D254" t="s">
        <v>22</v>
      </c>
      <c r="E254" t="s">
        <v>321</v>
      </c>
      <c r="F254">
        <v>0</v>
      </c>
      <c r="G254">
        <v>19</v>
      </c>
      <c r="H254">
        <v>0</v>
      </c>
      <c r="I254" t="s">
        <v>24</v>
      </c>
      <c r="J254" t="s">
        <v>25</v>
      </c>
      <c r="K254">
        <v>0</v>
      </c>
      <c r="L254">
        <v>0</v>
      </c>
      <c r="M254" t="s">
        <v>25</v>
      </c>
      <c r="N254" t="s">
        <v>25</v>
      </c>
      <c r="O254" t="s">
        <v>26</v>
      </c>
      <c r="P254" t="s">
        <v>25</v>
      </c>
      <c r="Q254" t="s">
        <v>27</v>
      </c>
      <c r="R254" t="s">
        <v>28</v>
      </c>
    </row>
    <row r="255" spans="1:20">
      <c r="A255">
        <v>254</v>
      </c>
      <c r="B255" t="s">
        <v>322</v>
      </c>
      <c r="C255" t="s">
        <v>21</v>
      </c>
      <c r="D255" t="s">
        <v>22</v>
      </c>
      <c r="E255" t="s">
        <v>23</v>
      </c>
      <c r="F255">
        <v>1147500</v>
      </c>
      <c r="G255">
        <v>19</v>
      </c>
      <c r="H255">
        <v>1365525</v>
      </c>
      <c r="I255" t="s">
        <v>24</v>
      </c>
      <c r="J255" t="s">
        <v>25</v>
      </c>
      <c r="K255">
        <v>0</v>
      </c>
      <c r="L255">
        <v>0</v>
      </c>
      <c r="M255" t="s">
        <v>25</v>
      </c>
      <c r="N255" t="s">
        <v>25</v>
      </c>
      <c r="O255" t="s">
        <v>26</v>
      </c>
      <c r="P255" t="s">
        <v>25</v>
      </c>
      <c r="Q255" t="s">
        <v>27</v>
      </c>
      <c r="R255" t="s">
        <v>28</v>
      </c>
    </row>
    <row r="256" spans="1:20">
      <c r="A256">
        <v>255</v>
      </c>
      <c r="B256" t="s">
        <v>323</v>
      </c>
      <c r="C256" t="s">
        <v>320</v>
      </c>
      <c r="D256" t="s">
        <v>229</v>
      </c>
      <c r="E256" t="s">
        <v>321</v>
      </c>
      <c r="F256">
        <v>0</v>
      </c>
      <c r="G256">
        <v>19</v>
      </c>
      <c r="H256">
        <v>0</v>
      </c>
      <c r="I256" t="s">
        <v>24</v>
      </c>
      <c r="J256" t="s">
        <v>25</v>
      </c>
      <c r="K256">
        <v>0</v>
      </c>
      <c r="L256">
        <v>0</v>
      </c>
      <c r="M256" t="s">
        <v>25</v>
      </c>
      <c r="N256" t="s">
        <v>25</v>
      </c>
      <c r="O256" t="s">
        <v>26</v>
      </c>
      <c r="P256" t="s">
        <v>25</v>
      </c>
      <c r="Q256" t="s">
        <v>27</v>
      </c>
      <c r="R256" t="s">
        <v>28</v>
      </c>
    </row>
    <row r="257" spans="1:20">
      <c r="A257">
        <v>256</v>
      </c>
      <c r="B257" t="s">
        <v>324</v>
      </c>
      <c r="C257" t="s">
        <v>21</v>
      </c>
      <c r="D257" t="s">
        <v>283</v>
      </c>
      <c r="E257" t="s">
        <v>23</v>
      </c>
      <c r="F257">
        <v>4370</v>
      </c>
      <c r="G257">
        <v>19</v>
      </c>
      <c r="H257">
        <v>5200</v>
      </c>
      <c r="I257" t="s">
        <v>24</v>
      </c>
      <c r="J257" t="s">
        <v>25</v>
      </c>
      <c r="K257">
        <v>0</v>
      </c>
      <c r="L257">
        <v>0</v>
      </c>
      <c r="M257" t="s">
        <v>25</v>
      </c>
      <c r="N257" t="s">
        <v>25</v>
      </c>
      <c r="O257" t="s">
        <v>26</v>
      </c>
      <c r="P257" t="s">
        <v>25</v>
      </c>
      <c r="Q257" t="s">
        <v>27</v>
      </c>
      <c r="R257" t="s">
        <v>28</v>
      </c>
    </row>
    <row r="258" spans="1:20">
      <c r="A258">
        <v>257</v>
      </c>
      <c r="B258" t="s">
        <v>325</v>
      </c>
      <c r="C258" t="s">
        <v>21</v>
      </c>
      <c r="D258" t="s">
        <v>22</v>
      </c>
      <c r="E258" t="s">
        <v>23</v>
      </c>
      <c r="F258">
        <v>80000</v>
      </c>
      <c r="G258">
        <v>19</v>
      </c>
      <c r="H258">
        <v>95200</v>
      </c>
      <c r="I258" t="s">
        <v>24</v>
      </c>
      <c r="J258" t="s">
        <v>25</v>
      </c>
      <c r="K258">
        <v>0</v>
      </c>
      <c r="L258">
        <v>0</v>
      </c>
      <c r="M258" t="s">
        <v>25</v>
      </c>
      <c r="N258" t="s">
        <v>25</v>
      </c>
      <c r="O258" t="s">
        <v>26</v>
      </c>
      <c r="P258" t="s">
        <v>25</v>
      </c>
      <c r="Q258" t="s">
        <v>27</v>
      </c>
      <c r="R258" t="s">
        <v>28</v>
      </c>
    </row>
    <row r="259" spans="1:20">
      <c r="A259">
        <v>258</v>
      </c>
      <c r="B259" t="s">
        <v>326</v>
      </c>
      <c r="C259" t="s">
        <v>21</v>
      </c>
      <c r="D259" t="s">
        <v>22</v>
      </c>
      <c r="E259" t="s">
        <v>23</v>
      </c>
      <c r="F259">
        <v>60000</v>
      </c>
      <c r="G259">
        <v>19</v>
      </c>
      <c r="H259">
        <v>71400</v>
      </c>
      <c r="I259" t="s">
        <v>24</v>
      </c>
      <c r="J259" t="s">
        <v>25</v>
      </c>
      <c r="K259">
        <v>0</v>
      </c>
      <c r="L259">
        <v>0</v>
      </c>
      <c r="M259" t="s">
        <v>25</v>
      </c>
      <c r="N259" t="s">
        <v>25</v>
      </c>
      <c r="O259" t="s">
        <v>26</v>
      </c>
      <c r="P259" t="s">
        <v>25</v>
      </c>
      <c r="Q259" t="s">
        <v>27</v>
      </c>
      <c r="R259" t="s">
        <v>28</v>
      </c>
    </row>
    <row r="260" spans="1:20">
      <c r="A260">
        <v>259</v>
      </c>
      <c r="B260" t="s">
        <v>327</v>
      </c>
      <c r="C260" t="s">
        <v>21</v>
      </c>
      <c r="D260" t="s">
        <v>22</v>
      </c>
      <c r="E260" t="s">
        <v>23</v>
      </c>
      <c r="F260">
        <v>40000</v>
      </c>
      <c r="G260">
        <v>19</v>
      </c>
      <c r="H260">
        <v>47600</v>
      </c>
      <c r="I260" t="s">
        <v>24</v>
      </c>
      <c r="J260" t="s">
        <v>25</v>
      </c>
      <c r="K260">
        <v>0</v>
      </c>
      <c r="L260">
        <v>0</v>
      </c>
      <c r="M260" t="s">
        <v>25</v>
      </c>
      <c r="N260" t="s">
        <v>25</v>
      </c>
      <c r="O260" t="s">
        <v>26</v>
      </c>
      <c r="P260" t="s">
        <v>25</v>
      </c>
      <c r="Q260" t="s">
        <v>27</v>
      </c>
      <c r="R260" t="s">
        <v>28</v>
      </c>
    </row>
    <row r="261" spans="1:20">
      <c r="A261">
        <v>260</v>
      </c>
      <c r="B261" t="s">
        <v>328</v>
      </c>
      <c r="C261" t="s">
        <v>21</v>
      </c>
      <c r="D261" t="s">
        <v>22</v>
      </c>
      <c r="E261" t="s">
        <v>23</v>
      </c>
      <c r="F261">
        <v>65000</v>
      </c>
      <c r="G261">
        <v>19</v>
      </c>
      <c r="H261">
        <v>77350</v>
      </c>
      <c r="I261" t="s">
        <v>24</v>
      </c>
      <c r="J261" t="s">
        <v>25</v>
      </c>
      <c r="K261">
        <v>0</v>
      </c>
      <c r="L261">
        <v>0</v>
      </c>
      <c r="M261" t="s">
        <v>25</v>
      </c>
      <c r="N261" t="s">
        <v>25</v>
      </c>
      <c r="O261" t="s">
        <v>26</v>
      </c>
      <c r="P261" t="s">
        <v>25</v>
      </c>
      <c r="Q261" t="s">
        <v>27</v>
      </c>
      <c r="R261" t="s">
        <v>28</v>
      </c>
    </row>
    <row r="262" spans="1:20">
      <c r="A262">
        <v>261</v>
      </c>
      <c r="B262" t="s">
        <v>329</v>
      </c>
      <c r="C262" t="s">
        <v>21</v>
      </c>
      <c r="D262" t="s">
        <v>22</v>
      </c>
      <c r="E262" t="s">
        <v>23</v>
      </c>
      <c r="F262">
        <v>150</v>
      </c>
      <c r="G262">
        <v>19</v>
      </c>
      <c r="H262">
        <v>179</v>
      </c>
      <c r="I262" t="s">
        <v>24</v>
      </c>
      <c r="J262" t="s">
        <v>25</v>
      </c>
      <c r="K262">
        <v>0</v>
      </c>
      <c r="L262">
        <v>0</v>
      </c>
      <c r="M262" t="s">
        <v>25</v>
      </c>
      <c r="N262" t="s">
        <v>25</v>
      </c>
      <c r="O262" t="s">
        <v>26</v>
      </c>
      <c r="P262" t="s">
        <v>25</v>
      </c>
      <c r="Q262" t="s">
        <v>27</v>
      </c>
      <c r="R262" t="s">
        <v>28</v>
      </c>
    </row>
    <row r="263" spans="1:20">
      <c r="A263">
        <v>262</v>
      </c>
      <c r="B263" t="s">
        <v>330</v>
      </c>
      <c r="C263" t="s">
        <v>21</v>
      </c>
      <c r="D263" t="s">
        <v>22</v>
      </c>
      <c r="E263" t="s">
        <v>23</v>
      </c>
      <c r="F263">
        <v>3847</v>
      </c>
      <c r="G263">
        <v>19</v>
      </c>
      <c r="H263">
        <v>4578</v>
      </c>
      <c r="I263" t="s">
        <v>24</v>
      </c>
      <c r="J263" t="s">
        <v>25</v>
      </c>
      <c r="K263">
        <v>0</v>
      </c>
      <c r="L263">
        <v>0</v>
      </c>
      <c r="M263" t="s">
        <v>25</v>
      </c>
      <c r="N263" t="s">
        <v>25</v>
      </c>
      <c r="O263" t="s">
        <v>26</v>
      </c>
      <c r="P263" t="s">
        <v>25</v>
      </c>
      <c r="Q263" t="s">
        <v>27</v>
      </c>
      <c r="R263" t="s">
        <v>28</v>
      </c>
    </row>
    <row r="264" spans="1:20">
      <c r="A264">
        <v>263</v>
      </c>
      <c r="B264" t="s">
        <v>331</v>
      </c>
      <c r="C264" t="s">
        <v>21</v>
      </c>
      <c r="D264" t="s">
        <v>22</v>
      </c>
      <c r="E264" t="s">
        <v>23</v>
      </c>
      <c r="F264">
        <v>26600</v>
      </c>
      <c r="G264">
        <v>19</v>
      </c>
      <c r="H264">
        <v>31654</v>
      </c>
      <c r="I264" t="s">
        <v>24</v>
      </c>
      <c r="J264" t="s">
        <v>25</v>
      </c>
      <c r="K264">
        <v>0</v>
      </c>
      <c r="L264">
        <v>0</v>
      </c>
      <c r="M264" t="s">
        <v>25</v>
      </c>
      <c r="N264" t="s">
        <v>25</v>
      </c>
      <c r="O264" t="s">
        <v>26</v>
      </c>
      <c r="P264" t="s">
        <v>25</v>
      </c>
      <c r="Q264" t="s">
        <v>27</v>
      </c>
      <c r="R264" t="s">
        <v>28</v>
      </c>
      <c r="S264" t="s">
        <v>51</v>
      </c>
      <c r="T264" t="s">
        <v>305</v>
      </c>
    </row>
    <row r="265" spans="1:20">
      <c r="A265">
        <v>264</v>
      </c>
      <c r="B265" t="s">
        <v>332</v>
      </c>
      <c r="C265" t="s">
        <v>21</v>
      </c>
      <c r="D265" t="s">
        <v>22</v>
      </c>
      <c r="E265" t="s">
        <v>23</v>
      </c>
      <c r="F265">
        <v>30000</v>
      </c>
      <c r="G265">
        <v>19</v>
      </c>
      <c r="H265">
        <v>35700</v>
      </c>
      <c r="I265" t="s">
        <v>24</v>
      </c>
      <c r="J265" t="s">
        <v>25</v>
      </c>
      <c r="K265">
        <v>0</v>
      </c>
      <c r="L265">
        <v>0</v>
      </c>
      <c r="M265" t="s">
        <v>25</v>
      </c>
      <c r="N265" t="s">
        <v>25</v>
      </c>
      <c r="O265" t="s">
        <v>26</v>
      </c>
      <c r="P265" t="s">
        <v>25</v>
      </c>
      <c r="Q265" t="s">
        <v>27</v>
      </c>
      <c r="R265" t="s">
        <v>28</v>
      </c>
    </row>
    <row r="266" spans="1:20">
      <c r="A266">
        <v>265</v>
      </c>
      <c r="B266" t="s">
        <v>333</v>
      </c>
      <c r="C266" t="s">
        <v>21</v>
      </c>
      <c r="D266" t="s">
        <v>22</v>
      </c>
      <c r="E266" t="s">
        <v>23</v>
      </c>
      <c r="F266">
        <v>32000</v>
      </c>
      <c r="G266">
        <v>19</v>
      </c>
      <c r="H266">
        <v>38080</v>
      </c>
      <c r="I266" t="s">
        <v>24</v>
      </c>
      <c r="J266" t="s">
        <v>25</v>
      </c>
      <c r="K266">
        <v>0</v>
      </c>
      <c r="L266">
        <v>0</v>
      </c>
      <c r="M266" t="s">
        <v>25</v>
      </c>
      <c r="N266" t="s">
        <v>25</v>
      </c>
      <c r="O266" t="s">
        <v>26</v>
      </c>
      <c r="P266" t="s">
        <v>25</v>
      </c>
      <c r="Q266" t="s">
        <v>27</v>
      </c>
      <c r="R266" t="s">
        <v>28</v>
      </c>
      <c r="S266" t="s">
        <v>51</v>
      </c>
      <c r="T266" t="s">
        <v>334</v>
      </c>
    </row>
    <row r="267" spans="1:20">
      <c r="A267">
        <v>266</v>
      </c>
      <c r="B267" t="s">
        <v>335</v>
      </c>
      <c r="C267" t="s">
        <v>21</v>
      </c>
      <c r="D267" t="s">
        <v>22</v>
      </c>
      <c r="E267" t="s">
        <v>23</v>
      </c>
      <c r="F267">
        <v>200000</v>
      </c>
      <c r="G267">
        <v>19</v>
      </c>
      <c r="H267">
        <v>238000</v>
      </c>
      <c r="I267" t="s">
        <v>24</v>
      </c>
      <c r="J267" t="s">
        <v>25</v>
      </c>
      <c r="K267">
        <v>0</v>
      </c>
      <c r="L267">
        <v>0</v>
      </c>
      <c r="M267" t="s">
        <v>25</v>
      </c>
      <c r="N267" t="s">
        <v>25</v>
      </c>
      <c r="O267" t="s">
        <v>26</v>
      </c>
      <c r="P267" t="s">
        <v>25</v>
      </c>
      <c r="Q267" t="s">
        <v>27</v>
      </c>
      <c r="R267" t="s">
        <v>28</v>
      </c>
    </row>
    <row r="268" spans="1:20">
      <c r="A268">
        <v>267</v>
      </c>
      <c r="B268" t="s">
        <v>336</v>
      </c>
      <c r="C268" t="s">
        <v>21</v>
      </c>
      <c r="D268" t="s">
        <v>22</v>
      </c>
      <c r="E268" t="s">
        <v>23</v>
      </c>
      <c r="F268">
        <v>680000</v>
      </c>
      <c r="G268">
        <v>19</v>
      </c>
      <c r="H268">
        <v>809200</v>
      </c>
      <c r="I268" t="s">
        <v>24</v>
      </c>
      <c r="J268" t="s">
        <v>25</v>
      </c>
      <c r="K268">
        <v>0</v>
      </c>
      <c r="L268">
        <v>0</v>
      </c>
      <c r="M268" t="s">
        <v>25</v>
      </c>
      <c r="N268" t="s">
        <v>25</v>
      </c>
      <c r="O268" t="s">
        <v>26</v>
      </c>
      <c r="P268" t="s">
        <v>25</v>
      </c>
      <c r="Q268" t="s">
        <v>27</v>
      </c>
      <c r="R268" t="s">
        <v>28</v>
      </c>
    </row>
    <row r="269" spans="1:20">
      <c r="A269">
        <v>268</v>
      </c>
      <c r="B269" t="s">
        <v>337</v>
      </c>
      <c r="C269" t="s">
        <v>36</v>
      </c>
      <c r="D269" t="s">
        <v>22</v>
      </c>
      <c r="E269" t="s">
        <v>338</v>
      </c>
      <c r="F269">
        <v>190000</v>
      </c>
      <c r="G269">
        <v>19</v>
      </c>
      <c r="H269">
        <v>226100</v>
      </c>
      <c r="I269" t="s">
        <v>24</v>
      </c>
      <c r="J269" t="s">
        <v>25</v>
      </c>
      <c r="K269">
        <v>0</v>
      </c>
      <c r="L269">
        <v>0</v>
      </c>
      <c r="M269" t="s">
        <v>25</v>
      </c>
      <c r="N269" t="s">
        <v>25</v>
      </c>
      <c r="O269" t="s">
        <v>26</v>
      </c>
      <c r="P269" t="s">
        <v>25</v>
      </c>
      <c r="Q269" t="s">
        <v>27</v>
      </c>
      <c r="R269" t="s">
        <v>28</v>
      </c>
      <c r="S269" t="s">
        <v>231</v>
      </c>
      <c r="T269" t="s">
        <v>339</v>
      </c>
    </row>
    <row r="270" spans="1:20">
      <c r="A270">
        <v>269</v>
      </c>
      <c r="B270" t="s">
        <v>340</v>
      </c>
      <c r="C270" t="s">
        <v>21</v>
      </c>
      <c r="D270" t="s">
        <v>22</v>
      </c>
      <c r="E270" t="s">
        <v>23</v>
      </c>
      <c r="F270">
        <v>0</v>
      </c>
      <c r="G270">
        <v>19</v>
      </c>
      <c r="H270">
        <v>0</v>
      </c>
      <c r="I270" t="s">
        <v>24</v>
      </c>
      <c r="J270" t="s">
        <v>25</v>
      </c>
      <c r="K270">
        <v>0</v>
      </c>
      <c r="L270">
        <v>0</v>
      </c>
      <c r="M270" t="s">
        <v>25</v>
      </c>
      <c r="N270" t="s">
        <v>25</v>
      </c>
      <c r="O270" t="s">
        <v>26</v>
      </c>
      <c r="P270" t="s">
        <v>25</v>
      </c>
      <c r="Q270" t="s">
        <v>27</v>
      </c>
      <c r="R270" t="s">
        <v>28</v>
      </c>
    </row>
    <row r="271" spans="1:20">
      <c r="A271">
        <v>270</v>
      </c>
      <c r="B271" t="s">
        <v>341</v>
      </c>
      <c r="C271" t="s">
        <v>21</v>
      </c>
      <c r="D271" t="s">
        <v>22</v>
      </c>
      <c r="E271" t="s">
        <v>23</v>
      </c>
      <c r="F271">
        <v>130000</v>
      </c>
      <c r="G271">
        <v>19</v>
      </c>
      <c r="H271">
        <v>154700</v>
      </c>
      <c r="I271" t="s">
        <v>24</v>
      </c>
      <c r="J271" t="s">
        <v>25</v>
      </c>
      <c r="K271">
        <v>0</v>
      </c>
      <c r="L271">
        <v>0</v>
      </c>
      <c r="M271" t="s">
        <v>25</v>
      </c>
      <c r="N271" t="s">
        <v>25</v>
      </c>
      <c r="O271" t="s">
        <v>26</v>
      </c>
      <c r="P271" t="s">
        <v>25</v>
      </c>
      <c r="Q271" t="s">
        <v>27</v>
      </c>
      <c r="R271" t="s">
        <v>28</v>
      </c>
    </row>
    <row r="272" spans="1:20">
      <c r="A272">
        <v>271</v>
      </c>
      <c r="B272" t="s">
        <v>342</v>
      </c>
      <c r="C272" t="s">
        <v>21</v>
      </c>
      <c r="D272" t="s">
        <v>343</v>
      </c>
      <c r="E272" t="s">
        <v>23</v>
      </c>
      <c r="F272">
        <v>166000</v>
      </c>
      <c r="G272">
        <v>19</v>
      </c>
      <c r="H272">
        <v>197540</v>
      </c>
      <c r="I272" t="s">
        <v>24</v>
      </c>
      <c r="J272" t="s">
        <v>25</v>
      </c>
      <c r="K272">
        <v>0</v>
      </c>
      <c r="L272">
        <v>0</v>
      </c>
      <c r="M272" t="s">
        <v>25</v>
      </c>
      <c r="N272" t="s">
        <v>25</v>
      </c>
      <c r="O272" t="s">
        <v>26</v>
      </c>
      <c r="P272" t="s">
        <v>25</v>
      </c>
      <c r="Q272" t="s">
        <v>27</v>
      </c>
      <c r="R272" t="s">
        <v>28</v>
      </c>
    </row>
    <row r="273" spans="1:20">
      <c r="A273">
        <v>272</v>
      </c>
      <c r="B273" t="s">
        <v>344</v>
      </c>
      <c r="C273" t="s">
        <v>36</v>
      </c>
      <c r="D273" t="s">
        <v>217</v>
      </c>
      <c r="E273" t="s">
        <v>37</v>
      </c>
      <c r="F273">
        <v>150000</v>
      </c>
      <c r="G273">
        <v>19</v>
      </c>
      <c r="H273">
        <v>178500</v>
      </c>
      <c r="I273" t="s">
        <v>24</v>
      </c>
      <c r="J273" t="s">
        <v>25</v>
      </c>
      <c r="K273">
        <v>0</v>
      </c>
      <c r="L273">
        <v>0</v>
      </c>
      <c r="M273" t="s">
        <v>25</v>
      </c>
      <c r="N273" t="s">
        <v>25</v>
      </c>
      <c r="O273" t="s">
        <v>26</v>
      </c>
      <c r="P273" t="s">
        <v>25</v>
      </c>
      <c r="Q273" t="s">
        <v>27</v>
      </c>
      <c r="R273" t="s">
        <v>28</v>
      </c>
      <c r="S273" t="s">
        <v>297</v>
      </c>
      <c r="T273" t="s">
        <v>345</v>
      </c>
    </row>
    <row r="274" spans="1:20">
      <c r="A274">
        <v>273</v>
      </c>
      <c r="B274" t="s">
        <v>346</v>
      </c>
      <c r="C274" t="s">
        <v>21</v>
      </c>
      <c r="D274" t="s">
        <v>22</v>
      </c>
      <c r="E274" t="s">
        <v>23</v>
      </c>
      <c r="F274">
        <v>9700000</v>
      </c>
      <c r="G274">
        <v>19</v>
      </c>
      <c r="H274">
        <v>11543000</v>
      </c>
      <c r="I274" t="s">
        <v>24</v>
      </c>
      <c r="J274" t="s">
        <v>25</v>
      </c>
      <c r="K274">
        <v>0</v>
      </c>
      <c r="L274">
        <v>0</v>
      </c>
      <c r="M274" t="s">
        <v>25</v>
      </c>
      <c r="N274" t="s">
        <v>25</v>
      </c>
      <c r="O274" t="s">
        <v>26</v>
      </c>
      <c r="P274" t="s">
        <v>25</v>
      </c>
      <c r="Q274" t="s">
        <v>27</v>
      </c>
      <c r="R274" t="s">
        <v>28</v>
      </c>
      <c r="S274" t="s">
        <v>284</v>
      </c>
      <c r="T274" t="s">
        <v>347</v>
      </c>
    </row>
    <row r="275" spans="1:20">
      <c r="A275">
        <v>274</v>
      </c>
      <c r="B275" t="s">
        <v>348</v>
      </c>
      <c r="C275" t="s">
        <v>21</v>
      </c>
      <c r="D275" t="s">
        <v>22</v>
      </c>
      <c r="E275" t="s">
        <v>23</v>
      </c>
      <c r="F275">
        <v>1700000</v>
      </c>
      <c r="G275">
        <v>19</v>
      </c>
      <c r="H275">
        <v>2023000</v>
      </c>
      <c r="I275" t="s">
        <v>24</v>
      </c>
      <c r="J275" t="s">
        <v>25</v>
      </c>
      <c r="K275">
        <v>0</v>
      </c>
      <c r="L275">
        <v>0</v>
      </c>
      <c r="M275" t="s">
        <v>25</v>
      </c>
      <c r="N275" t="s">
        <v>25</v>
      </c>
      <c r="O275" t="s">
        <v>26</v>
      </c>
      <c r="P275" t="s">
        <v>25</v>
      </c>
      <c r="Q275" t="s">
        <v>27</v>
      </c>
      <c r="R275" t="s">
        <v>28</v>
      </c>
    </row>
    <row r="276" spans="1:20">
      <c r="A276">
        <v>275</v>
      </c>
      <c r="B276" t="s">
        <v>349</v>
      </c>
      <c r="C276" t="s">
        <v>21</v>
      </c>
      <c r="D276" t="s">
        <v>22</v>
      </c>
      <c r="E276" t="s">
        <v>23</v>
      </c>
      <c r="F276">
        <v>69500</v>
      </c>
      <c r="G276">
        <v>19</v>
      </c>
      <c r="H276">
        <v>82705</v>
      </c>
      <c r="I276" t="s">
        <v>24</v>
      </c>
      <c r="J276" t="s">
        <v>25</v>
      </c>
      <c r="K276">
        <v>0</v>
      </c>
      <c r="L276">
        <v>0</v>
      </c>
      <c r="M276" t="s">
        <v>25</v>
      </c>
      <c r="N276" t="s">
        <v>25</v>
      </c>
      <c r="O276" t="s">
        <v>26</v>
      </c>
      <c r="P276" t="s">
        <v>25</v>
      </c>
      <c r="Q276" t="s">
        <v>27</v>
      </c>
      <c r="R276" t="s">
        <v>28</v>
      </c>
    </row>
    <row r="277" spans="1:20">
      <c r="A277">
        <v>276</v>
      </c>
      <c r="B277" t="s">
        <v>350</v>
      </c>
      <c r="C277" t="s">
        <v>21</v>
      </c>
      <c r="D277" t="s">
        <v>22</v>
      </c>
      <c r="E277" t="s">
        <v>23</v>
      </c>
      <c r="F277">
        <v>48000</v>
      </c>
      <c r="G277">
        <v>19</v>
      </c>
      <c r="H277">
        <v>57120</v>
      </c>
      <c r="I277" t="s">
        <v>24</v>
      </c>
      <c r="J277" t="s">
        <v>25</v>
      </c>
      <c r="K277">
        <v>0</v>
      </c>
      <c r="L277">
        <v>0</v>
      </c>
      <c r="M277" t="s">
        <v>25</v>
      </c>
      <c r="N277" t="s">
        <v>25</v>
      </c>
      <c r="O277" t="s">
        <v>26</v>
      </c>
      <c r="P277" t="s">
        <v>25</v>
      </c>
      <c r="Q277" t="s">
        <v>27</v>
      </c>
      <c r="R277" t="s">
        <v>28</v>
      </c>
    </row>
    <row r="278" spans="1:20">
      <c r="A278">
        <v>277</v>
      </c>
      <c r="B278" t="s">
        <v>351</v>
      </c>
      <c r="C278" t="s">
        <v>21</v>
      </c>
      <c r="D278" t="s">
        <v>22</v>
      </c>
      <c r="E278" t="s">
        <v>23</v>
      </c>
      <c r="F278">
        <v>150000</v>
      </c>
      <c r="G278">
        <v>19</v>
      </c>
      <c r="H278">
        <v>178500</v>
      </c>
      <c r="I278" t="s">
        <v>24</v>
      </c>
      <c r="J278" t="s">
        <v>25</v>
      </c>
      <c r="K278">
        <v>0</v>
      </c>
      <c r="L278">
        <v>0</v>
      </c>
      <c r="M278" t="s">
        <v>25</v>
      </c>
      <c r="N278" t="s">
        <v>25</v>
      </c>
      <c r="O278" t="s">
        <v>26</v>
      </c>
      <c r="P278" t="s">
        <v>25</v>
      </c>
      <c r="Q278" t="s">
        <v>27</v>
      </c>
      <c r="R278" t="s">
        <v>28</v>
      </c>
    </row>
    <row r="279" spans="1:20">
      <c r="A279">
        <v>278</v>
      </c>
      <c r="B279" t="s">
        <v>352</v>
      </c>
      <c r="C279" t="s">
        <v>36</v>
      </c>
      <c r="D279" t="s">
        <v>22</v>
      </c>
      <c r="E279" t="s">
        <v>23</v>
      </c>
      <c r="F279">
        <v>3000000</v>
      </c>
      <c r="G279">
        <v>19</v>
      </c>
      <c r="H279">
        <v>3570000</v>
      </c>
      <c r="I279" t="s">
        <v>24</v>
      </c>
      <c r="J279" t="s">
        <v>25</v>
      </c>
      <c r="K279">
        <v>0</v>
      </c>
      <c r="L279">
        <v>0</v>
      </c>
      <c r="M279" t="s">
        <v>25</v>
      </c>
      <c r="N279" t="s">
        <v>25</v>
      </c>
      <c r="O279" t="s">
        <v>26</v>
      </c>
      <c r="P279" t="s">
        <v>25</v>
      </c>
      <c r="Q279" t="s">
        <v>27</v>
      </c>
      <c r="R279" t="s">
        <v>28</v>
      </c>
    </row>
    <row r="280" spans="1:20">
      <c r="A280">
        <v>279</v>
      </c>
      <c r="B280" t="s">
        <v>353</v>
      </c>
      <c r="C280" t="s">
        <v>36</v>
      </c>
      <c r="D280" t="s">
        <v>217</v>
      </c>
      <c r="E280" t="s">
        <v>354</v>
      </c>
      <c r="F280">
        <v>0</v>
      </c>
      <c r="G280">
        <v>19</v>
      </c>
      <c r="H280">
        <v>0</v>
      </c>
      <c r="I280" t="s">
        <v>24</v>
      </c>
      <c r="J280" t="s">
        <v>25</v>
      </c>
      <c r="K280">
        <v>0</v>
      </c>
      <c r="L280">
        <v>0</v>
      </c>
      <c r="M280" t="s">
        <v>25</v>
      </c>
      <c r="N280" t="s">
        <v>25</v>
      </c>
      <c r="O280" t="s">
        <v>26</v>
      </c>
      <c r="P280" t="s">
        <v>25</v>
      </c>
      <c r="Q280" t="s">
        <v>27</v>
      </c>
      <c r="R280" t="s">
        <v>28</v>
      </c>
    </row>
    <row r="281" spans="1:20">
      <c r="A281">
        <v>280</v>
      </c>
      <c r="B281" t="s">
        <v>355</v>
      </c>
      <c r="C281" t="s">
        <v>36</v>
      </c>
      <c r="D281" t="s">
        <v>217</v>
      </c>
      <c r="E281" t="s">
        <v>356</v>
      </c>
      <c r="F281">
        <v>0</v>
      </c>
      <c r="G281">
        <v>19</v>
      </c>
      <c r="H281">
        <v>0</v>
      </c>
      <c r="I281" t="s">
        <v>24</v>
      </c>
      <c r="J281" t="s">
        <v>25</v>
      </c>
      <c r="K281">
        <v>0</v>
      </c>
      <c r="L281">
        <v>0</v>
      </c>
      <c r="M281" t="s">
        <v>25</v>
      </c>
      <c r="N281" t="s">
        <v>25</v>
      </c>
      <c r="O281" t="s">
        <v>26</v>
      </c>
      <c r="P281" t="s">
        <v>25</v>
      </c>
      <c r="Q281" t="s">
        <v>27</v>
      </c>
      <c r="R281" t="s">
        <v>28</v>
      </c>
    </row>
    <row r="282" spans="1:20">
      <c r="A282">
        <v>281</v>
      </c>
      <c r="B282" t="s">
        <v>357</v>
      </c>
      <c r="C282" t="s">
        <v>36</v>
      </c>
      <c r="D282" t="s">
        <v>217</v>
      </c>
      <c r="E282" t="s">
        <v>244</v>
      </c>
      <c r="F282">
        <v>0</v>
      </c>
      <c r="G282">
        <v>19</v>
      </c>
      <c r="H282">
        <v>0</v>
      </c>
      <c r="I282" t="s">
        <v>24</v>
      </c>
      <c r="J282" t="s">
        <v>25</v>
      </c>
      <c r="K282">
        <v>0</v>
      </c>
      <c r="L282">
        <v>0</v>
      </c>
      <c r="M282" t="s">
        <v>25</v>
      </c>
      <c r="N282" t="s">
        <v>25</v>
      </c>
      <c r="O282" t="s">
        <v>26</v>
      </c>
      <c r="P282" t="s">
        <v>25</v>
      </c>
      <c r="Q282" t="s">
        <v>27</v>
      </c>
      <c r="R282" t="s">
        <v>28</v>
      </c>
    </row>
    <row r="283" spans="1:20">
      <c r="A283">
        <v>282</v>
      </c>
      <c r="B283" t="s">
        <v>358</v>
      </c>
      <c r="C283" t="s">
        <v>36</v>
      </c>
      <c r="D283" t="s">
        <v>217</v>
      </c>
      <c r="E283" t="s">
        <v>37</v>
      </c>
      <c r="F283">
        <v>0</v>
      </c>
      <c r="G283">
        <v>19</v>
      </c>
      <c r="H283">
        <v>0</v>
      </c>
      <c r="I283" t="s">
        <v>24</v>
      </c>
      <c r="J283" t="s">
        <v>25</v>
      </c>
      <c r="K283">
        <v>0</v>
      </c>
      <c r="L283">
        <v>0</v>
      </c>
      <c r="M283" t="s">
        <v>25</v>
      </c>
      <c r="N283" t="s">
        <v>25</v>
      </c>
      <c r="O283" t="s">
        <v>26</v>
      </c>
      <c r="P283" t="s">
        <v>25</v>
      </c>
      <c r="Q283" t="s">
        <v>27</v>
      </c>
      <c r="R283" t="s">
        <v>28</v>
      </c>
    </row>
    <row r="284" spans="1:20">
      <c r="A284">
        <v>283</v>
      </c>
      <c r="B284" t="s">
        <v>359</v>
      </c>
      <c r="C284" t="s">
        <v>102</v>
      </c>
      <c r="D284" t="s">
        <v>22</v>
      </c>
      <c r="E284" t="s">
        <v>23</v>
      </c>
      <c r="F284">
        <v>0</v>
      </c>
      <c r="G284">
        <v>19</v>
      </c>
      <c r="H284">
        <v>0</v>
      </c>
      <c r="I284" t="s">
        <v>24</v>
      </c>
      <c r="J284" t="s">
        <v>25</v>
      </c>
      <c r="K284">
        <v>0</v>
      </c>
      <c r="L284">
        <v>0</v>
      </c>
      <c r="M284" t="s">
        <v>25</v>
      </c>
      <c r="N284" t="s">
        <v>25</v>
      </c>
      <c r="O284" t="s">
        <v>26</v>
      </c>
      <c r="P284" t="s">
        <v>25</v>
      </c>
      <c r="Q284" t="s">
        <v>27</v>
      </c>
      <c r="R284" t="s">
        <v>28</v>
      </c>
    </row>
    <row r="285" spans="1:20">
      <c r="A285">
        <v>284</v>
      </c>
      <c r="B285" t="s">
        <v>360</v>
      </c>
      <c r="C285" t="s">
        <v>36</v>
      </c>
      <c r="D285" t="s">
        <v>22</v>
      </c>
      <c r="E285" t="s">
        <v>37</v>
      </c>
      <c r="F285">
        <v>0</v>
      </c>
      <c r="G285">
        <v>19</v>
      </c>
      <c r="H285">
        <v>0</v>
      </c>
      <c r="I285" t="s">
        <v>24</v>
      </c>
      <c r="J285" t="s">
        <v>25</v>
      </c>
      <c r="K285">
        <v>0</v>
      </c>
      <c r="L285">
        <v>0</v>
      </c>
      <c r="M285" t="s">
        <v>25</v>
      </c>
      <c r="N285" t="s">
        <v>25</v>
      </c>
      <c r="O285" t="s">
        <v>26</v>
      </c>
      <c r="P285" t="s">
        <v>25</v>
      </c>
      <c r="Q285" t="s">
        <v>27</v>
      </c>
      <c r="R285" t="s">
        <v>28</v>
      </c>
    </row>
    <row r="286" spans="1:20">
      <c r="A286">
        <v>285</v>
      </c>
      <c r="B286" t="s">
        <v>361</v>
      </c>
      <c r="C286" t="s">
        <v>216</v>
      </c>
      <c r="D286" t="s">
        <v>217</v>
      </c>
      <c r="E286" t="s">
        <v>218</v>
      </c>
      <c r="F286">
        <v>600000</v>
      </c>
      <c r="G286">
        <v>19</v>
      </c>
      <c r="H286">
        <v>600000</v>
      </c>
      <c r="I286" t="s">
        <v>24</v>
      </c>
      <c r="J286" t="s">
        <v>25</v>
      </c>
      <c r="K286">
        <v>0</v>
      </c>
      <c r="L286">
        <v>0</v>
      </c>
      <c r="M286" t="s">
        <v>25</v>
      </c>
      <c r="N286" t="s">
        <v>25</v>
      </c>
      <c r="O286" t="s">
        <v>26</v>
      </c>
      <c r="P286" t="s">
        <v>25</v>
      </c>
      <c r="Q286" t="s">
        <v>27</v>
      </c>
      <c r="R286" t="s">
        <v>28</v>
      </c>
    </row>
    <row r="287" spans="1:20">
      <c r="A287">
        <v>286</v>
      </c>
      <c r="B287" t="s">
        <v>362</v>
      </c>
      <c r="C287" t="s">
        <v>102</v>
      </c>
      <c r="D287" t="s">
        <v>22</v>
      </c>
      <c r="E287" t="s">
        <v>23</v>
      </c>
      <c r="F287">
        <v>0</v>
      </c>
      <c r="G287">
        <v>19</v>
      </c>
      <c r="H287">
        <v>0</v>
      </c>
      <c r="I287" t="s">
        <v>24</v>
      </c>
      <c r="J287" t="s">
        <v>25</v>
      </c>
      <c r="K287">
        <v>0</v>
      </c>
      <c r="L287">
        <v>0</v>
      </c>
      <c r="M287" t="s">
        <v>25</v>
      </c>
      <c r="N287" t="s">
        <v>25</v>
      </c>
      <c r="O287" t="s">
        <v>26</v>
      </c>
      <c r="P287" t="s">
        <v>25</v>
      </c>
      <c r="Q287" t="s">
        <v>27</v>
      </c>
      <c r="R287" t="s">
        <v>28</v>
      </c>
    </row>
    <row r="288" spans="1:20">
      <c r="A288">
        <v>287</v>
      </c>
      <c r="B288" t="s">
        <v>363</v>
      </c>
      <c r="C288" t="s">
        <v>102</v>
      </c>
      <c r="D288" t="s">
        <v>217</v>
      </c>
      <c r="E288" t="s">
        <v>23</v>
      </c>
      <c r="F288">
        <v>0</v>
      </c>
      <c r="G288">
        <v>19</v>
      </c>
      <c r="H288">
        <v>0</v>
      </c>
      <c r="I288" t="s">
        <v>24</v>
      </c>
      <c r="J288" t="s">
        <v>25</v>
      </c>
      <c r="K288">
        <v>0</v>
      </c>
      <c r="L288">
        <v>0</v>
      </c>
      <c r="M288" t="s">
        <v>25</v>
      </c>
      <c r="N288" t="s">
        <v>25</v>
      </c>
      <c r="O288" t="s">
        <v>26</v>
      </c>
      <c r="P288" t="s">
        <v>25</v>
      </c>
      <c r="Q288" t="s">
        <v>27</v>
      </c>
      <c r="R288" t="s">
        <v>28</v>
      </c>
    </row>
    <row r="289" spans="1:20">
      <c r="A289">
        <v>288</v>
      </c>
      <c r="B289" t="s">
        <v>364</v>
      </c>
      <c r="C289" t="s">
        <v>36</v>
      </c>
      <c r="D289" t="s">
        <v>22</v>
      </c>
      <c r="E289" t="s">
        <v>37</v>
      </c>
      <c r="F289">
        <v>0</v>
      </c>
      <c r="G289">
        <v>19</v>
      </c>
      <c r="H289">
        <v>0</v>
      </c>
      <c r="I289" t="s">
        <v>24</v>
      </c>
      <c r="J289" t="s">
        <v>25</v>
      </c>
      <c r="K289">
        <v>0</v>
      </c>
      <c r="L289">
        <v>0</v>
      </c>
      <c r="M289" t="s">
        <v>25</v>
      </c>
      <c r="N289" t="s">
        <v>25</v>
      </c>
      <c r="O289" t="s">
        <v>26</v>
      </c>
      <c r="P289" t="s">
        <v>25</v>
      </c>
      <c r="Q289" t="s">
        <v>27</v>
      </c>
      <c r="R289" t="s">
        <v>28</v>
      </c>
    </row>
    <row r="290" spans="1:20">
      <c r="A290">
        <v>289</v>
      </c>
      <c r="B290" t="s">
        <v>365</v>
      </c>
      <c r="C290" t="s">
        <v>102</v>
      </c>
      <c r="D290" t="s">
        <v>22</v>
      </c>
      <c r="E290" t="s">
        <v>23</v>
      </c>
      <c r="F290">
        <v>0</v>
      </c>
      <c r="G290">
        <v>19</v>
      </c>
      <c r="H290">
        <v>0</v>
      </c>
      <c r="I290" t="s">
        <v>24</v>
      </c>
      <c r="J290" t="s">
        <v>25</v>
      </c>
      <c r="K290">
        <v>0</v>
      </c>
      <c r="L290">
        <v>0</v>
      </c>
      <c r="M290" t="s">
        <v>25</v>
      </c>
      <c r="N290" t="s">
        <v>25</v>
      </c>
      <c r="O290" t="s">
        <v>26</v>
      </c>
      <c r="P290" t="s">
        <v>25</v>
      </c>
      <c r="Q290" t="s">
        <v>27</v>
      </c>
      <c r="R290" t="s">
        <v>28</v>
      </c>
    </row>
    <row r="291" spans="1:20">
      <c r="A291">
        <v>290</v>
      </c>
      <c r="B291" t="s">
        <v>366</v>
      </c>
      <c r="C291" t="s">
        <v>102</v>
      </c>
      <c r="D291" t="s">
        <v>229</v>
      </c>
      <c r="E291" t="s">
        <v>23</v>
      </c>
      <c r="F291">
        <v>0</v>
      </c>
      <c r="G291">
        <v>19</v>
      </c>
      <c r="H291">
        <v>0</v>
      </c>
      <c r="I291" t="s">
        <v>24</v>
      </c>
      <c r="J291" t="s">
        <v>25</v>
      </c>
      <c r="K291">
        <v>0</v>
      </c>
      <c r="L291">
        <v>0</v>
      </c>
      <c r="M291" t="s">
        <v>25</v>
      </c>
      <c r="N291" t="s">
        <v>25</v>
      </c>
      <c r="O291" t="s">
        <v>26</v>
      </c>
      <c r="P291" t="s">
        <v>25</v>
      </c>
      <c r="Q291" t="s">
        <v>27</v>
      </c>
      <c r="R291" t="s">
        <v>28</v>
      </c>
    </row>
    <row r="292" spans="1:20">
      <c r="A292">
        <v>291</v>
      </c>
      <c r="B292" t="s">
        <v>367</v>
      </c>
      <c r="C292" t="s">
        <v>102</v>
      </c>
      <c r="D292" t="s">
        <v>217</v>
      </c>
      <c r="E292" t="s">
        <v>23</v>
      </c>
      <c r="F292">
        <v>0</v>
      </c>
      <c r="G292">
        <v>19</v>
      </c>
      <c r="H292">
        <v>0</v>
      </c>
      <c r="I292" t="s">
        <v>24</v>
      </c>
      <c r="J292" t="s">
        <v>25</v>
      </c>
      <c r="K292">
        <v>0</v>
      </c>
      <c r="L292">
        <v>0</v>
      </c>
      <c r="M292" t="s">
        <v>25</v>
      </c>
      <c r="N292" t="s">
        <v>25</v>
      </c>
      <c r="O292" t="s">
        <v>26</v>
      </c>
      <c r="P292" t="s">
        <v>25</v>
      </c>
      <c r="Q292" t="s">
        <v>27</v>
      </c>
      <c r="R292" t="s">
        <v>28</v>
      </c>
    </row>
    <row r="293" spans="1:20">
      <c r="A293">
        <v>292</v>
      </c>
      <c r="B293" t="s">
        <v>368</v>
      </c>
      <c r="C293" t="s">
        <v>102</v>
      </c>
      <c r="D293" t="s">
        <v>22</v>
      </c>
      <c r="E293" t="s">
        <v>23</v>
      </c>
      <c r="F293">
        <v>0</v>
      </c>
      <c r="G293">
        <v>19</v>
      </c>
      <c r="H293">
        <v>0</v>
      </c>
      <c r="I293" t="s">
        <v>24</v>
      </c>
      <c r="J293" t="s">
        <v>25</v>
      </c>
      <c r="K293">
        <v>0</v>
      </c>
      <c r="L293">
        <v>0</v>
      </c>
      <c r="M293" t="s">
        <v>25</v>
      </c>
      <c r="N293" t="s">
        <v>25</v>
      </c>
      <c r="O293" t="s">
        <v>26</v>
      </c>
      <c r="P293" t="s">
        <v>25</v>
      </c>
      <c r="Q293" t="s">
        <v>27</v>
      </c>
      <c r="R293" t="s">
        <v>28</v>
      </c>
    </row>
    <row r="294" spans="1:20">
      <c r="A294">
        <v>293</v>
      </c>
      <c r="B294" t="s">
        <v>369</v>
      </c>
      <c r="C294" t="s">
        <v>102</v>
      </c>
      <c r="D294" t="s">
        <v>22</v>
      </c>
      <c r="E294" t="s">
        <v>23</v>
      </c>
      <c r="F294">
        <v>0</v>
      </c>
      <c r="G294">
        <v>19</v>
      </c>
      <c r="H294">
        <v>0</v>
      </c>
      <c r="I294" t="s">
        <v>24</v>
      </c>
      <c r="J294" t="s">
        <v>25</v>
      </c>
      <c r="K294">
        <v>0</v>
      </c>
      <c r="L294">
        <v>0</v>
      </c>
      <c r="M294" t="s">
        <v>25</v>
      </c>
      <c r="N294" t="s">
        <v>25</v>
      </c>
      <c r="O294" t="s">
        <v>26</v>
      </c>
      <c r="P294" t="s">
        <v>25</v>
      </c>
      <c r="Q294" t="s">
        <v>27</v>
      </c>
      <c r="R294" t="s">
        <v>28</v>
      </c>
    </row>
    <row r="295" spans="1:20">
      <c r="A295">
        <v>294</v>
      </c>
      <c r="B295" t="s">
        <v>370</v>
      </c>
      <c r="C295" t="s">
        <v>102</v>
      </c>
      <c r="D295" t="s">
        <v>22</v>
      </c>
      <c r="E295" t="s">
        <v>23</v>
      </c>
      <c r="F295">
        <v>0</v>
      </c>
      <c r="G295">
        <v>19</v>
      </c>
      <c r="H295">
        <v>0</v>
      </c>
      <c r="I295" t="s">
        <v>24</v>
      </c>
      <c r="J295" t="s">
        <v>25</v>
      </c>
      <c r="K295">
        <v>0</v>
      </c>
      <c r="L295">
        <v>0</v>
      </c>
      <c r="M295" t="s">
        <v>25</v>
      </c>
      <c r="N295" t="s">
        <v>25</v>
      </c>
      <c r="O295" t="s">
        <v>26</v>
      </c>
      <c r="P295" t="s">
        <v>25</v>
      </c>
      <c r="Q295" t="s">
        <v>27</v>
      </c>
      <c r="R295" t="s">
        <v>28</v>
      </c>
    </row>
    <row r="296" spans="1:20">
      <c r="A296">
        <v>295</v>
      </c>
      <c r="B296" t="s">
        <v>371</v>
      </c>
      <c r="C296" t="s">
        <v>102</v>
      </c>
      <c r="D296" t="s">
        <v>22</v>
      </c>
      <c r="E296" t="s">
        <v>23</v>
      </c>
      <c r="F296">
        <v>0</v>
      </c>
      <c r="G296">
        <v>19</v>
      </c>
      <c r="H296">
        <v>0</v>
      </c>
      <c r="I296" t="s">
        <v>24</v>
      </c>
      <c r="J296" t="s">
        <v>25</v>
      </c>
      <c r="K296">
        <v>0</v>
      </c>
      <c r="L296">
        <v>0</v>
      </c>
      <c r="M296" t="s">
        <v>25</v>
      </c>
      <c r="N296" t="s">
        <v>25</v>
      </c>
      <c r="O296" t="s">
        <v>26</v>
      </c>
      <c r="P296" t="s">
        <v>25</v>
      </c>
      <c r="Q296" t="s">
        <v>27</v>
      </c>
      <c r="R296" t="s">
        <v>28</v>
      </c>
      <c r="S296" t="s">
        <v>51</v>
      </c>
      <c r="T296" t="s">
        <v>372</v>
      </c>
    </row>
    <row r="297" spans="1:20">
      <c r="A297">
        <v>296</v>
      </c>
      <c r="B297" t="s">
        <v>373</v>
      </c>
      <c r="C297" t="s">
        <v>102</v>
      </c>
      <c r="D297" t="s">
        <v>22</v>
      </c>
      <c r="E297" t="s">
        <v>23</v>
      </c>
      <c r="F297">
        <v>0</v>
      </c>
      <c r="G297">
        <v>19</v>
      </c>
      <c r="H297">
        <v>0</v>
      </c>
      <c r="I297" t="s">
        <v>24</v>
      </c>
      <c r="J297" t="s">
        <v>25</v>
      </c>
      <c r="K297">
        <v>0</v>
      </c>
      <c r="L297">
        <v>0</v>
      </c>
      <c r="M297" t="s">
        <v>25</v>
      </c>
      <c r="N297" t="s">
        <v>25</v>
      </c>
      <c r="O297" t="s">
        <v>26</v>
      </c>
      <c r="P297" t="s">
        <v>25</v>
      </c>
      <c r="Q297" t="s">
        <v>27</v>
      </c>
      <c r="R297" t="s">
        <v>28</v>
      </c>
    </row>
    <row r="298" spans="1:20">
      <c r="A298">
        <v>297</v>
      </c>
      <c r="B298" t="s">
        <v>374</v>
      </c>
      <c r="C298" t="s">
        <v>102</v>
      </c>
      <c r="D298" t="s">
        <v>229</v>
      </c>
      <c r="E298" t="s">
        <v>23</v>
      </c>
      <c r="F298">
        <v>0</v>
      </c>
      <c r="G298">
        <v>19</v>
      </c>
      <c r="H298">
        <v>0</v>
      </c>
      <c r="I298" t="s">
        <v>24</v>
      </c>
      <c r="J298" t="s">
        <v>25</v>
      </c>
      <c r="K298">
        <v>0</v>
      </c>
      <c r="L298">
        <v>0</v>
      </c>
      <c r="M298" t="s">
        <v>25</v>
      </c>
      <c r="N298" t="s">
        <v>25</v>
      </c>
      <c r="O298" t="s">
        <v>26</v>
      </c>
      <c r="P298" t="s">
        <v>25</v>
      </c>
      <c r="Q298" t="s">
        <v>27</v>
      </c>
      <c r="R298" t="s">
        <v>28</v>
      </c>
    </row>
    <row r="299" spans="1:20">
      <c r="A299">
        <v>298</v>
      </c>
      <c r="B299" t="s">
        <v>375</v>
      </c>
      <c r="C299" t="s">
        <v>21</v>
      </c>
      <c r="D299" t="s">
        <v>22</v>
      </c>
      <c r="E299" t="s">
        <v>23</v>
      </c>
      <c r="F299">
        <v>70</v>
      </c>
      <c r="G299">
        <v>19</v>
      </c>
      <c r="H299">
        <v>83.3</v>
      </c>
      <c r="I299" t="s">
        <v>24</v>
      </c>
      <c r="J299" t="s">
        <v>25</v>
      </c>
      <c r="K299">
        <v>0</v>
      </c>
      <c r="L299">
        <v>0</v>
      </c>
      <c r="M299" t="s">
        <v>25</v>
      </c>
      <c r="N299" t="s">
        <v>25</v>
      </c>
      <c r="O299" t="s">
        <v>26</v>
      </c>
      <c r="P299" t="s">
        <v>25</v>
      </c>
      <c r="Q299" t="s">
        <v>27</v>
      </c>
      <c r="R299" t="s">
        <v>28</v>
      </c>
      <c r="S299" t="s">
        <v>51</v>
      </c>
      <c r="T299" t="s">
        <v>376</v>
      </c>
    </row>
    <row r="300" spans="1:20">
      <c r="A300">
        <v>299</v>
      </c>
      <c r="B300" t="s">
        <v>377</v>
      </c>
      <c r="C300" t="s">
        <v>36</v>
      </c>
      <c r="D300" t="s">
        <v>217</v>
      </c>
      <c r="E300" t="s">
        <v>378</v>
      </c>
      <c r="F300">
        <v>0</v>
      </c>
      <c r="G300">
        <v>19</v>
      </c>
      <c r="H300">
        <v>0</v>
      </c>
      <c r="I300" t="s">
        <v>24</v>
      </c>
      <c r="J300" t="s">
        <v>25</v>
      </c>
      <c r="K300">
        <v>0</v>
      </c>
      <c r="L300">
        <v>0</v>
      </c>
      <c r="M300" t="s">
        <v>25</v>
      </c>
      <c r="N300" t="s">
        <v>25</v>
      </c>
      <c r="O300" t="s">
        <v>26</v>
      </c>
      <c r="P300" t="s">
        <v>25</v>
      </c>
      <c r="Q300" t="s">
        <v>27</v>
      </c>
      <c r="R300" t="s">
        <v>28</v>
      </c>
    </row>
    <row r="301" spans="1:20">
      <c r="A301">
        <v>300</v>
      </c>
      <c r="B301" t="s">
        <v>379</v>
      </c>
      <c r="C301" t="s">
        <v>36</v>
      </c>
      <c r="D301" t="s">
        <v>217</v>
      </c>
      <c r="E301" t="s">
        <v>380</v>
      </c>
      <c r="F301">
        <v>0</v>
      </c>
      <c r="G301">
        <v>19</v>
      </c>
      <c r="H301">
        <v>0</v>
      </c>
      <c r="I301" t="s">
        <v>24</v>
      </c>
      <c r="J301" t="s">
        <v>25</v>
      </c>
      <c r="K301">
        <v>0</v>
      </c>
      <c r="L301">
        <v>0</v>
      </c>
      <c r="M301" t="s">
        <v>25</v>
      </c>
      <c r="N301" t="s">
        <v>25</v>
      </c>
      <c r="O301" t="s">
        <v>26</v>
      </c>
      <c r="P301" t="s">
        <v>25</v>
      </c>
      <c r="Q301" t="s">
        <v>27</v>
      </c>
      <c r="R301" t="s">
        <v>28</v>
      </c>
    </row>
    <row r="302" spans="1:20">
      <c r="A302">
        <v>301</v>
      </c>
      <c r="B302" t="s">
        <v>381</v>
      </c>
      <c r="C302" t="s">
        <v>36</v>
      </c>
      <c r="D302" t="s">
        <v>217</v>
      </c>
      <c r="E302" t="s">
        <v>380</v>
      </c>
      <c r="F302">
        <v>0</v>
      </c>
      <c r="G302">
        <v>19</v>
      </c>
      <c r="H302">
        <v>0</v>
      </c>
      <c r="I302" t="s">
        <v>24</v>
      </c>
      <c r="J302" t="s">
        <v>25</v>
      </c>
      <c r="K302">
        <v>0</v>
      </c>
      <c r="L302">
        <v>0</v>
      </c>
      <c r="M302" t="s">
        <v>25</v>
      </c>
      <c r="N302" t="s">
        <v>25</v>
      </c>
      <c r="O302" t="s">
        <v>26</v>
      </c>
      <c r="P302" t="s">
        <v>25</v>
      </c>
      <c r="Q302" t="s">
        <v>27</v>
      </c>
      <c r="R302" t="s">
        <v>28</v>
      </c>
    </row>
    <row r="303" spans="1:20">
      <c r="A303">
        <v>302</v>
      </c>
      <c r="B303" t="s">
        <v>382</v>
      </c>
      <c r="C303" t="s">
        <v>36</v>
      </c>
      <c r="D303" t="s">
        <v>217</v>
      </c>
      <c r="E303" t="s">
        <v>378</v>
      </c>
      <c r="F303">
        <v>0</v>
      </c>
      <c r="G303">
        <v>19</v>
      </c>
      <c r="H303">
        <v>0</v>
      </c>
      <c r="I303" t="s">
        <v>24</v>
      </c>
      <c r="J303" t="s">
        <v>25</v>
      </c>
      <c r="K303">
        <v>0</v>
      </c>
      <c r="L303">
        <v>0</v>
      </c>
      <c r="M303" t="s">
        <v>25</v>
      </c>
      <c r="N303" t="s">
        <v>25</v>
      </c>
      <c r="O303" t="s">
        <v>26</v>
      </c>
      <c r="P303" t="s">
        <v>25</v>
      </c>
      <c r="Q303" t="s">
        <v>27</v>
      </c>
      <c r="R303" t="s">
        <v>28</v>
      </c>
    </row>
    <row r="304" spans="1:20">
      <c r="A304">
        <v>303</v>
      </c>
      <c r="B304" t="s">
        <v>383</v>
      </c>
      <c r="C304" t="s">
        <v>36</v>
      </c>
      <c r="D304" t="s">
        <v>22</v>
      </c>
      <c r="E304" t="s">
        <v>378</v>
      </c>
      <c r="F304">
        <v>0</v>
      </c>
      <c r="G304">
        <v>19</v>
      </c>
      <c r="H304">
        <v>0</v>
      </c>
      <c r="I304" t="s">
        <v>24</v>
      </c>
      <c r="J304" t="s">
        <v>25</v>
      </c>
      <c r="K304">
        <v>0</v>
      </c>
      <c r="L304">
        <v>0</v>
      </c>
      <c r="M304" t="s">
        <v>25</v>
      </c>
      <c r="N304" t="s">
        <v>25</v>
      </c>
      <c r="O304" t="s">
        <v>26</v>
      </c>
      <c r="P304" t="s">
        <v>25</v>
      </c>
      <c r="Q304" t="s">
        <v>27</v>
      </c>
      <c r="R304" t="s">
        <v>28</v>
      </c>
    </row>
    <row r="305" spans="1:20">
      <c r="A305">
        <v>304</v>
      </c>
      <c r="B305" t="s">
        <v>384</v>
      </c>
      <c r="C305" t="s">
        <v>36</v>
      </c>
      <c r="D305" t="s">
        <v>22</v>
      </c>
      <c r="E305" t="s">
        <v>378</v>
      </c>
      <c r="F305">
        <v>0</v>
      </c>
      <c r="G305">
        <v>19</v>
      </c>
      <c r="H305">
        <v>0</v>
      </c>
      <c r="I305" t="s">
        <v>24</v>
      </c>
      <c r="J305" t="s">
        <v>25</v>
      </c>
      <c r="K305">
        <v>0</v>
      </c>
      <c r="L305">
        <v>0</v>
      </c>
      <c r="M305" t="s">
        <v>25</v>
      </c>
      <c r="N305" t="s">
        <v>25</v>
      </c>
      <c r="O305" t="s">
        <v>26</v>
      </c>
      <c r="P305" t="s">
        <v>25</v>
      </c>
      <c r="Q305" t="s">
        <v>27</v>
      </c>
      <c r="R305" t="s">
        <v>28</v>
      </c>
    </row>
    <row r="306" spans="1:20">
      <c r="A306">
        <v>305</v>
      </c>
      <c r="B306" t="s">
        <v>385</v>
      </c>
      <c r="C306" t="s">
        <v>36</v>
      </c>
      <c r="D306" t="s">
        <v>229</v>
      </c>
      <c r="E306" t="s">
        <v>37</v>
      </c>
      <c r="F306">
        <v>0</v>
      </c>
      <c r="G306">
        <v>19</v>
      </c>
      <c r="H306">
        <v>0</v>
      </c>
      <c r="I306" t="s">
        <v>24</v>
      </c>
      <c r="J306" t="s">
        <v>25</v>
      </c>
      <c r="K306">
        <v>0</v>
      </c>
      <c r="L306">
        <v>0</v>
      </c>
      <c r="M306" t="s">
        <v>25</v>
      </c>
      <c r="N306" t="s">
        <v>25</v>
      </c>
      <c r="O306" t="s">
        <v>26</v>
      </c>
      <c r="P306" t="s">
        <v>25</v>
      </c>
      <c r="Q306" t="s">
        <v>27</v>
      </c>
      <c r="R306" t="s">
        <v>28</v>
      </c>
    </row>
    <row r="307" spans="1:20">
      <c r="A307">
        <v>306</v>
      </c>
      <c r="B307" t="s">
        <v>386</v>
      </c>
      <c r="C307" t="s">
        <v>36</v>
      </c>
      <c r="D307" t="s">
        <v>22</v>
      </c>
      <c r="E307" t="s">
        <v>37</v>
      </c>
      <c r="F307">
        <v>0</v>
      </c>
      <c r="G307">
        <v>19</v>
      </c>
      <c r="H307">
        <v>0</v>
      </c>
      <c r="I307" t="s">
        <v>24</v>
      </c>
      <c r="J307" t="s">
        <v>25</v>
      </c>
      <c r="K307">
        <v>0</v>
      </c>
      <c r="L307">
        <v>0</v>
      </c>
      <c r="M307" t="s">
        <v>25</v>
      </c>
      <c r="N307" t="s">
        <v>25</v>
      </c>
      <c r="O307" t="s">
        <v>26</v>
      </c>
      <c r="P307" t="s">
        <v>25</v>
      </c>
      <c r="Q307" t="s">
        <v>27</v>
      </c>
      <c r="R307" t="s">
        <v>28</v>
      </c>
    </row>
    <row r="308" spans="1:20">
      <c r="A308">
        <v>307</v>
      </c>
      <c r="B308" t="s">
        <v>387</v>
      </c>
      <c r="C308" t="s">
        <v>36</v>
      </c>
      <c r="D308" t="s">
        <v>22</v>
      </c>
      <c r="E308" t="s">
        <v>378</v>
      </c>
      <c r="F308">
        <v>0</v>
      </c>
      <c r="G308">
        <v>19</v>
      </c>
      <c r="H308">
        <v>0</v>
      </c>
      <c r="I308" t="s">
        <v>24</v>
      </c>
      <c r="J308" t="s">
        <v>25</v>
      </c>
      <c r="K308">
        <v>0</v>
      </c>
      <c r="L308">
        <v>0</v>
      </c>
      <c r="M308" t="s">
        <v>25</v>
      </c>
      <c r="N308" t="s">
        <v>25</v>
      </c>
      <c r="O308" t="s">
        <v>26</v>
      </c>
      <c r="P308" t="s">
        <v>25</v>
      </c>
      <c r="Q308" t="s">
        <v>27</v>
      </c>
      <c r="R308" t="s">
        <v>28</v>
      </c>
    </row>
    <row r="309" spans="1:20">
      <c r="A309">
        <v>308</v>
      </c>
      <c r="B309" t="s">
        <v>388</v>
      </c>
      <c r="C309" t="s">
        <v>102</v>
      </c>
      <c r="D309" t="s">
        <v>22</v>
      </c>
      <c r="E309" t="s">
        <v>23</v>
      </c>
      <c r="F309">
        <v>0</v>
      </c>
      <c r="G309">
        <v>19</v>
      </c>
      <c r="H309">
        <v>0</v>
      </c>
      <c r="I309" t="s">
        <v>24</v>
      </c>
      <c r="J309" t="s">
        <v>25</v>
      </c>
      <c r="K309">
        <v>0</v>
      </c>
      <c r="L309">
        <v>0</v>
      </c>
      <c r="M309" t="s">
        <v>25</v>
      </c>
      <c r="N309" t="s">
        <v>25</v>
      </c>
      <c r="O309" t="s">
        <v>26</v>
      </c>
      <c r="P309" t="s">
        <v>25</v>
      </c>
      <c r="Q309" t="s">
        <v>27</v>
      </c>
      <c r="R309" t="s">
        <v>28</v>
      </c>
    </row>
    <row r="310" spans="1:20">
      <c r="A310">
        <v>309</v>
      </c>
      <c r="B310" t="s">
        <v>389</v>
      </c>
      <c r="C310" t="s">
        <v>102</v>
      </c>
      <c r="D310" t="s">
        <v>22</v>
      </c>
      <c r="E310" t="s">
        <v>23</v>
      </c>
      <c r="F310">
        <v>0</v>
      </c>
      <c r="G310">
        <v>19</v>
      </c>
      <c r="H310">
        <v>0</v>
      </c>
      <c r="I310" t="s">
        <v>24</v>
      </c>
      <c r="J310" t="s">
        <v>25</v>
      </c>
      <c r="K310">
        <v>0</v>
      </c>
      <c r="L310">
        <v>0</v>
      </c>
      <c r="M310" t="s">
        <v>25</v>
      </c>
      <c r="N310" t="s">
        <v>25</v>
      </c>
      <c r="O310" t="s">
        <v>26</v>
      </c>
      <c r="P310" t="s">
        <v>25</v>
      </c>
      <c r="Q310" t="s">
        <v>27</v>
      </c>
      <c r="R310" t="s">
        <v>28</v>
      </c>
      <c r="S310" t="s">
        <v>297</v>
      </c>
      <c r="T310" t="s">
        <v>239</v>
      </c>
    </row>
    <row r="311" spans="1:20">
      <c r="A311">
        <v>310</v>
      </c>
      <c r="B311" t="s">
        <v>390</v>
      </c>
      <c r="C311" t="s">
        <v>36</v>
      </c>
      <c r="D311" t="s">
        <v>22</v>
      </c>
      <c r="E311" t="s">
        <v>37</v>
      </c>
      <c r="F311">
        <v>0</v>
      </c>
      <c r="G311">
        <v>19</v>
      </c>
      <c r="H311">
        <v>0</v>
      </c>
      <c r="I311" t="s">
        <v>24</v>
      </c>
      <c r="J311" t="s">
        <v>25</v>
      </c>
      <c r="K311">
        <v>0</v>
      </c>
      <c r="L311">
        <v>0</v>
      </c>
      <c r="M311" t="s">
        <v>25</v>
      </c>
      <c r="N311" t="s">
        <v>25</v>
      </c>
      <c r="O311" t="s">
        <v>26</v>
      </c>
      <c r="P311" t="s">
        <v>25</v>
      </c>
      <c r="Q311" t="s">
        <v>27</v>
      </c>
      <c r="R311" t="s">
        <v>28</v>
      </c>
    </row>
    <row r="312" spans="1:20">
      <c r="A312">
        <v>311</v>
      </c>
      <c r="B312" t="s">
        <v>391</v>
      </c>
      <c r="C312" t="s">
        <v>102</v>
      </c>
      <c r="D312" t="s">
        <v>22</v>
      </c>
      <c r="E312" t="s">
        <v>23</v>
      </c>
      <c r="F312">
        <v>0</v>
      </c>
      <c r="G312">
        <v>19</v>
      </c>
      <c r="H312">
        <v>0</v>
      </c>
      <c r="I312" t="s">
        <v>24</v>
      </c>
      <c r="J312" t="s">
        <v>25</v>
      </c>
      <c r="K312">
        <v>0</v>
      </c>
      <c r="L312">
        <v>0</v>
      </c>
      <c r="M312" t="s">
        <v>25</v>
      </c>
      <c r="N312" t="s">
        <v>25</v>
      </c>
      <c r="O312" t="s">
        <v>26</v>
      </c>
      <c r="P312" t="s">
        <v>25</v>
      </c>
      <c r="Q312" t="s">
        <v>27</v>
      </c>
      <c r="R312" t="s">
        <v>28</v>
      </c>
      <c r="S312" t="s">
        <v>297</v>
      </c>
      <c r="T312" t="s">
        <v>345</v>
      </c>
    </row>
    <row r="313" spans="1:20">
      <c r="A313">
        <v>312</v>
      </c>
      <c r="B313" t="s">
        <v>392</v>
      </c>
      <c r="C313" t="s">
        <v>36</v>
      </c>
      <c r="D313" t="s">
        <v>22</v>
      </c>
      <c r="E313" t="s">
        <v>37</v>
      </c>
      <c r="F313">
        <v>0</v>
      </c>
      <c r="G313">
        <v>19</v>
      </c>
      <c r="H313">
        <v>0</v>
      </c>
      <c r="I313" t="s">
        <v>24</v>
      </c>
      <c r="J313" t="s">
        <v>25</v>
      </c>
      <c r="K313">
        <v>0</v>
      </c>
      <c r="L313">
        <v>0</v>
      </c>
      <c r="M313" t="s">
        <v>25</v>
      </c>
      <c r="N313" t="s">
        <v>25</v>
      </c>
      <c r="O313" t="s">
        <v>26</v>
      </c>
      <c r="P313" t="s">
        <v>25</v>
      </c>
      <c r="Q313" t="s">
        <v>27</v>
      </c>
      <c r="R313" t="s">
        <v>28</v>
      </c>
      <c r="S313" t="s">
        <v>297</v>
      </c>
      <c r="T313" t="s">
        <v>345</v>
      </c>
    </row>
    <row r="314" spans="1:20">
      <c r="A314">
        <v>313</v>
      </c>
      <c r="B314" t="s">
        <v>393</v>
      </c>
      <c r="C314" t="s">
        <v>102</v>
      </c>
      <c r="D314" t="s">
        <v>22</v>
      </c>
      <c r="E314" t="s">
        <v>23</v>
      </c>
      <c r="F314">
        <v>0</v>
      </c>
      <c r="G314">
        <v>19</v>
      </c>
      <c r="H314">
        <v>0</v>
      </c>
      <c r="I314" t="s">
        <v>24</v>
      </c>
      <c r="J314" t="s">
        <v>25</v>
      </c>
      <c r="K314">
        <v>0</v>
      </c>
      <c r="L314">
        <v>0</v>
      </c>
      <c r="M314" t="s">
        <v>25</v>
      </c>
      <c r="N314" t="s">
        <v>25</v>
      </c>
      <c r="O314" t="s">
        <v>26</v>
      </c>
      <c r="P314" t="s">
        <v>25</v>
      </c>
      <c r="Q314" t="s">
        <v>27</v>
      </c>
      <c r="R314" t="s">
        <v>28</v>
      </c>
      <c r="S314" t="s">
        <v>297</v>
      </c>
      <c r="T314" t="s">
        <v>239</v>
      </c>
    </row>
    <row r="315" spans="1:20">
      <c r="A315">
        <v>314</v>
      </c>
      <c r="B315" t="s">
        <v>394</v>
      </c>
      <c r="C315" t="s">
        <v>36</v>
      </c>
      <c r="D315" t="s">
        <v>22</v>
      </c>
      <c r="E315" t="s">
        <v>37</v>
      </c>
      <c r="F315">
        <v>0</v>
      </c>
      <c r="G315">
        <v>19</v>
      </c>
      <c r="H315">
        <v>0</v>
      </c>
      <c r="I315" t="s">
        <v>24</v>
      </c>
      <c r="J315" t="s">
        <v>25</v>
      </c>
      <c r="K315">
        <v>0</v>
      </c>
      <c r="L315">
        <v>0</v>
      </c>
      <c r="M315" t="s">
        <v>25</v>
      </c>
      <c r="N315" t="s">
        <v>25</v>
      </c>
      <c r="O315" t="s">
        <v>26</v>
      </c>
      <c r="P315" t="s">
        <v>25</v>
      </c>
      <c r="Q315" t="s">
        <v>27</v>
      </c>
      <c r="R315" t="s">
        <v>28</v>
      </c>
    </row>
    <row r="316" spans="1:20">
      <c r="A316">
        <v>315</v>
      </c>
      <c r="B316" t="s">
        <v>395</v>
      </c>
      <c r="C316" t="s">
        <v>36</v>
      </c>
      <c r="D316" t="s">
        <v>22</v>
      </c>
      <c r="E316" t="s">
        <v>37</v>
      </c>
      <c r="F316">
        <v>0</v>
      </c>
      <c r="G316">
        <v>19</v>
      </c>
      <c r="H316">
        <v>0</v>
      </c>
      <c r="I316" t="s">
        <v>24</v>
      </c>
      <c r="J316" t="s">
        <v>25</v>
      </c>
      <c r="K316">
        <v>0</v>
      </c>
      <c r="L316">
        <v>0</v>
      </c>
      <c r="M316" t="s">
        <v>25</v>
      </c>
      <c r="N316" t="s">
        <v>25</v>
      </c>
      <c r="O316" t="s">
        <v>26</v>
      </c>
      <c r="P316" t="s">
        <v>25</v>
      </c>
      <c r="Q316" t="s">
        <v>27</v>
      </c>
      <c r="R316" t="s">
        <v>28</v>
      </c>
    </row>
    <row r="317" spans="1:20">
      <c r="A317">
        <v>316</v>
      </c>
      <c r="B317" t="s">
        <v>396</v>
      </c>
      <c r="C317" t="s">
        <v>102</v>
      </c>
      <c r="D317" t="s">
        <v>22</v>
      </c>
      <c r="E317" t="s">
        <v>23</v>
      </c>
      <c r="F317">
        <v>0</v>
      </c>
      <c r="G317">
        <v>19</v>
      </c>
      <c r="H317">
        <v>0</v>
      </c>
      <c r="I317" t="s">
        <v>24</v>
      </c>
      <c r="J317" t="s">
        <v>25</v>
      </c>
      <c r="K317">
        <v>0</v>
      </c>
      <c r="L317">
        <v>0</v>
      </c>
      <c r="M317" t="s">
        <v>25</v>
      </c>
      <c r="N317" t="s">
        <v>25</v>
      </c>
      <c r="O317" t="s">
        <v>26</v>
      </c>
      <c r="P317" t="s">
        <v>25</v>
      </c>
      <c r="Q317" t="s">
        <v>27</v>
      </c>
      <c r="R317" t="s">
        <v>28</v>
      </c>
    </row>
    <row r="318" spans="1:20">
      <c r="A318">
        <v>317</v>
      </c>
      <c r="B318" t="s">
        <v>397</v>
      </c>
      <c r="C318" t="s">
        <v>102</v>
      </c>
      <c r="D318" t="s">
        <v>22</v>
      </c>
      <c r="E318" t="s">
        <v>23</v>
      </c>
      <c r="F318">
        <v>0</v>
      </c>
      <c r="G318">
        <v>19</v>
      </c>
      <c r="H318">
        <v>0</v>
      </c>
      <c r="I318" t="s">
        <v>24</v>
      </c>
      <c r="J318" t="s">
        <v>25</v>
      </c>
      <c r="K318">
        <v>0</v>
      </c>
      <c r="L318">
        <v>0</v>
      </c>
      <c r="M318" t="s">
        <v>25</v>
      </c>
      <c r="N318" t="s">
        <v>25</v>
      </c>
      <c r="O318" t="s">
        <v>26</v>
      </c>
      <c r="P318" t="s">
        <v>25</v>
      </c>
      <c r="Q318" t="s">
        <v>27</v>
      </c>
      <c r="R318" t="s">
        <v>28</v>
      </c>
    </row>
    <row r="319" spans="1:20">
      <c r="A319">
        <v>318</v>
      </c>
      <c r="B319" t="s">
        <v>398</v>
      </c>
      <c r="C319" t="s">
        <v>36</v>
      </c>
      <c r="D319" t="s">
        <v>22</v>
      </c>
      <c r="E319" t="s">
        <v>399</v>
      </c>
      <c r="F319">
        <v>0</v>
      </c>
      <c r="G319">
        <v>19</v>
      </c>
      <c r="H319">
        <v>0</v>
      </c>
      <c r="I319" t="s">
        <v>24</v>
      </c>
      <c r="J319" t="s">
        <v>25</v>
      </c>
      <c r="K319">
        <v>0</v>
      </c>
      <c r="L319">
        <v>0</v>
      </c>
      <c r="M319" t="s">
        <v>25</v>
      </c>
      <c r="N319" t="s">
        <v>25</v>
      </c>
      <c r="O319" t="s">
        <v>26</v>
      </c>
      <c r="P319" t="s">
        <v>25</v>
      </c>
      <c r="Q319" t="s">
        <v>27</v>
      </c>
      <c r="R319" t="s">
        <v>28</v>
      </c>
    </row>
    <row r="320" spans="1:20">
      <c r="A320">
        <v>319</v>
      </c>
      <c r="B320" t="s">
        <v>400</v>
      </c>
      <c r="C320" t="s">
        <v>36</v>
      </c>
      <c r="D320" t="s">
        <v>22</v>
      </c>
      <c r="E320" t="s">
        <v>37</v>
      </c>
      <c r="F320">
        <v>0</v>
      </c>
      <c r="G320">
        <v>19</v>
      </c>
      <c r="H320">
        <v>0</v>
      </c>
      <c r="I320" t="s">
        <v>24</v>
      </c>
      <c r="J320" t="s">
        <v>25</v>
      </c>
      <c r="K320">
        <v>0</v>
      </c>
      <c r="L320">
        <v>0</v>
      </c>
      <c r="M320" t="s">
        <v>25</v>
      </c>
      <c r="N320" t="s">
        <v>25</v>
      </c>
      <c r="O320" t="s">
        <v>26</v>
      </c>
      <c r="P320" t="s">
        <v>25</v>
      </c>
      <c r="Q320" t="s">
        <v>27</v>
      </c>
      <c r="R320" t="s">
        <v>28</v>
      </c>
    </row>
    <row r="321" spans="1:20">
      <c r="A321">
        <v>320</v>
      </c>
      <c r="B321" t="s">
        <v>401</v>
      </c>
      <c r="C321" t="s">
        <v>102</v>
      </c>
      <c r="D321" t="s">
        <v>22</v>
      </c>
      <c r="E321" t="s">
        <v>23</v>
      </c>
      <c r="F321">
        <v>0</v>
      </c>
      <c r="G321">
        <v>19</v>
      </c>
      <c r="H321">
        <v>0</v>
      </c>
      <c r="I321" t="s">
        <v>24</v>
      </c>
      <c r="J321" t="s">
        <v>25</v>
      </c>
      <c r="K321">
        <v>0</v>
      </c>
      <c r="L321">
        <v>0</v>
      </c>
      <c r="M321" t="s">
        <v>25</v>
      </c>
      <c r="N321" t="s">
        <v>25</v>
      </c>
      <c r="O321" t="s">
        <v>26</v>
      </c>
      <c r="P321" t="s">
        <v>25</v>
      </c>
      <c r="Q321" t="s">
        <v>27</v>
      </c>
      <c r="R321" t="s">
        <v>28</v>
      </c>
    </row>
    <row r="322" spans="1:20">
      <c r="A322">
        <v>321</v>
      </c>
      <c r="B322" t="s">
        <v>402</v>
      </c>
      <c r="C322" t="s">
        <v>102</v>
      </c>
      <c r="D322" t="s">
        <v>22</v>
      </c>
      <c r="E322" t="s">
        <v>23</v>
      </c>
      <c r="F322">
        <v>0</v>
      </c>
      <c r="G322">
        <v>19</v>
      </c>
      <c r="H322">
        <v>0</v>
      </c>
      <c r="I322" t="s">
        <v>24</v>
      </c>
      <c r="J322" t="s">
        <v>25</v>
      </c>
      <c r="K322">
        <v>0</v>
      </c>
      <c r="L322">
        <v>0</v>
      </c>
      <c r="M322" t="s">
        <v>25</v>
      </c>
      <c r="N322" t="s">
        <v>25</v>
      </c>
      <c r="O322" t="s">
        <v>26</v>
      </c>
      <c r="P322" t="s">
        <v>25</v>
      </c>
      <c r="Q322" t="s">
        <v>27</v>
      </c>
      <c r="R322" t="s">
        <v>28</v>
      </c>
    </row>
    <row r="323" spans="1:20">
      <c r="A323">
        <v>322</v>
      </c>
      <c r="B323" t="s">
        <v>403</v>
      </c>
      <c r="C323" t="s">
        <v>102</v>
      </c>
      <c r="D323" t="s">
        <v>22</v>
      </c>
      <c r="E323" t="s">
        <v>23</v>
      </c>
      <c r="F323">
        <v>0</v>
      </c>
      <c r="G323">
        <v>19</v>
      </c>
      <c r="H323">
        <v>0</v>
      </c>
      <c r="I323" t="s">
        <v>24</v>
      </c>
      <c r="J323" t="s">
        <v>25</v>
      </c>
      <c r="K323">
        <v>0</v>
      </c>
      <c r="L323">
        <v>0</v>
      </c>
      <c r="M323" t="s">
        <v>25</v>
      </c>
      <c r="N323" t="s">
        <v>25</v>
      </c>
      <c r="O323" t="s">
        <v>26</v>
      </c>
      <c r="P323" t="s">
        <v>25</v>
      </c>
      <c r="Q323" t="s">
        <v>27</v>
      </c>
      <c r="R323" t="s">
        <v>28</v>
      </c>
    </row>
    <row r="324" spans="1:20">
      <c r="A324">
        <v>323</v>
      </c>
      <c r="B324" t="s">
        <v>404</v>
      </c>
      <c r="C324" t="s">
        <v>36</v>
      </c>
      <c r="D324" t="s">
        <v>22</v>
      </c>
      <c r="E324" t="s">
        <v>37</v>
      </c>
      <c r="F324">
        <v>0</v>
      </c>
      <c r="G324">
        <v>19</v>
      </c>
      <c r="H324">
        <v>0</v>
      </c>
      <c r="I324" t="s">
        <v>24</v>
      </c>
      <c r="J324" t="s">
        <v>25</v>
      </c>
      <c r="K324">
        <v>0</v>
      </c>
      <c r="L324">
        <v>0</v>
      </c>
      <c r="M324" t="s">
        <v>25</v>
      </c>
      <c r="N324" t="s">
        <v>25</v>
      </c>
      <c r="O324" t="s">
        <v>26</v>
      </c>
      <c r="P324" t="s">
        <v>25</v>
      </c>
      <c r="Q324" t="s">
        <v>27</v>
      </c>
      <c r="R324" t="s">
        <v>28</v>
      </c>
    </row>
    <row r="325" spans="1:20">
      <c r="A325">
        <v>324</v>
      </c>
      <c r="B325" t="s">
        <v>405</v>
      </c>
      <c r="C325" t="s">
        <v>102</v>
      </c>
      <c r="D325" t="s">
        <v>22</v>
      </c>
      <c r="E325" t="s">
        <v>23</v>
      </c>
      <c r="F325">
        <v>0</v>
      </c>
      <c r="G325">
        <v>19</v>
      </c>
      <c r="H325">
        <v>0</v>
      </c>
      <c r="I325" t="s">
        <v>24</v>
      </c>
      <c r="J325" t="s">
        <v>25</v>
      </c>
      <c r="K325">
        <v>0</v>
      </c>
      <c r="L325">
        <v>0</v>
      </c>
      <c r="M325" t="s">
        <v>25</v>
      </c>
      <c r="N325" t="s">
        <v>25</v>
      </c>
      <c r="O325" t="s">
        <v>26</v>
      </c>
      <c r="P325" t="s">
        <v>25</v>
      </c>
      <c r="Q325" t="s">
        <v>27</v>
      </c>
      <c r="R325" t="s">
        <v>28</v>
      </c>
    </row>
    <row r="326" spans="1:20">
      <c r="A326">
        <v>325</v>
      </c>
      <c r="B326" t="s">
        <v>406</v>
      </c>
      <c r="C326" t="s">
        <v>102</v>
      </c>
      <c r="D326" t="s">
        <v>22</v>
      </c>
      <c r="E326" t="s">
        <v>23</v>
      </c>
      <c r="F326">
        <v>0</v>
      </c>
      <c r="G326">
        <v>19</v>
      </c>
      <c r="H326">
        <v>0</v>
      </c>
      <c r="I326" t="s">
        <v>24</v>
      </c>
      <c r="J326" t="s">
        <v>25</v>
      </c>
      <c r="K326">
        <v>0</v>
      </c>
      <c r="L326">
        <v>0</v>
      </c>
      <c r="M326" t="s">
        <v>25</v>
      </c>
      <c r="N326" t="s">
        <v>25</v>
      </c>
      <c r="O326" t="s">
        <v>26</v>
      </c>
      <c r="P326" t="s">
        <v>25</v>
      </c>
      <c r="Q326" t="s">
        <v>27</v>
      </c>
      <c r="R326" t="s">
        <v>28</v>
      </c>
    </row>
    <row r="327" spans="1:20">
      <c r="A327">
        <v>326</v>
      </c>
      <c r="B327" t="s">
        <v>407</v>
      </c>
      <c r="C327" t="s">
        <v>36</v>
      </c>
      <c r="D327" t="s">
        <v>22</v>
      </c>
      <c r="E327" t="s">
        <v>37</v>
      </c>
      <c r="F327">
        <v>0</v>
      </c>
      <c r="G327">
        <v>19</v>
      </c>
      <c r="H327">
        <v>0</v>
      </c>
      <c r="I327" t="s">
        <v>24</v>
      </c>
      <c r="J327" t="s">
        <v>25</v>
      </c>
      <c r="K327">
        <v>0</v>
      </c>
      <c r="L327">
        <v>0</v>
      </c>
      <c r="M327" t="s">
        <v>25</v>
      </c>
      <c r="N327" t="s">
        <v>25</v>
      </c>
      <c r="O327" t="s">
        <v>26</v>
      </c>
      <c r="P327" t="s">
        <v>25</v>
      </c>
      <c r="Q327" t="s">
        <v>27</v>
      </c>
      <c r="R327" t="s">
        <v>28</v>
      </c>
    </row>
    <row r="328" spans="1:20">
      <c r="A328">
        <v>327</v>
      </c>
      <c r="B328" t="s">
        <v>408</v>
      </c>
      <c r="C328" t="s">
        <v>102</v>
      </c>
      <c r="D328" t="s">
        <v>22</v>
      </c>
      <c r="E328" t="s">
        <v>23</v>
      </c>
      <c r="F328">
        <v>0</v>
      </c>
      <c r="G328">
        <v>19</v>
      </c>
      <c r="H328">
        <v>0</v>
      </c>
      <c r="I328" t="s">
        <v>24</v>
      </c>
      <c r="J328" t="s">
        <v>25</v>
      </c>
      <c r="K328">
        <v>0</v>
      </c>
      <c r="L328">
        <v>0</v>
      </c>
      <c r="M328" t="s">
        <v>25</v>
      </c>
      <c r="N328" t="s">
        <v>25</v>
      </c>
      <c r="O328" t="s">
        <v>26</v>
      </c>
      <c r="P328" t="s">
        <v>25</v>
      </c>
      <c r="Q328" t="s">
        <v>27</v>
      </c>
      <c r="R328" t="s">
        <v>28</v>
      </c>
    </row>
    <row r="329" spans="1:20">
      <c r="A329">
        <v>328</v>
      </c>
      <c r="B329" t="s">
        <v>409</v>
      </c>
      <c r="C329" t="s">
        <v>36</v>
      </c>
      <c r="D329" t="s">
        <v>22</v>
      </c>
      <c r="E329" t="s">
        <v>37</v>
      </c>
      <c r="F329">
        <v>0</v>
      </c>
      <c r="G329">
        <v>19</v>
      </c>
      <c r="H329">
        <v>0</v>
      </c>
      <c r="I329" t="s">
        <v>24</v>
      </c>
      <c r="J329" t="s">
        <v>25</v>
      </c>
      <c r="K329">
        <v>0</v>
      </c>
      <c r="L329">
        <v>0</v>
      </c>
      <c r="M329" t="s">
        <v>25</v>
      </c>
      <c r="N329" t="s">
        <v>25</v>
      </c>
      <c r="O329" t="s">
        <v>26</v>
      </c>
      <c r="P329" t="s">
        <v>25</v>
      </c>
      <c r="Q329" t="s">
        <v>27</v>
      </c>
      <c r="R329" t="s">
        <v>28</v>
      </c>
    </row>
    <row r="330" spans="1:20">
      <c r="A330">
        <v>329</v>
      </c>
      <c r="B330" t="s">
        <v>410</v>
      </c>
      <c r="C330" t="s">
        <v>21</v>
      </c>
      <c r="D330" t="s">
        <v>283</v>
      </c>
      <c r="E330" t="s">
        <v>244</v>
      </c>
      <c r="F330">
        <v>30000</v>
      </c>
      <c r="G330">
        <v>0</v>
      </c>
      <c r="H330">
        <v>30000</v>
      </c>
      <c r="I330" t="s">
        <v>24</v>
      </c>
      <c r="J330" t="s">
        <v>25</v>
      </c>
      <c r="K330">
        <v>0</v>
      </c>
      <c r="L330">
        <v>0</v>
      </c>
      <c r="M330" t="s">
        <v>25</v>
      </c>
      <c r="N330" t="s">
        <v>25</v>
      </c>
      <c r="O330" t="s">
        <v>26</v>
      </c>
      <c r="P330" t="s">
        <v>25</v>
      </c>
      <c r="Q330" t="s">
        <v>27</v>
      </c>
      <c r="R330" t="s">
        <v>28</v>
      </c>
      <c r="S330" t="s">
        <v>51</v>
      </c>
      <c r="T330" t="s">
        <v>411</v>
      </c>
    </row>
    <row r="331" spans="1:20">
      <c r="A331">
        <v>330</v>
      </c>
      <c r="B331" t="s">
        <v>412</v>
      </c>
      <c r="C331" t="s">
        <v>102</v>
      </c>
      <c r="D331" t="s">
        <v>217</v>
      </c>
      <c r="E331" t="s">
        <v>244</v>
      </c>
      <c r="F331">
        <v>29412</v>
      </c>
      <c r="G331">
        <v>19</v>
      </c>
      <c r="H331">
        <v>35000</v>
      </c>
      <c r="I331" t="s">
        <v>24</v>
      </c>
      <c r="J331" t="s">
        <v>25</v>
      </c>
      <c r="K331">
        <v>0</v>
      </c>
      <c r="L331">
        <v>0</v>
      </c>
      <c r="M331" t="s">
        <v>25</v>
      </c>
      <c r="N331" t="s">
        <v>25</v>
      </c>
      <c r="O331" t="s">
        <v>26</v>
      </c>
      <c r="P331" t="s">
        <v>25</v>
      </c>
      <c r="Q331" t="s">
        <v>27</v>
      </c>
      <c r="R331" t="s">
        <v>28</v>
      </c>
    </row>
    <row r="332" spans="1:20">
      <c r="A332">
        <v>331</v>
      </c>
      <c r="B332" t="s">
        <v>413</v>
      </c>
      <c r="C332" t="s">
        <v>102</v>
      </c>
      <c r="D332" t="s">
        <v>283</v>
      </c>
      <c r="E332" t="s">
        <v>244</v>
      </c>
      <c r="F332">
        <v>48739</v>
      </c>
      <c r="G332">
        <v>19</v>
      </c>
      <c r="H332">
        <v>57999</v>
      </c>
      <c r="I332" t="s">
        <v>24</v>
      </c>
      <c r="J332" t="s">
        <v>25</v>
      </c>
      <c r="K332">
        <v>0</v>
      </c>
      <c r="L332">
        <v>0</v>
      </c>
      <c r="M332" t="s">
        <v>25</v>
      </c>
      <c r="N332" t="s">
        <v>25</v>
      </c>
      <c r="O332" t="s">
        <v>26</v>
      </c>
      <c r="P332" t="s">
        <v>25</v>
      </c>
      <c r="Q332" t="s">
        <v>27</v>
      </c>
      <c r="R332" t="s">
        <v>28</v>
      </c>
    </row>
    <row r="333" spans="1:20">
      <c r="A333">
        <v>332</v>
      </c>
      <c r="B333" t="s">
        <v>414</v>
      </c>
      <c r="C333" t="s">
        <v>102</v>
      </c>
      <c r="D333" t="s">
        <v>22</v>
      </c>
      <c r="E333" t="s">
        <v>244</v>
      </c>
      <c r="F333">
        <v>4874</v>
      </c>
      <c r="G333">
        <v>19</v>
      </c>
      <c r="H333">
        <v>5800</v>
      </c>
      <c r="I333" t="s">
        <v>24</v>
      </c>
      <c r="J333" t="s">
        <v>25</v>
      </c>
      <c r="K333">
        <v>0</v>
      </c>
      <c r="L333">
        <v>0</v>
      </c>
      <c r="M333" t="s">
        <v>25</v>
      </c>
      <c r="N333" t="s">
        <v>25</v>
      </c>
      <c r="O333" t="s">
        <v>26</v>
      </c>
      <c r="P333" t="s">
        <v>25</v>
      </c>
      <c r="Q333" t="s">
        <v>27</v>
      </c>
      <c r="R333" t="s">
        <v>28</v>
      </c>
    </row>
    <row r="334" spans="1:20">
      <c r="A334">
        <v>333</v>
      </c>
      <c r="B334" t="s">
        <v>415</v>
      </c>
      <c r="C334" t="s">
        <v>102</v>
      </c>
      <c r="D334" t="s">
        <v>22</v>
      </c>
      <c r="E334" t="s">
        <v>244</v>
      </c>
      <c r="F334">
        <v>58328</v>
      </c>
      <c r="G334">
        <v>19</v>
      </c>
      <c r="H334">
        <v>69410</v>
      </c>
      <c r="I334" t="s">
        <v>24</v>
      </c>
      <c r="J334" t="s">
        <v>25</v>
      </c>
      <c r="K334">
        <v>0</v>
      </c>
      <c r="L334">
        <v>0</v>
      </c>
      <c r="M334" t="s">
        <v>25</v>
      </c>
      <c r="N334" t="s">
        <v>25</v>
      </c>
      <c r="O334" t="s">
        <v>26</v>
      </c>
      <c r="P334" t="s">
        <v>25</v>
      </c>
      <c r="Q334" t="s">
        <v>27</v>
      </c>
      <c r="R334" t="s">
        <v>28</v>
      </c>
      <c r="S334" t="s">
        <v>27</v>
      </c>
      <c r="T334" t="s">
        <v>416</v>
      </c>
    </row>
    <row r="335" spans="1:20">
      <c r="A335">
        <v>334</v>
      </c>
      <c r="B335" t="s">
        <v>417</v>
      </c>
      <c r="C335" t="s">
        <v>102</v>
      </c>
      <c r="D335" t="s">
        <v>22</v>
      </c>
      <c r="E335" t="s">
        <v>244</v>
      </c>
      <c r="F335">
        <v>280000</v>
      </c>
      <c r="G335">
        <v>19</v>
      </c>
      <c r="H335">
        <v>333200</v>
      </c>
      <c r="I335" t="s">
        <v>24</v>
      </c>
      <c r="J335" t="s">
        <v>25</v>
      </c>
      <c r="K335">
        <v>0</v>
      </c>
      <c r="L335">
        <v>0</v>
      </c>
      <c r="M335" t="s">
        <v>25</v>
      </c>
      <c r="N335" t="s">
        <v>25</v>
      </c>
      <c r="O335" t="s">
        <v>26</v>
      </c>
      <c r="P335" t="s">
        <v>25</v>
      </c>
      <c r="Q335" t="s">
        <v>27</v>
      </c>
      <c r="R335" t="s">
        <v>28</v>
      </c>
    </row>
    <row r="336" spans="1:20">
      <c r="A336">
        <v>335</v>
      </c>
      <c r="B336" t="s">
        <v>418</v>
      </c>
      <c r="C336" t="s">
        <v>21</v>
      </c>
      <c r="D336" t="s">
        <v>22</v>
      </c>
      <c r="E336" t="s">
        <v>23</v>
      </c>
      <c r="F336">
        <v>126050.42</v>
      </c>
      <c r="G336">
        <v>19</v>
      </c>
      <c r="H336">
        <v>149999.99979999999</v>
      </c>
      <c r="I336" t="s">
        <v>24</v>
      </c>
      <c r="J336" t="s">
        <v>25</v>
      </c>
      <c r="K336">
        <v>0</v>
      </c>
      <c r="L336">
        <v>0</v>
      </c>
      <c r="M336" t="s">
        <v>25</v>
      </c>
      <c r="N336" t="s">
        <v>25</v>
      </c>
      <c r="O336" t="s">
        <v>26</v>
      </c>
      <c r="P336" t="s">
        <v>25</v>
      </c>
      <c r="Q336" t="s">
        <v>27</v>
      </c>
      <c r="R336" t="s">
        <v>28</v>
      </c>
      <c r="S336" t="s">
        <v>51</v>
      </c>
      <c r="T336" t="s">
        <v>419</v>
      </c>
    </row>
    <row r="337" spans="1:20">
      <c r="A337">
        <v>336</v>
      </c>
      <c r="B337" t="s">
        <v>420</v>
      </c>
      <c r="C337" t="s">
        <v>102</v>
      </c>
      <c r="D337" t="s">
        <v>22</v>
      </c>
      <c r="E337" t="s">
        <v>244</v>
      </c>
      <c r="F337">
        <v>33613</v>
      </c>
      <c r="G337">
        <v>19</v>
      </c>
      <c r="H337">
        <v>39999</v>
      </c>
      <c r="I337" t="s">
        <v>24</v>
      </c>
      <c r="J337" t="s">
        <v>25</v>
      </c>
      <c r="K337">
        <v>0</v>
      </c>
      <c r="L337">
        <v>0</v>
      </c>
      <c r="M337" t="s">
        <v>25</v>
      </c>
      <c r="N337" t="s">
        <v>25</v>
      </c>
      <c r="O337" t="s">
        <v>26</v>
      </c>
      <c r="P337" t="s">
        <v>25</v>
      </c>
      <c r="Q337" t="s">
        <v>27</v>
      </c>
      <c r="R337" t="s">
        <v>28</v>
      </c>
    </row>
    <row r="338" spans="1:20">
      <c r="A338">
        <v>337</v>
      </c>
      <c r="B338" t="s">
        <v>421</v>
      </c>
      <c r="C338" t="s">
        <v>36</v>
      </c>
      <c r="D338" t="s">
        <v>22</v>
      </c>
      <c r="E338" t="s">
        <v>244</v>
      </c>
      <c r="F338">
        <v>100000</v>
      </c>
      <c r="G338">
        <v>19</v>
      </c>
      <c r="H338">
        <v>119000</v>
      </c>
      <c r="I338" t="s">
        <v>24</v>
      </c>
      <c r="J338" t="s">
        <v>25</v>
      </c>
      <c r="K338">
        <v>0</v>
      </c>
      <c r="L338">
        <v>0</v>
      </c>
      <c r="M338" t="s">
        <v>25</v>
      </c>
      <c r="N338" t="s">
        <v>25</v>
      </c>
      <c r="O338" t="s">
        <v>26</v>
      </c>
      <c r="P338" t="s">
        <v>25</v>
      </c>
      <c r="Q338" t="s">
        <v>27</v>
      </c>
      <c r="R338" t="s">
        <v>28</v>
      </c>
    </row>
    <row r="339" spans="1:20">
      <c r="A339">
        <v>338</v>
      </c>
      <c r="B339" t="s">
        <v>422</v>
      </c>
      <c r="C339" t="s">
        <v>36</v>
      </c>
      <c r="D339" t="s">
        <v>22</v>
      </c>
      <c r="E339" t="s">
        <v>244</v>
      </c>
      <c r="F339">
        <v>92437</v>
      </c>
      <c r="G339">
        <v>19</v>
      </c>
      <c r="H339">
        <v>110000</v>
      </c>
      <c r="I339" t="s">
        <v>24</v>
      </c>
      <c r="J339" t="s">
        <v>25</v>
      </c>
      <c r="K339">
        <v>0</v>
      </c>
      <c r="L339">
        <v>0</v>
      </c>
      <c r="M339" t="s">
        <v>25</v>
      </c>
      <c r="N339" t="s">
        <v>25</v>
      </c>
      <c r="O339" t="s">
        <v>26</v>
      </c>
      <c r="P339" t="s">
        <v>25</v>
      </c>
      <c r="Q339" t="s">
        <v>27</v>
      </c>
      <c r="R339" t="s">
        <v>28</v>
      </c>
    </row>
    <row r="340" spans="1:20">
      <c r="A340">
        <v>339</v>
      </c>
      <c r="B340" t="s">
        <v>423</v>
      </c>
      <c r="C340" t="s">
        <v>36</v>
      </c>
      <c r="D340" t="s">
        <v>217</v>
      </c>
      <c r="E340" t="s">
        <v>244</v>
      </c>
      <c r="F340">
        <v>55000</v>
      </c>
      <c r="G340">
        <v>19</v>
      </c>
      <c r="H340">
        <v>65450</v>
      </c>
      <c r="I340" t="s">
        <v>24</v>
      </c>
      <c r="J340" t="s">
        <v>25</v>
      </c>
      <c r="K340">
        <v>0</v>
      </c>
      <c r="L340">
        <v>0</v>
      </c>
      <c r="M340" t="s">
        <v>25</v>
      </c>
      <c r="N340" t="s">
        <v>25</v>
      </c>
      <c r="O340" t="s">
        <v>26</v>
      </c>
      <c r="P340" t="s">
        <v>25</v>
      </c>
      <c r="Q340" t="s">
        <v>27</v>
      </c>
      <c r="R340" t="s">
        <v>28</v>
      </c>
    </row>
    <row r="341" spans="1:20">
      <c r="A341">
        <v>340</v>
      </c>
      <c r="B341" t="s">
        <v>424</v>
      </c>
      <c r="C341" t="s">
        <v>36</v>
      </c>
      <c r="D341" t="s">
        <v>217</v>
      </c>
      <c r="E341" t="s">
        <v>244</v>
      </c>
      <c r="F341">
        <v>88000</v>
      </c>
      <c r="G341">
        <v>19</v>
      </c>
      <c r="H341">
        <v>104720</v>
      </c>
      <c r="I341" t="s">
        <v>24</v>
      </c>
      <c r="J341" t="s">
        <v>25</v>
      </c>
      <c r="K341">
        <v>0</v>
      </c>
      <c r="L341">
        <v>0</v>
      </c>
      <c r="M341" t="s">
        <v>25</v>
      </c>
      <c r="N341" t="s">
        <v>25</v>
      </c>
      <c r="O341" t="s">
        <v>26</v>
      </c>
      <c r="P341" t="s">
        <v>25</v>
      </c>
      <c r="Q341" t="s">
        <v>27</v>
      </c>
      <c r="R341" t="s">
        <v>28</v>
      </c>
      <c r="S341" t="s">
        <v>27</v>
      </c>
      <c r="T341" t="s">
        <v>416</v>
      </c>
    </row>
    <row r="342" spans="1:20">
      <c r="A342">
        <v>341</v>
      </c>
      <c r="B342" t="s">
        <v>425</v>
      </c>
      <c r="C342" t="s">
        <v>36</v>
      </c>
      <c r="D342" t="s">
        <v>217</v>
      </c>
      <c r="E342" t="s">
        <v>244</v>
      </c>
      <c r="F342">
        <v>55000</v>
      </c>
      <c r="G342">
        <v>19</v>
      </c>
      <c r="H342">
        <v>65450</v>
      </c>
      <c r="I342" t="s">
        <v>24</v>
      </c>
      <c r="J342" t="s">
        <v>25</v>
      </c>
      <c r="K342">
        <v>0</v>
      </c>
      <c r="L342">
        <v>0</v>
      </c>
      <c r="M342" t="s">
        <v>25</v>
      </c>
      <c r="N342" t="s">
        <v>25</v>
      </c>
      <c r="O342" t="s">
        <v>26</v>
      </c>
      <c r="P342" t="s">
        <v>25</v>
      </c>
      <c r="Q342" t="s">
        <v>27</v>
      </c>
      <c r="R342" t="s">
        <v>28</v>
      </c>
    </row>
    <row r="343" spans="1:20">
      <c r="A343">
        <v>342</v>
      </c>
      <c r="B343" t="s">
        <v>426</v>
      </c>
      <c r="C343" t="s">
        <v>36</v>
      </c>
      <c r="D343" t="s">
        <v>217</v>
      </c>
      <c r="E343" t="s">
        <v>244</v>
      </c>
      <c r="F343">
        <v>23000</v>
      </c>
      <c r="G343">
        <v>19</v>
      </c>
      <c r="H343">
        <v>27370</v>
      </c>
      <c r="I343" t="s">
        <v>24</v>
      </c>
      <c r="J343" t="s">
        <v>25</v>
      </c>
      <c r="K343">
        <v>0</v>
      </c>
      <c r="L343">
        <v>0</v>
      </c>
      <c r="M343" t="s">
        <v>25</v>
      </c>
      <c r="N343" t="s">
        <v>25</v>
      </c>
      <c r="O343" t="s">
        <v>26</v>
      </c>
      <c r="P343" t="s">
        <v>25</v>
      </c>
      <c r="Q343" t="s">
        <v>27</v>
      </c>
      <c r="R343" t="s">
        <v>28</v>
      </c>
    </row>
    <row r="344" spans="1:20">
      <c r="A344">
        <v>343</v>
      </c>
      <c r="B344" t="s">
        <v>427</v>
      </c>
      <c r="C344" t="s">
        <v>102</v>
      </c>
      <c r="D344" t="s">
        <v>217</v>
      </c>
      <c r="E344" t="s">
        <v>244</v>
      </c>
      <c r="F344">
        <v>370000</v>
      </c>
      <c r="G344">
        <v>19</v>
      </c>
      <c r="H344">
        <v>440300</v>
      </c>
      <c r="I344" t="s">
        <v>24</v>
      </c>
      <c r="J344" t="s">
        <v>25</v>
      </c>
      <c r="K344">
        <v>0</v>
      </c>
      <c r="L344">
        <v>0</v>
      </c>
      <c r="M344" t="s">
        <v>25</v>
      </c>
      <c r="N344" t="s">
        <v>25</v>
      </c>
      <c r="O344" t="s">
        <v>26</v>
      </c>
      <c r="P344" t="s">
        <v>25</v>
      </c>
      <c r="Q344" t="s">
        <v>27</v>
      </c>
      <c r="R344" t="s">
        <v>28</v>
      </c>
    </row>
    <row r="345" spans="1:20">
      <c r="A345">
        <v>344</v>
      </c>
      <c r="B345" t="s">
        <v>428</v>
      </c>
      <c r="C345" t="s">
        <v>102</v>
      </c>
      <c r="D345" t="s">
        <v>217</v>
      </c>
      <c r="E345" t="s">
        <v>244</v>
      </c>
      <c r="F345">
        <v>80000</v>
      </c>
      <c r="G345">
        <v>19</v>
      </c>
      <c r="H345">
        <v>95200</v>
      </c>
      <c r="I345" t="s">
        <v>24</v>
      </c>
      <c r="J345" t="s">
        <v>25</v>
      </c>
      <c r="K345">
        <v>0</v>
      </c>
      <c r="L345">
        <v>0</v>
      </c>
      <c r="M345" t="s">
        <v>25</v>
      </c>
      <c r="N345" t="s">
        <v>25</v>
      </c>
      <c r="O345" t="s">
        <v>26</v>
      </c>
      <c r="P345" t="s">
        <v>25</v>
      </c>
      <c r="Q345" t="s">
        <v>27</v>
      </c>
      <c r="R345" t="s">
        <v>28</v>
      </c>
    </row>
    <row r="346" spans="1:20">
      <c r="A346">
        <v>345</v>
      </c>
      <c r="B346" t="s">
        <v>429</v>
      </c>
      <c r="C346" t="s">
        <v>102</v>
      </c>
      <c r="D346" t="s">
        <v>22</v>
      </c>
      <c r="E346" t="s">
        <v>244</v>
      </c>
      <c r="F346">
        <v>40336</v>
      </c>
      <c r="G346">
        <v>19</v>
      </c>
      <c r="H346">
        <v>48000</v>
      </c>
      <c r="I346" t="s">
        <v>24</v>
      </c>
      <c r="J346" t="s">
        <v>25</v>
      </c>
      <c r="K346">
        <v>0</v>
      </c>
      <c r="L346">
        <v>0</v>
      </c>
      <c r="M346" t="s">
        <v>25</v>
      </c>
      <c r="N346" t="s">
        <v>25</v>
      </c>
      <c r="O346" t="s">
        <v>26</v>
      </c>
      <c r="P346" t="s">
        <v>25</v>
      </c>
      <c r="Q346" t="s">
        <v>27</v>
      </c>
      <c r="R346" t="s">
        <v>28</v>
      </c>
    </row>
    <row r="347" spans="1:20">
      <c r="A347">
        <v>346</v>
      </c>
      <c r="B347" t="s">
        <v>430</v>
      </c>
      <c r="C347" t="s">
        <v>102</v>
      </c>
      <c r="D347" t="s">
        <v>22</v>
      </c>
      <c r="E347" t="s">
        <v>244</v>
      </c>
      <c r="F347">
        <v>208740</v>
      </c>
      <c r="G347">
        <v>19</v>
      </c>
      <c r="H347">
        <v>248401</v>
      </c>
      <c r="I347" t="s">
        <v>24</v>
      </c>
      <c r="J347" t="s">
        <v>25</v>
      </c>
      <c r="K347">
        <v>0</v>
      </c>
      <c r="L347">
        <v>0</v>
      </c>
      <c r="M347" t="s">
        <v>25</v>
      </c>
      <c r="N347" t="s">
        <v>25</v>
      </c>
      <c r="O347" t="s">
        <v>26</v>
      </c>
      <c r="P347" t="s">
        <v>25</v>
      </c>
      <c r="Q347" t="s">
        <v>27</v>
      </c>
      <c r="R347" t="s">
        <v>28</v>
      </c>
    </row>
    <row r="348" spans="1:20">
      <c r="A348">
        <v>347</v>
      </c>
      <c r="B348" t="s">
        <v>431</v>
      </c>
      <c r="C348" t="s">
        <v>36</v>
      </c>
      <c r="D348" t="s">
        <v>22</v>
      </c>
      <c r="E348" t="s">
        <v>244</v>
      </c>
      <c r="F348">
        <v>130000</v>
      </c>
      <c r="G348">
        <v>19</v>
      </c>
      <c r="H348">
        <v>154700</v>
      </c>
      <c r="I348" t="s">
        <v>24</v>
      </c>
      <c r="J348" t="s">
        <v>25</v>
      </c>
      <c r="K348">
        <v>0</v>
      </c>
      <c r="L348">
        <v>0</v>
      </c>
      <c r="M348" t="s">
        <v>25</v>
      </c>
      <c r="N348" t="s">
        <v>25</v>
      </c>
      <c r="O348" t="s">
        <v>26</v>
      </c>
      <c r="P348" t="s">
        <v>25</v>
      </c>
      <c r="Q348" t="s">
        <v>27</v>
      </c>
      <c r="R348" t="s">
        <v>28</v>
      </c>
    </row>
    <row r="349" spans="1:20">
      <c r="A349">
        <v>348</v>
      </c>
      <c r="B349" t="s">
        <v>432</v>
      </c>
      <c r="C349" t="s">
        <v>102</v>
      </c>
      <c r="D349" t="s">
        <v>22</v>
      </c>
      <c r="E349" t="s">
        <v>244</v>
      </c>
      <c r="F349">
        <v>180000</v>
      </c>
      <c r="G349">
        <v>19</v>
      </c>
      <c r="H349">
        <v>214200</v>
      </c>
      <c r="I349" t="s">
        <v>24</v>
      </c>
      <c r="J349" t="s">
        <v>25</v>
      </c>
      <c r="K349">
        <v>0</v>
      </c>
      <c r="L349">
        <v>0</v>
      </c>
      <c r="M349" t="s">
        <v>25</v>
      </c>
      <c r="N349" t="s">
        <v>25</v>
      </c>
      <c r="O349" t="s">
        <v>26</v>
      </c>
      <c r="P349" t="s">
        <v>25</v>
      </c>
      <c r="Q349" t="s">
        <v>27</v>
      </c>
      <c r="R349" t="s">
        <v>28</v>
      </c>
    </row>
    <row r="350" spans="1:20">
      <c r="A350">
        <v>349</v>
      </c>
      <c r="B350" t="s">
        <v>433</v>
      </c>
      <c r="C350" t="s">
        <v>36</v>
      </c>
      <c r="D350" t="s">
        <v>217</v>
      </c>
      <c r="E350" t="s">
        <v>244</v>
      </c>
      <c r="F350">
        <v>180000</v>
      </c>
      <c r="G350">
        <v>19</v>
      </c>
      <c r="H350">
        <v>214200</v>
      </c>
      <c r="I350" t="s">
        <v>24</v>
      </c>
      <c r="J350" t="s">
        <v>25</v>
      </c>
      <c r="K350">
        <v>0</v>
      </c>
      <c r="L350">
        <v>0</v>
      </c>
      <c r="M350" t="s">
        <v>25</v>
      </c>
      <c r="N350" t="s">
        <v>25</v>
      </c>
      <c r="O350" t="s">
        <v>26</v>
      </c>
      <c r="P350" t="s">
        <v>25</v>
      </c>
      <c r="Q350" t="s">
        <v>27</v>
      </c>
      <c r="R350" t="s">
        <v>28</v>
      </c>
    </row>
    <row r="351" spans="1:20">
      <c r="A351">
        <v>350</v>
      </c>
      <c r="B351" t="s">
        <v>434</v>
      </c>
      <c r="C351" t="s">
        <v>36</v>
      </c>
      <c r="D351" t="s">
        <v>22</v>
      </c>
      <c r="E351" t="s">
        <v>244</v>
      </c>
      <c r="F351">
        <v>180000</v>
      </c>
      <c r="G351">
        <v>19</v>
      </c>
      <c r="H351">
        <v>214200</v>
      </c>
      <c r="I351" t="s">
        <v>24</v>
      </c>
      <c r="J351" t="s">
        <v>25</v>
      </c>
      <c r="K351">
        <v>0</v>
      </c>
      <c r="L351">
        <v>0</v>
      </c>
      <c r="M351" t="s">
        <v>25</v>
      </c>
      <c r="N351" t="s">
        <v>25</v>
      </c>
      <c r="O351" t="s">
        <v>26</v>
      </c>
      <c r="P351" t="s">
        <v>25</v>
      </c>
      <c r="Q351" t="s">
        <v>27</v>
      </c>
      <c r="R351" t="s">
        <v>28</v>
      </c>
    </row>
    <row r="352" spans="1:20">
      <c r="A352">
        <v>351</v>
      </c>
      <c r="B352" t="s">
        <v>435</v>
      </c>
      <c r="C352" t="s">
        <v>36</v>
      </c>
      <c r="D352" t="s">
        <v>217</v>
      </c>
      <c r="E352" t="s">
        <v>244</v>
      </c>
      <c r="F352">
        <v>130000</v>
      </c>
      <c r="G352">
        <v>19</v>
      </c>
      <c r="H352">
        <v>154700</v>
      </c>
      <c r="I352" t="s">
        <v>24</v>
      </c>
      <c r="J352" t="s">
        <v>25</v>
      </c>
      <c r="K352">
        <v>0</v>
      </c>
      <c r="L352">
        <v>0</v>
      </c>
      <c r="M352" t="s">
        <v>25</v>
      </c>
      <c r="N352" t="s">
        <v>25</v>
      </c>
      <c r="O352" t="s">
        <v>26</v>
      </c>
      <c r="P352" t="s">
        <v>25</v>
      </c>
      <c r="Q352" t="s">
        <v>27</v>
      </c>
      <c r="R352" t="s">
        <v>28</v>
      </c>
    </row>
    <row r="353" spans="1:18">
      <c r="A353">
        <v>352</v>
      </c>
      <c r="B353" t="s">
        <v>436</v>
      </c>
      <c r="C353" t="s">
        <v>36</v>
      </c>
      <c r="D353" t="s">
        <v>22</v>
      </c>
      <c r="E353" t="s">
        <v>244</v>
      </c>
      <c r="F353">
        <v>50000</v>
      </c>
      <c r="G353">
        <v>19</v>
      </c>
      <c r="H353">
        <v>59500</v>
      </c>
      <c r="I353" t="s">
        <v>24</v>
      </c>
      <c r="J353" t="s">
        <v>25</v>
      </c>
      <c r="K353">
        <v>0</v>
      </c>
      <c r="L353">
        <v>0</v>
      </c>
      <c r="M353" t="s">
        <v>25</v>
      </c>
      <c r="N353" t="s">
        <v>25</v>
      </c>
      <c r="O353" t="s">
        <v>26</v>
      </c>
      <c r="P353" t="s">
        <v>25</v>
      </c>
      <c r="Q353" t="s">
        <v>27</v>
      </c>
      <c r="R353" t="s">
        <v>28</v>
      </c>
    </row>
    <row r="354" spans="1:18">
      <c r="A354">
        <v>353</v>
      </c>
      <c r="B354" t="s">
        <v>437</v>
      </c>
      <c r="C354" t="s">
        <v>36</v>
      </c>
      <c r="D354" t="s">
        <v>217</v>
      </c>
      <c r="E354" t="s">
        <v>244</v>
      </c>
      <c r="F354">
        <v>150000</v>
      </c>
      <c r="G354">
        <v>19</v>
      </c>
      <c r="H354">
        <v>178500</v>
      </c>
      <c r="I354" t="s">
        <v>24</v>
      </c>
      <c r="J354" t="s">
        <v>25</v>
      </c>
      <c r="K354">
        <v>0</v>
      </c>
      <c r="L354">
        <v>0</v>
      </c>
      <c r="M354" t="s">
        <v>25</v>
      </c>
      <c r="N354" t="s">
        <v>25</v>
      </c>
      <c r="O354" t="s">
        <v>26</v>
      </c>
      <c r="P354" t="s">
        <v>25</v>
      </c>
      <c r="Q354" t="s">
        <v>27</v>
      </c>
      <c r="R354" t="s">
        <v>28</v>
      </c>
    </row>
    <row r="355" spans="1:18">
      <c r="A355">
        <v>354</v>
      </c>
      <c r="B355" t="s">
        <v>438</v>
      </c>
      <c r="C355" t="s">
        <v>36</v>
      </c>
      <c r="D355" t="s">
        <v>217</v>
      </c>
      <c r="E355" t="s">
        <v>244</v>
      </c>
      <c r="F355">
        <v>220000</v>
      </c>
      <c r="G355">
        <v>19</v>
      </c>
      <c r="H355">
        <v>261800</v>
      </c>
      <c r="I355" t="s">
        <v>24</v>
      </c>
      <c r="J355" t="s">
        <v>25</v>
      </c>
      <c r="K355">
        <v>0</v>
      </c>
      <c r="L355">
        <v>0</v>
      </c>
      <c r="M355" t="s">
        <v>25</v>
      </c>
      <c r="N355" t="s">
        <v>25</v>
      </c>
      <c r="O355" t="s">
        <v>26</v>
      </c>
      <c r="P355" t="s">
        <v>25</v>
      </c>
      <c r="Q355" t="s">
        <v>27</v>
      </c>
      <c r="R355" t="s">
        <v>28</v>
      </c>
    </row>
    <row r="356" spans="1:18">
      <c r="A356">
        <v>355</v>
      </c>
      <c r="B356" t="s">
        <v>439</v>
      </c>
      <c r="C356" t="s">
        <v>102</v>
      </c>
      <c r="D356" t="s">
        <v>217</v>
      </c>
      <c r="E356" t="s">
        <v>244</v>
      </c>
      <c r="F356">
        <v>520000</v>
      </c>
      <c r="G356">
        <v>19</v>
      </c>
      <c r="H356">
        <v>618800</v>
      </c>
      <c r="I356" t="s">
        <v>24</v>
      </c>
      <c r="J356" t="s">
        <v>25</v>
      </c>
      <c r="K356">
        <v>0</v>
      </c>
      <c r="L356">
        <v>0</v>
      </c>
      <c r="M356" t="s">
        <v>25</v>
      </c>
      <c r="N356" t="s">
        <v>25</v>
      </c>
      <c r="O356" t="s">
        <v>26</v>
      </c>
      <c r="P356" t="s">
        <v>25</v>
      </c>
      <c r="Q356" t="s">
        <v>27</v>
      </c>
      <c r="R356" t="s">
        <v>28</v>
      </c>
    </row>
    <row r="357" spans="1:18">
      <c r="A357">
        <v>356</v>
      </c>
      <c r="B357" t="s">
        <v>440</v>
      </c>
      <c r="C357" t="s">
        <v>36</v>
      </c>
      <c r="D357" t="s">
        <v>217</v>
      </c>
      <c r="E357" t="s">
        <v>244</v>
      </c>
      <c r="F357">
        <v>200000</v>
      </c>
      <c r="G357">
        <v>19</v>
      </c>
      <c r="H357">
        <v>238000</v>
      </c>
      <c r="I357" t="s">
        <v>24</v>
      </c>
      <c r="J357" t="s">
        <v>25</v>
      </c>
      <c r="K357">
        <v>0</v>
      </c>
      <c r="L357">
        <v>0</v>
      </c>
      <c r="M357" t="s">
        <v>25</v>
      </c>
      <c r="N357" t="s">
        <v>25</v>
      </c>
      <c r="O357" t="s">
        <v>26</v>
      </c>
      <c r="P357" t="s">
        <v>25</v>
      </c>
      <c r="Q357" t="s">
        <v>27</v>
      </c>
      <c r="R357" t="s">
        <v>28</v>
      </c>
    </row>
    <row r="358" spans="1:18">
      <c r="A358">
        <v>357</v>
      </c>
      <c r="B358" t="s">
        <v>441</v>
      </c>
      <c r="C358" t="s">
        <v>102</v>
      </c>
      <c r="D358" t="s">
        <v>22</v>
      </c>
      <c r="E358" t="s">
        <v>244</v>
      </c>
      <c r="F358">
        <v>155462</v>
      </c>
      <c r="G358">
        <v>19</v>
      </c>
      <c r="H358">
        <v>185000</v>
      </c>
      <c r="I358" t="s">
        <v>24</v>
      </c>
      <c r="J358" t="s">
        <v>25</v>
      </c>
      <c r="K358">
        <v>0</v>
      </c>
      <c r="L358">
        <v>0</v>
      </c>
      <c r="M358" t="s">
        <v>25</v>
      </c>
      <c r="N358" t="s">
        <v>25</v>
      </c>
      <c r="O358" t="s">
        <v>26</v>
      </c>
      <c r="P358" t="s">
        <v>25</v>
      </c>
      <c r="Q358" t="s">
        <v>27</v>
      </c>
      <c r="R358" t="s">
        <v>28</v>
      </c>
    </row>
    <row r="359" spans="1:18">
      <c r="A359">
        <v>358</v>
      </c>
      <c r="B359" t="s">
        <v>442</v>
      </c>
      <c r="C359" t="s">
        <v>36</v>
      </c>
      <c r="D359" t="s">
        <v>217</v>
      </c>
      <c r="E359" t="s">
        <v>244</v>
      </c>
      <c r="F359">
        <v>88000</v>
      </c>
      <c r="G359">
        <v>19</v>
      </c>
      <c r="H359">
        <v>104720</v>
      </c>
      <c r="I359" t="s">
        <v>24</v>
      </c>
      <c r="J359" t="s">
        <v>25</v>
      </c>
      <c r="K359">
        <v>0</v>
      </c>
      <c r="L359">
        <v>0</v>
      </c>
      <c r="M359" t="s">
        <v>25</v>
      </c>
      <c r="N359" t="s">
        <v>25</v>
      </c>
      <c r="O359" t="s">
        <v>26</v>
      </c>
      <c r="P359" t="s">
        <v>25</v>
      </c>
      <c r="Q359" t="s">
        <v>27</v>
      </c>
      <c r="R359" t="s">
        <v>28</v>
      </c>
    </row>
    <row r="360" spans="1:18">
      <c r="A360">
        <v>359</v>
      </c>
      <c r="B360" t="s">
        <v>443</v>
      </c>
      <c r="C360" t="s">
        <v>102</v>
      </c>
      <c r="D360" t="s">
        <v>22</v>
      </c>
      <c r="E360" t="s">
        <v>244</v>
      </c>
      <c r="F360">
        <v>606000</v>
      </c>
      <c r="G360">
        <v>19</v>
      </c>
      <c r="H360">
        <v>721140</v>
      </c>
      <c r="I360" t="s">
        <v>24</v>
      </c>
      <c r="J360" t="s">
        <v>25</v>
      </c>
      <c r="K360">
        <v>0</v>
      </c>
      <c r="L360">
        <v>0</v>
      </c>
      <c r="M360" t="s">
        <v>25</v>
      </c>
      <c r="N360" t="s">
        <v>25</v>
      </c>
      <c r="O360" t="s">
        <v>26</v>
      </c>
      <c r="P360" t="s">
        <v>25</v>
      </c>
      <c r="Q360" t="s">
        <v>27</v>
      </c>
      <c r="R360" t="s">
        <v>28</v>
      </c>
    </row>
    <row r="361" spans="1:18">
      <c r="A361">
        <v>360</v>
      </c>
      <c r="B361" t="s">
        <v>444</v>
      </c>
      <c r="C361" t="s">
        <v>102</v>
      </c>
      <c r="D361" t="s">
        <v>217</v>
      </c>
      <c r="E361" t="s">
        <v>244</v>
      </c>
      <c r="F361">
        <v>10000</v>
      </c>
      <c r="G361">
        <v>19</v>
      </c>
      <c r="H361">
        <v>11900</v>
      </c>
      <c r="I361" t="s">
        <v>24</v>
      </c>
      <c r="J361" t="s">
        <v>25</v>
      </c>
      <c r="K361">
        <v>0</v>
      </c>
      <c r="L361">
        <v>0</v>
      </c>
      <c r="M361" t="s">
        <v>25</v>
      </c>
      <c r="N361" t="s">
        <v>25</v>
      </c>
      <c r="O361" t="s">
        <v>26</v>
      </c>
      <c r="P361" t="s">
        <v>25</v>
      </c>
      <c r="Q361" t="s">
        <v>27</v>
      </c>
      <c r="R361" t="s">
        <v>28</v>
      </c>
    </row>
    <row r="362" spans="1:18">
      <c r="A362">
        <v>361</v>
      </c>
      <c r="B362" t="s">
        <v>445</v>
      </c>
      <c r="C362" t="s">
        <v>102</v>
      </c>
      <c r="D362" t="s">
        <v>22</v>
      </c>
      <c r="E362" t="s">
        <v>244</v>
      </c>
      <c r="F362">
        <v>134454</v>
      </c>
      <c r="G362">
        <v>19</v>
      </c>
      <c r="H362">
        <v>160000</v>
      </c>
      <c r="I362" t="s">
        <v>24</v>
      </c>
      <c r="J362" t="s">
        <v>25</v>
      </c>
      <c r="K362">
        <v>0</v>
      </c>
      <c r="L362">
        <v>0</v>
      </c>
      <c r="M362" t="s">
        <v>25</v>
      </c>
      <c r="N362" t="s">
        <v>25</v>
      </c>
      <c r="O362" t="s">
        <v>26</v>
      </c>
      <c r="P362" t="s">
        <v>25</v>
      </c>
      <c r="Q362" t="s">
        <v>27</v>
      </c>
      <c r="R362" t="s">
        <v>28</v>
      </c>
    </row>
    <row r="363" spans="1:18">
      <c r="A363">
        <v>362</v>
      </c>
      <c r="B363" t="s">
        <v>446</v>
      </c>
      <c r="C363" t="s">
        <v>102</v>
      </c>
      <c r="D363" t="s">
        <v>22</v>
      </c>
      <c r="E363" t="s">
        <v>244</v>
      </c>
      <c r="F363">
        <v>280000</v>
      </c>
      <c r="G363">
        <v>19</v>
      </c>
      <c r="H363">
        <v>333200</v>
      </c>
      <c r="I363" t="s">
        <v>24</v>
      </c>
      <c r="J363" t="s">
        <v>25</v>
      </c>
      <c r="K363">
        <v>0</v>
      </c>
      <c r="L363">
        <v>0</v>
      </c>
      <c r="M363" t="s">
        <v>25</v>
      </c>
      <c r="N363" t="s">
        <v>25</v>
      </c>
      <c r="O363" t="s">
        <v>26</v>
      </c>
      <c r="P363" t="s">
        <v>25</v>
      </c>
      <c r="Q363" t="s">
        <v>27</v>
      </c>
      <c r="R363" t="s">
        <v>28</v>
      </c>
    </row>
    <row r="364" spans="1:18">
      <c r="A364">
        <v>363</v>
      </c>
      <c r="B364" t="s">
        <v>447</v>
      </c>
      <c r="C364" t="s">
        <v>102</v>
      </c>
      <c r="D364" t="s">
        <v>22</v>
      </c>
      <c r="E364" t="s">
        <v>244</v>
      </c>
      <c r="F364">
        <v>360000</v>
      </c>
      <c r="G364">
        <v>19</v>
      </c>
      <c r="H364">
        <v>428400</v>
      </c>
      <c r="I364" t="s">
        <v>24</v>
      </c>
      <c r="J364" t="s">
        <v>25</v>
      </c>
      <c r="K364">
        <v>0</v>
      </c>
      <c r="L364">
        <v>0</v>
      </c>
      <c r="M364" t="s">
        <v>25</v>
      </c>
      <c r="N364" t="s">
        <v>25</v>
      </c>
      <c r="O364" t="s">
        <v>26</v>
      </c>
      <c r="P364" t="s">
        <v>25</v>
      </c>
      <c r="Q364" t="s">
        <v>27</v>
      </c>
      <c r="R364" t="s">
        <v>28</v>
      </c>
    </row>
    <row r="365" spans="1:18">
      <c r="A365">
        <v>364</v>
      </c>
      <c r="B365" t="s">
        <v>448</v>
      </c>
      <c r="C365" t="s">
        <v>102</v>
      </c>
      <c r="D365" t="s">
        <v>449</v>
      </c>
      <c r="E365" t="s">
        <v>244</v>
      </c>
      <c r="F365">
        <v>320000</v>
      </c>
      <c r="G365">
        <v>19</v>
      </c>
      <c r="H365">
        <v>380800</v>
      </c>
      <c r="I365" t="s">
        <v>24</v>
      </c>
      <c r="J365" t="s">
        <v>25</v>
      </c>
      <c r="K365">
        <v>0</v>
      </c>
      <c r="L365">
        <v>0</v>
      </c>
      <c r="M365" t="s">
        <v>25</v>
      </c>
      <c r="N365" t="s">
        <v>25</v>
      </c>
      <c r="O365" t="s">
        <v>26</v>
      </c>
      <c r="P365" t="s">
        <v>25</v>
      </c>
      <c r="Q365" t="s">
        <v>27</v>
      </c>
      <c r="R365" t="s">
        <v>28</v>
      </c>
    </row>
    <row r="366" spans="1:18">
      <c r="A366">
        <v>365</v>
      </c>
      <c r="B366" t="s">
        <v>450</v>
      </c>
      <c r="C366" t="s">
        <v>102</v>
      </c>
      <c r="D366" t="s">
        <v>449</v>
      </c>
      <c r="E366" t="s">
        <v>244</v>
      </c>
      <c r="F366">
        <v>850000</v>
      </c>
      <c r="G366">
        <v>19</v>
      </c>
      <c r="H366">
        <v>1011500</v>
      </c>
      <c r="I366" t="s">
        <v>24</v>
      </c>
      <c r="J366" t="s">
        <v>25</v>
      </c>
      <c r="K366">
        <v>0</v>
      </c>
      <c r="L366">
        <v>0</v>
      </c>
      <c r="M366" t="s">
        <v>25</v>
      </c>
      <c r="N366" t="s">
        <v>25</v>
      </c>
      <c r="O366" t="s">
        <v>26</v>
      </c>
      <c r="P366" t="s">
        <v>25</v>
      </c>
      <c r="Q366" t="s">
        <v>27</v>
      </c>
      <c r="R366" t="s">
        <v>28</v>
      </c>
    </row>
    <row r="367" spans="1:18">
      <c r="A367">
        <v>366</v>
      </c>
      <c r="B367" t="s">
        <v>451</v>
      </c>
      <c r="C367" t="s">
        <v>102</v>
      </c>
      <c r="D367" t="s">
        <v>449</v>
      </c>
      <c r="E367" t="s">
        <v>244</v>
      </c>
      <c r="F367">
        <v>430000</v>
      </c>
      <c r="G367">
        <v>19</v>
      </c>
      <c r="H367">
        <v>511700</v>
      </c>
      <c r="I367" t="s">
        <v>24</v>
      </c>
      <c r="J367" t="s">
        <v>25</v>
      </c>
      <c r="K367">
        <v>0</v>
      </c>
      <c r="L367">
        <v>0</v>
      </c>
      <c r="M367" t="s">
        <v>25</v>
      </c>
      <c r="N367" t="s">
        <v>25</v>
      </c>
      <c r="O367" t="s">
        <v>26</v>
      </c>
      <c r="P367" t="s">
        <v>25</v>
      </c>
      <c r="Q367" t="s">
        <v>27</v>
      </c>
      <c r="R367" t="s">
        <v>28</v>
      </c>
    </row>
    <row r="368" spans="1:18">
      <c r="A368">
        <v>367</v>
      </c>
      <c r="B368" t="s">
        <v>452</v>
      </c>
      <c r="C368" t="s">
        <v>102</v>
      </c>
      <c r="D368" t="s">
        <v>449</v>
      </c>
      <c r="E368" t="s">
        <v>244</v>
      </c>
      <c r="F368">
        <v>280000</v>
      </c>
      <c r="G368">
        <v>19</v>
      </c>
      <c r="H368">
        <v>333200</v>
      </c>
      <c r="I368" t="s">
        <v>24</v>
      </c>
      <c r="J368" t="s">
        <v>25</v>
      </c>
      <c r="K368">
        <v>0</v>
      </c>
      <c r="L368">
        <v>0</v>
      </c>
      <c r="M368" t="s">
        <v>25</v>
      </c>
      <c r="N368" t="s">
        <v>25</v>
      </c>
      <c r="O368" t="s">
        <v>26</v>
      </c>
      <c r="P368" t="s">
        <v>25</v>
      </c>
      <c r="Q368" t="s">
        <v>27</v>
      </c>
      <c r="R368" t="s">
        <v>28</v>
      </c>
    </row>
    <row r="369" spans="1:20">
      <c r="A369">
        <v>368</v>
      </c>
      <c r="B369" t="s">
        <v>453</v>
      </c>
      <c r="C369" t="s">
        <v>102</v>
      </c>
      <c r="D369" t="s">
        <v>449</v>
      </c>
      <c r="E369" t="s">
        <v>244</v>
      </c>
      <c r="F369">
        <v>150000</v>
      </c>
      <c r="G369">
        <v>19</v>
      </c>
      <c r="H369">
        <v>178500</v>
      </c>
      <c r="I369" t="s">
        <v>24</v>
      </c>
      <c r="J369" t="s">
        <v>25</v>
      </c>
      <c r="K369">
        <v>0</v>
      </c>
      <c r="L369">
        <v>0</v>
      </c>
      <c r="M369" t="s">
        <v>25</v>
      </c>
      <c r="N369" t="s">
        <v>25</v>
      </c>
      <c r="O369" t="s">
        <v>26</v>
      </c>
      <c r="P369" t="s">
        <v>25</v>
      </c>
      <c r="Q369" t="s">
        <v>27</v>
      </c>
      <c r="R369" t="s">
        <v>28</v>
      </c>
    </row>
    <row r="370" spans="1:20">
      <c r="A370">
        <v>369</v>
      </c>
      <c r="B370" t="s">
        <v>454</v>
      </c>
      <c r="C370" t="s">
        <v>102</v>
      </c>
      <c r="D370" t="s">
        <v>22</v>
      </c>
      <c r="E370" t="s">
        <v>244</v>
      </c>
      <c r="F370">
        <v>340000</v>
      </c>
      <c r="G370">
        <v>19</v>
      </c>
      <c r="H370">
        <v>404600</v>
      </c>
      <c r="I370" t="s">
        <v>24</v>
      </c>
      <c r="J370" t="s">
        <v>25</v>
      </c>
      <c r="K370">
        <v>0</v>
      </c>
      <c r="L370">
        <v>0</v>
      </c>
      <c r="M370" t="s">
        <v>25</v>
      </c>
      <c r="N370" t="s">
        <v>25</v>
      </c>
      <c r="O370" t="s">
        <v>26</v>
      </c>
      <c r="P370" t="s">
        <v>25</v>
      </c>
      <c r="Q370" t="s">
        <v>27</v>
      </c>
      <c r="R370" t="s">
        <v>28</v>
      </c>
    </row>
    <row r="371" spans="1:20">
      <c r="A371">
        <v>370</v>
      </c>
      <c r="B371" t="s">
        <v>455</v>
      </c>
      <c r="C371" t="s">
        <v>102</v>
      </c>
      <c r="D371" t="s">
        <v>22</v>
      </c>
      <c r="E371" t="s">
        <v>244</v>
      </c>
      <c r="F371">
        <v>70000</v>
      </c>
      <c r="G371">
        <v>19</v>
      </c>
      <c r="H371">
        <v>83300</v>
      </c>
      <c r="I371" t="s">
        <v>24</v>
      </c>
      <c r="J371" t="s">
        <v>25</v>
      </c>
      <c r="K371">
        <v>0</v>
      </c>
      <c r="L371">
        <v>0</v>
      </c>
      <c r="M371" t="s">
        <v>25</v>
      </c>
      <c r="N371" t="s">
        <v>25</v>
      </c>
      <c r="O371" t="s">
        <v>26</v>
      </c>
      <c r="P371" t="s">
        <v>25</v>
      </c>
      <c r="Q371" t="s">
        <v>27</v>
      </c>
      <c r="R371" t="s">
        <v>28</v>
      </c>
    </row>
    <row r="372" spans="1:20">
      <c r="A372">
        <v>371</v>
      </c>
      <c r="B372" t="s">
        <v>456</v>
      </c>
      <c r="C372" t="s">
        <v>36</v>
      </c>
      <c r="D372" t="s">
        <v>22</v>
      </c>
      <c r="E372" t="s">
        <v>244</v>
      </c>
      <c r="F372">
        <v>40000</v>
      </c>
      <c r="G372">
        <v>19</v>
      </c>
      <c r="H372">
        <v>47600</v>
      </c>
      <c r="I372" t="s">
        <v>24</v>
      </c>
      <c r="J372" t="s">
        <v>25</v>
      </c>
      <c r="K372">
        <v>0</v>
      </c>
      <c r="L372">
        <v>0</v>
      </c>
      <c r="M372" t="s">
        <v>25</v>
      </c>
      <c r="N372" t="s">
        <v>25</v>
      </c>
      <c r="O372" t="s">
        <v>26</v>
      </c>
      <c r="P372" t="s">
        <v>25</v>
      </c>
      <c r="Q372" t="s">
        <v>27</v>
      </c>
      <c r="R372" t="s">
        <v>28</v>
      </c>
    </row>
    <row r="373" spans="1:20">
      <c r="A373">
        <v>372</v>
      </c>
      <c r="B373" t="s">
        <v>457</v>
      </c>
      <c r="C373" t="s">
        <v>36</v>
      </c>
      <c r="D373" t="s">
        <v>22</v>
      </c>
      <c r="E373" t="s">
        <v>244</v>
      </c>
      <c r="F373">
        <v>180000</v>
      </c>
      <c r="G373">
        <v>19</v>
      </c>
      <c r="H373">
        <v>214200</v>
      </c>
      <c r="I373" t="s">
        <v>24</v>
      </c>
      <c r="J373" t="s">
        <v>25</v>
      </c>
      <c r="K373">
        <v>0</v>
      </c>
      <c r="L373">
        <v>0</v>
      </c>
      <c r="M373" t="s">
        <v>25</v>
      </c>
      <c r="N373" t="s">
        <v>25</v>
      </c>
      <c r="O373" t="s">
        <v>26</v>
      </c>
      <c r="P373" t="s">
        <v>25</v>
      </c>
      <c r="Q373" t="s">
        <v>27</v>
      </c>
      <c r="R373" t="s">
        <v>28</v>
      </c>
    </row>
    <row r="374" spans="1:20">
      <c r="A374">
        <v>373</v>
      </c>
      <c r="B374" t="s">
        <v>458</v>
      </c>
      <c r="C374" t="s">
        <v>36</v>
      </c>
      <c r="D374" t="s">
        <v>217</v>
      </c>
      <c r="E374" t="s">
        <v>244</v>
      </c>
      <c r="F374">
        <v>65000</v>
      </c>
      <c r="G374">
        <v>19</v>
      </c>
      <c r="H374">
        <v>77350</v>
      </c>
      <c r="I374" t="s">
        <v>24</v>
      </c>
      <c r="J374" t="s">
        <v>25</v>
      </c>
      <c r="K374">
        <v>0</v>
      </c>
      <c r="L374">
        <v>0</v>
      </c>
      <c r="M374" t="s">
        <v>25</v>
      </c>
      <c r="N374" t="s">
        <v>25</v>
      </c>
      <c r="O374" t="s">
        <v>26</v>
      </c>
      <c r="P374" t="s">
        <v>25</v>
      </c>
      <c r="Q374" t="s">
        <v>27</v>
      </c>
      <c r="R374" t="s">
        <v>28</v>
      </c>
    </row>
    <row r="375" spans="1:20">
      <c r="A375">
        <v>374</v>
      </c>
      <c r="B375" t="s">
        <v>459</v>
      </c>
      <c r="C375" t="s">
        <v>102</v>
      </c>
      <c r="D375" t="s">
        <v>22</v>
      </c>
      <c r="E375" t="s">
        <v>244</v>
      </c>
      <c r="F375">
        <v>831933</v>
      </c>
      <c r="G375">
        <v>19</v>
      </c>
      <c r="H375">
        <v>990000</v>
      </c>
      <c r="I375" t="s">
        <v>24</v>
      </c>
      <c r="J375" t="s">
        <v>25</v>
      </c>
      <c r="K375">
        <v>0</v>
      </c>
      <c r="L375">
        <v>0</v>
      </c>
      <c r="M375" t="s">
        <v>25</v>
      </c>
      <c r="N375" t="s">
        <v>25</v>
      </c>
      <c r="O375" t="s">
        <v>26</v>
      </c>
      <c r="P375" t="s">
        <v>25</v>
      </c>
      <c r="Q375" t="s">
        <v>27</v>
      </c>
      <c r="R375" t="s">
        <v>28</v>
      </c>
    </row>
    <row r="376" spans="1:20">
      <c r="A376">
        <v>375</v>
      </c>
      <c r="B376" t="s">
        <v>460</v>
      </c>
      <c r="C376" t="s">
        <v>102</v>
      </c>
      <c r="D376" t="s">
        <v>217</v>
      </c>
      <c r="E376" t="s">
        <v>244</v>
      </c>
      <c r="F376">
        <v>597000</v>
      </c>
      <c r="G376">
        <v>19</v>
      </c>
      <c r="H376">
        <v>710430</v>
      </c>
      <c r="I376" t="s">
        <v>24</v>
      </c>
      <c r="J376" t="s">
        <v>25</v>
      </c>
      <c r="K376">
        <v>0</v>
      </c>
      <c r="L376">
        <v>0</v>
      </c>
      <c r="M376" t="s">
        <v>25</v>
      </c>
      <c r="N376" t="s">
        <v>25</v>
      </c>
      <c r="O376" t="s">
        <v>26</v>
      </c>
      <c r="P376" t="s">
        <v>25</v>
      </c>
      <c r="Q376" t="s">
        <v>27</v>
      </c>
      <c r="R376" t="s">
        <v>28</v>
      </c>
    </row>
    <row r="377" spans="1:20">
      <c r="A377">
        <v>376</v>
      </c>
      <c r="B377" t="s">
        <v>461</v>
      </c>
      <c r="C377" t="s">
        <v>102</v>
      </c>
      <c r="D377" t="s">
        <v>22</v>
      </c>
      <c r="E377" t="s">
        <v>244</v>
      </c>
      <c r="F377">
        <v>579950</v>
      </c>
      <c r="G377">
        <v>19</v>
      </c>
      <c r="H377">
        <v>690141</v>
      </c>
      <c r="I377" t="s">
        <v>24</v>
      </c>
      <c r="J377" t="s">
        <v>26</v>
      </c>
      <c r="K377">
        <v>0</v>
      </c>
      <c r="L377">
        <v>0</v>
      </c>
      <c r="M377" t="s">
        <v>25</v>
      </c>
      <c r="N377" t="s">
        <v>25</v>
      </c>
      <c r="O377" t="s">
        <v>26</v>
      </c>
      <c r="P377" t="s">
        <v>25</v>
      </c>
      <c r="Q377" t="s">
        <v>27</v>
      </c>
      <c r="R377" t="s">
        <v>28</v>
      </c>
      <c r="S377" t="s">
        <v>231</v>
      </c>
      <c r="T377" t="s">
        <v>462</v>
      </c>
    </row>
    <row r="378" spans="1:20">
      <c r="A378">
        <v>377</v>
      </c>
      <c r="B378" t="s">
        <v>463</v>
      </c>
      <c r="C378" t="s">
        <v>102</v>
      </c>
      <c r="D378" t="s">
        <v>217</v>
      </c>
      <c r="E378" t="s">
        <v>244</v>
      </c>
      <c r="F378">
        <v>403361</v>
      </c>
      <c r="G378">
        <v>19</v>
      </c>
      <c r="H378">
        <v>480000</v>
      </c>
      <c r="I378" t="s">
        <v>24</v>
      </c>
      <c r="J378" t="s">
        <v>25</v>
      </c>
      <c r="K378">
        <v>0</v>
      </c>
      <c r="L378">
        <v>0</v>
      </c>
      <c r="M378" t="s">
        <v>25</v>
      </c>
      <c r="N378" t="s">
        <v>25</v>
      </c>
      <c r="O378" t="s">
        <v>26</v>
      </c>
      <c r="P378" t="s">
        <v>25</v>
      </c>
      <c r="Q378" t="s">
        <v>27</v>
      </c>
      <c r="R378" t="s">
        <v>28</v>
      </c>
    </row>
    <row r="379" spans="1:20">
      <c r="A379">
        <v>378</v>
      </c>
      <c r="B379" t="s">
        <v>464</v>
      </c>
      <c r="C379" t="s">
        <v>36</v>
      </c>
      <c r="D379" t="s">
        <v>22</v>
      </c>
      <c r="E379" t="s">
        <v>244</v>
      </c>
      <c r="F379">
        <v>50000</v>
      </c>
      <c r="G379">
        <v>19</v>
      </c>
      <c r="H379">
        <v>59500</v>
      </c>
      <c r="I379" t="s">
        <v>24</v>
      </c>
      <c r="J379" t="s">
        <v>25</v>
      </c>
      <c r="K379">
        <v>0</v>
      </c>
      <c r="L379">
        <v>0</v>
      </c>
      <c r="M379" t="s">
        <v>25</v>
      </c>
      <c r="N379" t="s">
        <v>25</v>
      </c>
      <c r="O379" t="s">
        <v>26</v>
      </c>
      <c r="P379" t="s">
        <v>25</v>
      </c>
      <c r="Q379" t="s">
        <v>27</v>
      </c>
      <c r="R379" t="s">
        <v>28</v>
      </c>
    </row>
    <row r="380" spans="1:20">
      <c r="A380">
        <v>379</v>
      </c>
      <c r="B380" t="s">
        <v>465</v>
      </c>
      <c r="C380" t="s">
        <v>102</v>
      </c>
      <c r="D380" t="s">
        <v>22</v>
      </c>
      <c r="E380" t="s">
        <v>244</v>
      </c>
      <c r="F380">
        <v>63025</v>
      </c>
      <c r="G380">
        <v>19</v>
      </c>
      <c r="H380">
        <v>75000</v>
      </c>
      <c r="I380" t="s">
        <v>24</v>
      </c>
      <c r="J380" t="s">
        <v>25</v>
      </c>
      <c r="K380">
        <v>0</v>
      </c>
      <c r="L380">
        <v>0</v>
      </c>
      <c r="M380" t="s">
        <v>25</v>
      </c>
      <c r="N380" t="s">
        <v>25</v>
      </c>
      <c r="O380" t="s">
        <v>26</v>
      </c>
      <c r="P380" t="s">
        <v>25</v>
      </c>
      <c r="Q380" t="s">
        <v>27</v>
      </c>
      <c r="R380" t="s">
        <v>28</v>
      </c>
      <c r="S380" t="s">
        <v>27</v>
      </c>
      <c r="T380" t="s">
        <v>416</v>
      </c>
    </row>
    <row r="381" spans="1:20">
      <c r="A381">
        <v>380</v>
      </c>
      <c r="B381" t="s">
        <v>466</v>
      </c>
      <c r="C381" t="s">
        <v>102</v>
      </c>
      <c r="D381" t="s">
        <v>217</v>
      </c>
      <c r="E381" t="s">
        <v>244</v>
      </c>
      <c r="F381">
        <v>48739</v>
      </c>
      <c r="G381">
        <v>19</v>
      </c>
      <c r="H381">
        <v>57999</v>
      </c>
      <c r="I381" t="s">
        <v>24</v>
      </c>
      <c r="J381" t="s">
        <v>25</v>
      </c>
      <c r="K381">
        <v>0</v>
      </c>
      <c r="L381">
        <v>0</v>
      </c>
      <c r="M381" t="s">
        <v>25</v>
      </c>
      <c r="N381" t="s">
        <v>25</v>
      </c>
      <c r="O381" t="s">
        <v>26</v>
      </c>
      <c r="P381" t="s">
        <v>25</v>
      </c>
      <c r="Q381" t="s">
        <v>27</v>
      </c>
      <c r="R381" t="s">
        <v>28</v>
      </c>
    </row>
    <row r="382" spans="1:20">
      <c r="A382">
        <v>381</v>
      </c>
      <c r="B382" t="s">
        <v>467</v>
      </c>
      <c r="C382" t="s">
        <v>36</v>
      </c>
      <c r="D382" t="s">
        <v>22</v>
      </c>
      <c r="E382" t="s">
        <v>244</v>
      </c>
      <c r="F382">
        <v>50420</v>
      </c>
      <c r="G382">
        <v>19</v>
      </c>
      <c r="H382">
        <v>60000</v>
      </c>
      <c r="I382" t="s">
        <v>24</v>
      </c>
      <c r="J382" t="s">
        <v>25</v>
      </c>
      <c r="K382">
        <v>0</v>
      </c>
      <c r="L382">
        <v>0</v>
      </c>
      <c r="M382" t="s">
        <v>25</v>
      </c>
      <c r="N382" t="s">
        <v>25</v>
      </c>
      <c r="O382" t="s">
        <v>26</v>
      </c>
      <c r="P382" t="s">
        <v>25</v>
      </c>
      <c r="Q382" t="s">
        <v>27</v>
      </c>
      <c r="R382" t="s">
        <v>28</v>
      </c>
    </row>
    <row r="383" spans="1:20">
      <c r="A383">
        <v>382</v>
      </c>
      <c r="B383" t="s">
        <v>468</v>
      </c>
      <c r="C383" t="s">
        <v>102</v>
      </c>
      <c r="D383" t="s">
        <v>22</v>
      </c>
      <c r="E383" t="s">
        <v>244</v>
      </c>
      <c r="F383">
        <v>21008</v>
      </c>
      <c r="G383">
        <v>19</v>
      </c>
      <c r="H383">
        <v>25000</v>
      </c>
      <c r="I383" t="s">
        <v>24</v>
      </c>
      <c r="J383" t="s">
        <v>25</v>
      </c>
      <c r="K383">
        <v>0</v>
      </c>
      <c r="L383">
        <v>0</v>
      </c>
      <c r="M383" t="s">
        <v>25</v>
      </c>
      <c r="N383" t="s">
        <v>25</v>
      </c>
      <c r="O383" t="s">
        <v>26</v>
      </c>
      <c r="P383" t="s">
        <v>25</v>
      </c>
      <c r="Q383" t="s">
        <v>27</v>
      </c>
      <c r="R383" t="s">
        <v>28</v>
      </c>
    </row>
    <row r="384" spans="1:20">
      <c r="A384">
        <v>383</v>
      </c>
      <c r="B384" t="s">
        <v>469</v>
      </c>
      <c r="C384" t="s">
        <v>102</v>
      </c>
      <c r="D384" t="s">
        <v>22</v>
      </c>
      <c r="E384" t="s">
        <v>244</v>
      </c>
      <c r="F384">
        <v>11765</v>
      </c>
      <c r="G384">
        <v>19</v>
      </c>
      <c r="H384">
        <v>14000</v>
      </c>
      <c r="I384" t="s">
        <v>24</v>
      </c>
      <c r="J384" t="s">
        <v>25</v>
      </c>
      <c r="K384">
        <v>0</v>
      </c>
      <c r="L384">
        <v>0</v>
      </c>
      <c r="M384" t="s">
        <v>25</v>
      </c>
      <c r="N384" t="s">
        <v>25</v>
      </c>
      <c r="O384" t="s">
        <v>26</v>
      </c>
      <c r="P384" t="s">
        <v>25</v>
      </c>
      <c r="Q384" t="s">
        <v>27</v>
      </c>
      <c r="R384" t="s">
        <v>28</v>
      </c>
    </row>
    <row r="385" spans="1:18">
      <c r="A385">
        <v>384</v>
      </c>
      <c r="B385" t="s">
        <v>470</v>
      </c>
      <c r="C385" t="s">
        <v>36</v>
      </c>
      <c r="D385" t="s">
        <v>22</v>
      </c>
      <c r="E385" t="s">
        <v>244</v>
      </c>
      <c r="F385">
        <v>130000</v>
      </c>
      <c r="G385">
        <v>19</v>
      </c>
      <c r="H385">
        <v>154700</v>
      </c>
      <c r="I385" t="s">
        <v>24</v>
      </c>
      <c r="J385" t="s">
        <v>25</v>
      </c>
      <c r="K385">
        <v>0</v>
      </c>
      <c r="L385">
        <v>0</v>
      </c>
      <c r="M385" t="s">
        <v>25</v>
      </c>
      <c r="N385" t="s">
        <v>25</v>
      </c>
      <c r="O385" t="s">
        <v>26</v>
      </c>
      <c r="P385" t="s">
        <v>25</v>
      </c>
      <c r="Q385" t="s">
        <v>27</v>
      </c>
      <c r="R385" t="s">
        <v>28</v>
      </c>
    </row>
    <row r="386" spans="1:18">
      <c r="A386">
        <v>385</v>
      </c>
      <c r="B386" t="s">
        <v>471</v>
      </c>
      <c r="C386" t="s">
        <v>36</v>
      </c>
      <c r="D386" t="s">
        <v>22</v>
      </c>
      <c r="E386" t="s">
        <v>244</v>
      </c>
      <c r="F386">
        <v>30000</v>
      </c>
      <c r="G386">
        <v>19</v>
      </c>
      <c r="H386">
        <v>35700</v>
      </c>
      <c r="I386" t="s">
        <v>24</v>
      </c>
      <c r="J386" t="s">
        <v>25</v>
      </c>
      <c r="K386">
        <v>0</v>
      </c>
      <c r="L386">
        <v>0</v>
      </c>
      <c r="M386" t="s">
        <v>25</v>
      </c>
      <c r="N386" t="s">
        <v>25</v>
      </c>
      <c r="O386" t="s">
        <v>26</v>
      </c>
      <c r="P386" t="s">
        <v>25</v>
      </c>
      <c r="Q386" t="s">
        <v>27</v>
      </c>
      <c r="R386" t="s">
        <v>28</v>
      </c>
    </row>
    <row r="387" spans="1:18">
      <c r="A387">
        <v>386</v>
      </c>
      <c r="B387" t="s">
        <v>472</v>
      </c>
      <c r="C387" t="s">
        <v>102</v>
      </c>
      <c r="D387" t="s">
        <v>217</v>
      </c>
      <c r="E387" t="s">
        <v>244</v>
      </c>
      <c r="F387">
        <v>190000</v>
      </c>
      <c r="G387">
        <v>19</v>
      </c>
      <c r="H387">
        <v>226100</v>
      </c>
      <c r="I387" t="s">
        <v>24</v>
      </c>
      <c r="J387" t="s">
        <v>25</v>
      </c>
      <c r="K387">
        <v>0</v>
      </c>
      <c r="L387">
        <v>0</v>
      </c>
      <c r="M387" t="s">
        <v>25</v>
      </c>
      <c r="N387" t="s">
        <v>25</v>
      </c>
      <c r="O387" t="s">
        <v>26</v>
      </c>
      <c r="P387" t="s">
        <v>25</v>
      </c>
      <c r="Q387" t="s">
        <v>27</v>
      </c>
      <c r="R387" t="s">
        <v>28</v>
      </c>
    </row>
    <row r="388" spans="1:18">
      <c r="A388">
        <v>387</v>
      </c>
      <c r="B388" t="s">
        <v>473</v>
      </c>
      <c r="C388" t="s">
        <v>36</v>
      </c>
      <c r="D388" t="s">
        <v>217</v>
      </c>
      <c r="E388" t="s">
        <v>244</v>
      </c>
      <c r="F388">
        <v>60000</v>
      </c>
      <c r="G388">
        <v>19</v>
      </c>
      <c r="H388">
        <v>71400</v>
      </c>
      <c r="I388" t="s">
        <v>24</v>
      </c>
      <c r="J388" t="s">
        <v>25</v>
      </c>
      <c r="K388">
        <v>0</v>
      </c>
      <c r="L388">
        <v>0</v>
      </c>
      <c r="M388" t="s">
        <v>25</v>
      </c>
      <c r="N388" t="s">
        <v>25</v>
      </c>
      <c r="O388" t="s">
        <v>26</v>
      </c>
      <c r="P388" t="s">
        <v>25</v>
      </c>
      <c r="Q388" t="s">
        <v>27</v>
      </c>
      <c r="R388" t="s">
        <v>28</v>
      </c>
    </row>
    <row r="389" spans="1:18">
      <c r="A389">
        <v>388</v>
      </c>
      <c r="B389" t="s">
        <v>474</v>
      </c>
      <c r="C389" t="s">
        <v>102</v>
      </c>
      <c r="D389" t="s">
        <v>22</v>
      </c>
      <c r="E389" t="s">
        <v>244</v>
      </c>
      <c r="F389">
        <v>69748</v>
      </c>
      <c r="G389">
        <v>19</v>
      </c>
      <c r="H389">
        <v>83000</v>
      </c>
      <c r="I389" t="s">
        <v>24</v>
      </c>
      <c r="J389" t="s">
        <v>25</v>
      </c>
      <c r="K389">
        <v>0</v>
      </c>
      <c r="L389">
        <v>0</v>
      </c>
      <c r="M389" t="s">
        <v>25</v>
      </c>
      <c r="N389" t="s">
        <v>25</v>
      </c>
      <c r="O389" t="s">
        <v>26</v>
      </c>
      <c r="P389" t="s">
        <v>25</v>
      </c>
      <c r="Q389" t="s">
        <v>27</v>
      </c>
      <c r="R389" t="s">
        <v>28</v>
      </c>
    </row>
    <row r="390" spans="1:18">
      <c r="A390">
        <v>389</v>
      </c>
      <c r="B390" t="s">
        <v>475</v>
      </c>
      <c r="C390" t="s">
        <v>36</v>
      </c>
      <c r="D390" t="s">
        <v>22</v>
      </c>
      <c r="E390" t="s">
        <v>244</v>
      </c>
      <c r="F390">
        <v>320000</v>
      </c>
      <c r="G390">
        <v>19</v>
      </c>
      <c r="H390">
        <v>380800</v>
      </c>
      <c r="I390" t="s">
        <v>24</v>
      </c>
      <c r="J390" t="s">
        <v>25</v>
      </c>
      <c r="K390">
        <v>0</v>
      </c>
      <c r="L390">
        <v>0</v>
      </c>
      <c r="M390" t="s">
        <v>25</v>
      </c>
      <c r="N390" t="s">
        <v>25</v>
      </c>
      <c r="O390" t="s">
        <v>26</v>
      </c>
      <c r="P390" t="s">
        <v>25</v>
      </c>
      <c r="Q390" t="s">
        <v>27</v>
      </c>
      <c r="R390" t="s">
        <v>28</v>
      </c>
    </row>
    <row r="391" spans="1:18">
      <c r="A391">
        <v>390</v>
      </c>
      <c r="B391" t="s">
        <v>476</v>
      </c>
      <c r="C391" t="s">
        <v>36</v>
      </c>
      <c r="D391" t="s">
        <v>22</v>
      </c>
      <c r="E391" t="s">
        <v>244</v>
      </c>
      <c r="F391">
        <v>20000</v>
      </c>
      <c r="G391">
        <v>19</v>
      </c>
      <c r="H391">
        <v>23800</v>
      </c>
      <c r="I391" t="s">
        <v>24</v>
      </c>
      <c r="J391" t="s">
        <v>25</v>
      </c>
      <c r="K391">
        <v>0</v>
      </c>
      <c r="L391">
        <v>0</v>
      </c>
      <c r="M391" t="s">
        <v>25</v>
      </c>
      <c r="N391" t="s">
        <v>25</v>
      </c>
      <c r="O391" t="s">
        <v>26</v>
      </c>
      <c r="P391" t="s">
        <v>25</v>
      </c>
      <c r="Q391" t="s">
        <v>27</v>
      </c>
      <c r="R391" t="s">
        <v>28</v>
      </c>
    </row>
    <row r="392" spans="1:18">
      <c r="A392">
        <v>391</v>
      </c>
      <c r="B392" t="s">
        <v>477</v>
      </c>
      <c r="C392" t="s">
        <v>102</v>
      </c>
      <c r="D392" t="s">
        <v>217</v>
      </c>
      <c r="E392" t="s">
        <v>244</v>
      </c>
      <c r="F392">
        <v>240000</v>
      </c>
      <c r="G392">
        <v>19</v>
      </c>
      <c r="H392">
        <v>285600</v>
      </c>
      <c r="I392" t="s">
        <v>24</v>
      </c>
      <c r="J392" t="s">
        <v>25</v>
      </c>
      <c r="K392">
        <v>0</v>
      </c>
      <c r="L392">
        <v>0</v>
      </c>
      <c r="M392" t="s">
        <v>25</v>
      </c>
      <c r="N392" t="s">
        <v>25</v>
      </c>
      <c r="O392" t="s">
        <v>26</v>
      </c>
      <c r="P392" t="s">
        <v>25</v>
      </c>
      <c r="Q392" t="s">
        <v>27</v>
      </c>
      <c r="R392" t="s">
        <v>28</v>
      </c>
    </row>
    <row r="393" spans="1:18">
      <c r="A393">
        <v>392</v>
      </c>
      <c r="B393" t="s">
        <v>478</v>
      </c>
      <c r="C393" t="s">
        <v>102</v>
      </c>
      <c r="D393" t="s">
        <v>217</v>
      </c>
      <c r="E393" t="s">
        <v>244</v>
      </c>
      <c r="F393">
        <v>95000</v>
      </c>
      <c r="G393">
        <v>19</v>
      </c>
      <c r="H393">
        <v>113050</v>
      </c>
      <c r="I393" t="s">
        <v>24</v>
      </c>
      <c r="J393" t="s">
        <v>25</v>
      </c>
      <c r="K393">
        <v>0</v>
      </c>
      <c r="L393">
        <v>0</v>
      </c>
      <c r="M393" t="s">
        <v>25</v>
      </c>
      <c r="N393" t="s">
        <v>25</v>
      </c>
      <c r="O393" t="s">
        <v>26</v>
      </c>
      <c r="P393" t="s">
        <v>25</v>
      </c>
      <c r="Q393" t="s">
        <v>27</v>
      </c>
      <c r="R393" t="s">
        <v>28</v>
      </c>
    </row>
    <row r="394" spans="1:18">
      <c r="A394">
        <v>393</v>
      </c>
      <c r="B394" t="s">
        <v>479</v>
      </c>
      <c r="C394" t="s">
        <v>36</v>
      </c>
      <c r="D394" t="s">
        <v>22</v>
      </c>
      <c r="E394" t="s">
        <v>244</v>
      </c>
      <c r="F394">
        <v>130000</v>
      </c>
      <c r="G394">
        <v>19</v>
      </c>
      <c r="H394">
        <v>154700</v>
      </c>
      <c r="I394" t="s">
        <v>24</v>
      </c>
      <c r="J394" t="s">
        <v>25</v>
      </c>
      <c r="K394">
        <v>0</v>
      </c>
      <c r="L394">
        <v>0</v>
      </c>
      <c r="M394" t="s">
        <v>25</v>
      </c>
      <c r="N394" t="s">
        <v>25</v>
      </c>
      <c r="O394" t="s">
        <v>26</v>
      </c>
      <c r="P394" t="s">
        <v>25</v>
      </c>
      <c r="Q394" t="s">
        <v>27</v>
      </c>
      <c r="R394" t="s">
        <v>28</v>
      </c>
    </row>
    <row r="395" spans="1:18">
      <c r="A395">
        <v>394</v>
      </c>
      <c r="B395" t="s">
        <v>480</v>
      </c>
      <c r="C395" t="s">
        <v>102</v>
      </c>
      <c r="D395" t="s">
        <v>22</v>
      </c>
      <c r="E395" t="s">
        <v>244</v>
      </c>
      <c r="F395">
        <v>155462</v>
      </c>
      <c r="G395">
        <v>19</v>
      </c>
      <c r="H395">
        <v>185000</v>
      </c>
      <c r="I395" t="s">
        <v>24</v>
      </c>
      <c r="J395" t="s">
        <v>25</v>
      </c>
      <c r="K395">
        <v>0</v>
      </c>
      <c r="L395">
        <v>0</v>
      </c>
      <c r="M395" t="s">
        <v>25</v>
      </c>
      <c r="N395" t="s">
        <v>25</v>
      </c>
      <c r="O395" t="s">
        <v>26</v>
      </c>
      <c r="P395" t="s">
        <v>25</v>
      </c>
      <c r="Q395" t="s">
        <v>27</v>
      </c>
      <c r="R395" t="s">
        <v>28</v>
      </c>
    </row>
    <row r="396" spans="1:18">
      <c r="A396">
        <v>395</v>
      </c>
      <c r="B396" t="s">
        <v>481</v>
      </c>
      <c r="C396" t="s">
        <v>36</v>
      </c>
      <c r="D396" t="s">
        <v>22</v>
      </c>
      <c r="E396" t="s">
        <v>244</v>
      </c>
      <c r="F396">
        <v>88000</v>
      </c>
      <c r="G396">
        <v>19</v>
      </c>
      <c r="H396">
        <v>104720</v>
      </c>
      <c r="I396" t="s">
        <v>24</v>
      </c>
      <c r="J396" t="s">
        <v>25</v>
      </c>
      <c r="K396">
        <v>0</v>
      </c>
      <c r="L396">
        <v>0</v>
      </c>
      <c r="M396" t="s">
        <v>25</v>
      </c>
      <c r="N396" t="s">
        <v>25</v>
      </c>
      <c r="O396" t="s">
        <v>26</v>
      </c>
      <c r="P396" t="s">
        <v>25</v>
      </c>
      <c r="Q396" t="s">
        <v>27</v>
      </c>
      <c r="R396" t="s">
        <v>28</v>
      </c>
    </row>
    <row r="397" spans="1:18">
      <c r="A397">
        <v>396</v>
      </c>
      <c r="B397" t="s">
        <v>482</v>
      </c>
      <c r="C397" t="s">
        <v>36</v>
      </c>
      <c r="D397" t="s">
        <v>22</v>
      </c>
      <c r="E397" t="s">
        <v>244</v>
      </c>
      <c r="F397">
        <v>50000</v>
      </c>
      <c r="G397">
        <v>19</v>
      </c>
      <c r="H397">
        <v>59500</v>
      </c>
      <c r="I397" t="s">
        <v>24</v>
      </c>
      <c r="J397" t="s">
        <v>25</v>
      </c>
      <c r="K397">
        <v>0</v>
      </c>
      <c r="L397">
        <v>0</v>
      </c>
      <c r="M397" t="s">
        <v>25</v>
      </c>
      <c r="N397" t="s">
        <v>25</v>
      </c>
      <c r="O397" t="s">
        <v>26</v>
      </c>
      <c r="P397" t="s">
        <v>25</v>
      </c>
      <c r="Q397" t="s">
        <v>27</v>
      </c>
      <c r="R397" t="s">
        <v>28</v>
      </c>
    </row>
    <row r="398" spans="1:18">
      <c r="A398">
        <v>397</v>
      </c>
      <c r="B398" t="s">
        <v>483</v>
      </c>
      <c r="C398" t="s">
        <v>102</v>
      </c>
      <c r="D398" t="s">
        <v>217</v>
      </c>
      <c r="E398" t="s">
        <v>244</v>
      </c>
      <c r="F398">
        <v>3400000</v>
      </c>
      <c r="G398">
        <v>19</v>
      </c>
      <c r="H398">
        <v>4046000</v>
      </c>
      <c r="I398" t="s">
        <v>24</v>
      </c>
      <c r="J398" t="s">
        <v>25</v>
      </c>
      <c r="K398">
        <v>0</v>
      </c>
      <c r="L398">
        <v>0</v>
      </c>
      <c r="M398" t="s">
        <v>25</v>
      </c>
      <c r="N398" t="s">
        <v>25</v>
      </c>
      <c r="O398" t="s">
        <v>26</v>
      </c>
      <c r="P398" t="s">
        <v>25</v>
      </c>
      <c r="Q398" t="s">
        <v>27</v>
      </c>
      <c r="R398" t="s">
        <v>28</v>
      </c>
    </row>
    <row r="399" spans="1:18">
      <c r="A399">
        <v>398</v>
      </c>
      <c r="B399" t="s">
        <v>484</v>
      </c>
      <c r="C399" t="s">
        <v>36</v>
      </c>
      <c r="D399" t="s">
        <v>217</v>
      </c>
      <c r="E399" t="s">
        <v>244</v>
      </c>
      <c r="F399">
        <v>380000</v>
      </c>
      <c r="G399">
        <v>19</v>
      </c>
      <c r="H399">
        <v>452200</v>
      </c>
      <c r="I399" t="s">
        <v>24</v>
      </c>
      <c r="J399" t="s">
        <v>25</v>
      </c>
      <c r="K399">
        <v>0</v>
      </c>
      <c r="L399">
        <v>0</v>
      </c>
      <c r="M399" t="s">
        <v>25</v>
      </c>
      <c r="N399" t="s">
        <v>25</v>
      </c>
      <c r="O399" t="s">
        <v>26</v>
      </c>
      <c r="P399" t="s">
        <v>25</v>
      </c>
      <c r="Q399" t="s">
        <v>27</v>
      </c>
      <c r="R399" t="s">
        <v>28</v>
      </c>
    </row>
    <row r="400" spans="1:18">
      <c r="A400">
        <v>399</v>
      </c>
      <c r="B400" t="s">
        <v>485</v>
      </c>
      <c r="C400" t="s">
        <v>102</v>
      </c>
      <c r="D400" t="s">
        <v>22</v>
      </c>
      <c r="E400" t="s">
        <v>244</v>
      </c>
      <c r="F400">
        <v>35000</v>
      </c>
      <c r="G400">
        <v>19</v>
      </c>
      <c r="H400">
        <v>41650</v>
      </c>
      <c r="I400" t="s">
        <v>24</v>
      </c>
      <c r="J400" t="s">
        <v>25</v>
      </c>
      <c r="K400">
        <v>0</v>
      </c>
      <c r="L400">
        <v>0</v>
      </c>
      <c r="M400" t="s">
        <v>25</v>
      </c>
      <c r="N400" t="s">
        <v>25</v>
      </c>
      <c r="O400" t="s">
        <v>26</v>
      </c>
      <c r="P400" t="s">
        <v>25</v>
      </c>
      <c r="Q400" t="s">
        <v>27</v>
      </c>
      <c r="R400" t="s">
        <v>28</v>
      </c>
    </row>
    <row r="401" spans="1:20">
      <c r="A401">
        <v>400</v>
      </c>
      <c r="B401" t="s">
        <v>486</v>
      </c>
      <c r="C401" t="s">
        <v>102</v>
      </c>
      <c r="D401" t="s">
        <v>22</v>
      </c>
      <c r="E401" t="s">
        <v>244</v>
      </c>
      <c r="F401">
        <v>1932774</v>
      </c>
      <c r="G401">
        <v>19</v>
      </c>
      <c r="H401">
        <v>2300001</v>
      </c>
      <c r="I401" t="s">
        <v>24</v>
      </c>
      <c r="J401" t="s">
        <v>25</v>
      </c>
      <c r="K401">
        <v>0</v>
      </c>
      <c r="L401">
        <v>0</v>
      </c>
      <c r="M401" t="s">
        <v>25</v>
      </c>
      <c r="N401" t="s">
        <v>25</v>
      </c>
      <c r="O401" t="s">
        <v>26</v>
      </c>
      <c r="P401" t="s">
        <v>25</v>
      </c>
      <c r="Q401" t="s">
        <v>27</v>
      </c>
      <c r="R401" t="s">
        <v>28</v>
      </c>
    </row>
    <row r="402" spans="1:20">
      <c r="A402">
        <v>401</v>
      </c>
      <c r="B402" t="s">
        <v>487</v>
      </c>
      <c r="C402" t="s">
        <v>102</v>
      </c>
      <c r="D402" t="s">
        <v>22</v>
      </c>
      <c r="E402" t="s">
        <v>244</v>
      </c>
      <c r="F402">
        <v>2340000</v>
      </c>
      <c r="G402">
        <v>19</v>
      </c>
      <c r="H402">
        <v>2784600</v>
      </c>
      <c r="I402" t="s">
        <v>24</v>
      </c>
      <c r="J402" t="s">
        <v>25</v>
      </c>
      <c r="K402">
        <v>0</v>
      </c>
      <c r="L402">
        <v>0</v>
      </c>
      <c r="M402" t="s">
        <v>25</v>
      </c>
      <c r="N402" t="s">
        <v>25</v>
      </c>
      <c r="O402" t="s">
        <v>26</v>
      </c>
      <c r="P402" t="s">
        <v>25</v>
      </c>
      <c r="Q402" t="s">
        <v>27</v>
      </c>
      <c r="R402" t="s">
        <v>28</v>
      </c>
    </row>
    <row r="403" spans="1:20">
      <c r="A403">
        <v>402</v>
      </c>
      <c r="B403" t="s">
        <v>488</v>
      </c>
      <c r="C403" t="s">
        <v>102</v>
      </c>
      <c r="D403" t="s">
        <v>22</v>
      </c>
      <c r="E403" t="s">
        <v>244</v>
      </c>
      <c r="F403">
        <v>190000</v>
      </c>
      <c r="G403">
        <v>19</v>
      </c>
      <c r="H403">
        <v>226100</v>
      </c>
      <c r="I403" t="s">
        <v>24</v>
      </c>
      <c r="J403" t="s">
        <v>25</v>
      </c>
      <c r="K403">
        <v>0</v>
      </c>
      <c r="L403">
        <v>0</v>
      </c>
      <c r="M403" t="s">
        <v>25</v>
      </c>
      <c r="N403" t="s">
        <v>25</v>
      </c>
      <c r="O403" t="s">
        <v>26</v>
      </c>
      <c r="P403" t="s">
        <v>25</v>
      </c>
      <c r="Q403" t="s">
        <v>27</v>
      </c>
      <c r="R403" t="s">
        <v>28</v>
      </c>
    </row>
    <row r="404" spans="1:20">
      <c r="A404">
        <v>403</v>
      </c>
      <c r="B404" t="s">
        <v>489</v>
      </c>
      <c r="C404" t="s">
        <v>21</v>
      </c>
      <c r="D404" t="s">
        <v>22</v>
      </c>
      <c r="E404" t="s">
        <v>244</v>
      </c>
      <c r="F404">
        <v>67227</v>
      </c>
      <c r="G404">
        <v>19</v>
      </c>
      <c r="H404">
        <v>80000.13</v>
      </c>
      <c r="I404" t="s">
        <v>24</v>
      </c>
      <c r="J404" t="s">
        <v>25</v>
      </c>
      <c r="K404">
        <v>0</v>
      </c>
      <c r="L404">
        <v>0</v>
      </c>
      <c r="M404" t="s">
        <v>25</v>
      </c>
      <c r="N404" t="s">
        <v>25</v>
      </c>
      <c r="O404" t="s">
        <v>26</v>
      </c>
      <c r="P404" t="s">
        <v>25</v>
      </c>
      <c r="Q404" t="s">
        <v>27</v>
      </c>
      <c r="R404" t="s">
        <v>28</v>
      </c>
      <c r="S404" t="s">
        <v>51</v>
      </c>
      <c r="T404" t="s">
        <v>490</v>
      </c>
    </row>
    <row r="405" spans="1:20">
      <c r="A405">
        <v>404</v>
      </c>
      <c r="B405" t="s">
        <v>491</v>
      </c>
      <c r="C405" t="s">
        <v>21</v>
      </c>
      <c r="D405" t="s">
        <v>22</v>
      </c>
      <c r="E405" t="s">
        <v>244</v>
      </c>
      <c r="F405">
        <v>134454</v>
      </c>
      <c r="G405">
        <v>19</v>
      </c>
      <c r="H405">
        <v>160000.26</v>
      </c>
      <c r="I405" t="s">
        <v>24</v>
      </c>
      <c r="J405" t="s">
        <v>25</v>
      </c>
      <c r="K405">
        <v>0</v>
      </c>
      <c r="L405">
        <v>0</v>
      </c>
      <c r="M405" t="s">
        <v>25</v>
      </c>
      <c r="N405" t="s">
        <v>25</v>
      </c>
      <c r="O405" t="s">
        <v>26</v>
      </c>
      <c r="P405" t="s">
        <v>25</v>
      </c>
      <c r="Q405" t="s">
        <v>27</v>
      </c>
      <c r="R405" t="s">
        <v>28</v>
      </c>
      <c r="S405" t="s">
        <v>51</v>
      </c>
      <c r="T405" t="s">
        <v>490</v>
      </c>
    </row>
    <row r="406" spans="1:20">
      <c r="A406">
        <v>405</v>
      </c>
      <c r="B406" t="s">
        <v>492</v>
      </c>
      <c r="C406" t="s">
        <v>102</v>
      </c>
      <c r="D406" t="s">
        <v>22</v>
      </c>
      <c r="E406" t="s">
        <v>244</v>
      </c>
      <c r="F406">
        <v>142859</v>
      </c>
      <c r="G406">
        <v>19</v>
      </c>
      <c r="H406">
        <v>170002</v>
      </c>
      <c r="I406" t="s">
        <v>24</v>
      </c>
      <c r="J406" t="s">
        <v>25</v>
      </c>
      <c r="K406">
        <v>0</v>
      </c>
      <c r="L406">
        <v>0</v>
      </c>
      <c r="M406" t="s">
        <v>25</v>
      </c>
      <c r="N406" t="s">
        <v>25</v>
      </c>
      <c r="O406" t="s">
        <v>26</v>
      </c>
      <c r="P406" t="s">
        <v>25</v>
      </c>
      <c r="Q406" t="s">
        <v>27</v>
      </c>
      <c r="R406" t="s">
        <v>28</v>
      </c>
    </row>
    <row r="407" spans="1:20">
      <c r="A407">
        <v>406</v>
      </c>
      <c r="B407" t="s">
        <v>493</v>
      </c>
      <c r="C407" t="s">
        <v>102</v>
      </c>
      <c r="D407" t="s">
        <v>22</v>
      </c>
      <c r="E407" t="s">
        <v>244</v>
      </c>
      <c r="F407">
        <v>193276</v>
      </c>
      <c r="G407">
        <v>19</v>
      </c>
      <c r="H407">
        <v>229998</v>
      </c>
      <c r="I407" t="s">
        <v>24</v>
      </c>
      <c r="J407" t="s">
        <v>25</v>
      </c>
      <c r="K407">
        <v>0</v>
      </c>
      <c r="L407">
        <v>0</v>
      </c>
      <c r="M407" t="s">
        <v>25</v>
      </c>
      <c r="N407" t="s">
        <v>25</v>
      </c>
      <c r="O407" t="s">
        <v>26</v>
      </c>
      <c r="P407" t="s">
        <v>25</v>
      </c>
      <c r="Q407" t="s">
        <v>27</v>
      </c>
      <c r="R407" t="s">
        <v>28</v>
      </c>
    </row>
    <row r="408" spans="1:20">
      <c r="A408">
        <v>407</v>
      </c>
      <c r="B408" t="s">
        <v>494</v>
      </c>
      <c r="C408" t="s">
        <v>102</v>
      </c>
      <c r="D408" t="s">
        <v>22</v>
      </c>
      <c r="E408" t="s">
        <v>244</v>
      </c>
      <c r="F408">
        <v>58824</v>
      </c>
      <c r="G408">
        <v>19</v>
      </c>
      <c r="H408">
        <v>70001</v>
      </c>
      <c r="I408" t="s">
        <v>24</v>
      </c>
      <c r="J408" t="s">
        <v>25</v>
      </c>
      <c r="K408">
        <v>0</v>
      </c>
      <c r="L408">
        <v>0</v>
      </c>
      <c r="M408" t="s">
        <v>25</v>
      </c>
      <c r="N408" t="s">
        <v>25</v>
      </c>
      <c r="O408" t="s">
        <v>26</v>
      </c>
      <c r="P408" t="s">
        <v>25</v>
      </c>
      <c r="Q408" t="s">
        <v>27</v>
      </c>
      <c r="R408" t="s">
        <v>28</v>
      </c>
    </row>
    <row r="409" spans="1:20">
      <c r="A409">
        <v>408</v>
      </c>
      <c r="B409" t="s">
        <v>495</v>
      </c>
      <c r="C409" t="s">
        <v>102</v>
      </c>
      <c r="D409" t="s">
        <v>22</v>
      </c>
      <c r="E409" t="s">
        <v>244</v>
      </c>
      <c r="F409">
        <v>110000</v>
      </c>
      <c r="G409">
        <v>19</v>
      </c>
      <c r="H409">
        <v>130900</v>
      </c>
      <c r="I409" t="s">
        <v>24</v>
      </c>
      <c r="J409" t="s">
        <v>25</v>
      </c>
      <c r="K409">
        <v>0</v>
      </c>
      <c r="L409">
        <v>0</v>
      </c>
      <c r="M409" t="s">
        <v>25</v>
      </c>
      <c r="N409" t="s">
        <v>25</v>
      </c>
      <c r="O409" t="s">
        <v>26</v>
      </c>
      <c r="P409" t="s">
        <v>25</v>
      </c>
      <c r="Q409" t="s">
        <v>27</v>
      </c>
      <c r="R409" t="s">
        <v>28</v>
      </c>
    </row>
    <row r="410" spans="1:20">
      <c r="A410">
        <v>409</v>
      </c>
      <c r="B410" t="s">
        <v>496</v>
      </c>
      <c r="C410" t="s">
        <v>102</v>
      </c>
      <c r="D410" t="s">
        <v>22</v>
      </c>
      <c r="E410" t="s">
        <v>244</v>
      </c>
      <c r="F410">
        <v>134454</v>
      </c>
      <c r="G410">
        <v>19</v>
      </c>
      <c r="H410">
        <v>160000</v>
      </c>
      <c r="I410" t="s">
        <v>24</v>
      </c>
      <c r="J410" t="s">
        <v>25</v>
      </c>
      <c r="K410">
        <v>0</v>
      </c>
      <c r="L410">
        <v>0</v>
      </c>
      <c r="M410" t="s">
        <v>25</v>
      </c>
      <c r="N410" t="s">
        <v>25</v>
      </c>
      <c r="O410" t="s">
        <v>26</v>
      </c>
      <c r="P410" t="s">
        <v>25</v>
      </c>
      <c r="Q410" t="s">
        <v>27</v>
      </c>
      <c r="R410" t="s">
        <v>28</v>
      </c>
    </row>
    <row r="411" spans="1:20">
      <c r="A411">
        <v>410</v>
      </c>
      <c r="B411" t="s">
        <v>497</v>
      </c>
      <c r="C411" t="s">
        <v>102</v>
      </c>
      <c r="D411" t="s">
        <v>283</v>
      </c>
      <c r="E411" t="s">
        <v>244</v>
      </c>
      <c r="F411">
        <v>0</v>
      </c>
      <c r="G411">
        <v>19</v>
      </c>
      <c r="H411">
        <v>0</v>
      </c>
      <c r="I411" t="s">
        <v>24</v>
      </c>
      <c r="J411" t="s">
        <v>25</v>
      </c>
      <c r="K411">
        <v>0</v>
      </c>
      <c r="L411">
        <v>0</v>
      </c>
      <c r="M411" t="s">
        <v>25</v>
      </c>
      <c r="N411" t="s">
        <v>25</v>
      </c>
      <c r="O411" t="s">
        <v>26</v>
      </c>
      <c r="P411" t="s">
        <v>25</v>
      </c>
      <c r="Q411" t="s">
        <v>27</v>
      </c>
      <c r="R411" t="s">
        <v>28</v>
      </c>
    </row>
    <row r="412" spans="1:20">
      <c r="A412">
        <v>411</v>
      </c>
      <c r="B412" t="s">
        <v>498</v>
      </c>
      <c r="C412" t="s">
        <v>102</v>
      </c>
      <c r="D412" t="s">
        <v>22</v>
      </c>
      <c r="E412" t="s">
        <v>244</v>
      </c>
      <c r="F412">
        <v>0</v>
      </c>
      <c r="G412">
        <v>19</v>
      </c>
      <c r="H412">
        <v>0</v>
      </c>
      <c r="I412" t="s">
        <v>24</v>
      </c>
      <c r="J412" t="s">
        <v>25</v>
      </c>
      <c r="K412">
        <v>0</v>
      </c>
      <c r="L412">
        <v>0</v>
      </c>
      <c r="M412" t="s">
        <v>25</v>
      </c>
      <c r="N412" t="s">
        <v>25</v>
      </c>
      <c r="O412" t="s">
        <v>26</v>
      </c>
      <c r="P412" t="s">
        <v>25</v>
      </c>
      <c r="Q412" t="s">
        <v>27</v>
      </c>
      <c r="R412" t="s">
        <v>28</v>
      </c>
    </row>
    <row r="413" spans="1:20">
      <c r="A413">
        <v>412</v>
      </c>
      <c r="B413" t="s">
        <v>499</v>
      </c>
      <c r="C413" t="s">
        <v>102</v>
      </c>
      <c r="D413" t="s">
        <v>22</v>
      </c>
      <c r="E413" t="s">
        <v>244</v>
      </c>
      <c r="F413">
        <v>0</v>
      </c>
      <c r="G413">
        <v>19</v>
      </c>
      <c r="H413">
        <v>0</v>
      </c>
      <c r="I413" t="s">
        <v>24</v>
      </c>
      <c r="J413" t="s">
        <v>25</v>
      </c>
      <c r="K413">
        <v>0</v>
      </c>
      <c r="L413">
        <v>0</v>
      </c>
      <c r="M413" t="s">
        <v>25</v>
      </c>
      <c r="N413" t="s">
        <v>25</v>
      </c>
      <c r="O413" t="s">
        <v>26</v>
      </c>
      <c r="P413" t="s">
        <v>25</v>
      </c>
      <c r="Q413" t="s">
        <v>27</v>
      </c>
      <c r="R413" t="s">
        <v>28</v>
      </c>
    </row>
    <row r="414" spans="1:20">
      <c r="A414">
        <v>413</v>
      </c>
      <c r="B414" t="s">
        <v>500</v>
      </c>
      <c r="C414" t="s">
        <v>102</v>
      </c>
      <c r="D414" t="s">
        <v>22</v>
      </c>
      <c r="E414" t="s">
        <v>244</v>
      </c>
      <c r="F414">
        <v>0</v>
      </c>
      <c r="G414">
        <v>19</v>
      </c>
      <c r="H414">
        <v>0</v>
      </c>
      <c r="I414" t="s">
        <v>24</v>
      </c>
      <c r="J414" t="s">
        <v>25</v>
      </c>
      <c r="K414">
        <v>0</v>
      </c>
      <c r="L414">
        <v>0</v>
      </c>
      <c r="M414" t="s">
        <v>25</v>
      </c>
      <c r="N414" t="s">
        <v>25</v>
      </c>
      <c r="O414" t="s">
        <v>26</v>
      </c>
      <c r="P414" t="s">
        <v>25</v>
      </c>
      <c r="Q414" t="s">
        <v>27</v>
      </c>
      <c r="R414" t="s">
        <v>28</v>
      </c>
    </row>
    <row r="415" spans="1:20">
      <c r="A415">
        <v>414</v>
      </c>
      <c r="B415" t="s">
        <v>501</v>
      </c>
      <c r="C415" t="s">
        <v>102</v>
      </c>
      <c r="D415" t="s">
        <v>22</v>
      </c>
      <c r="E415" t="s">
        <v>244</v>
      </c>
      <c r="F415">
        <v>0</v>
      </c>
      <c r="G415">
        <v>19</v>
      </c>
      <c r="H415">
        <v>0</v>
      </c>
      <c r="I415" t="s">
        <v>24</v>
      </c>
      <c r="J415" t="s">
        <v>25</v>
      </c>
      <c r="K415">
        <v>0</v>
      </c>
      <c r="L415">
        <v>0</v>
      </c>
      <c r="M415" t="s">
        <v>25</v>
      </c>
      <c r="N415" t="s">
        <v>25</v>
      </c>
      <c r="O415" t="s">
        <v>26</v>
      </c>
      <c r="P415" t="s">
        <v>25</v>
      </c>
      <c r="Q415" t="s">
        <v>27</v>
      </c>
      <c r="R415" t="s">
        <v>28</v>
      </c>
    </row>
    <row r="416" spans="1:20">
      <c r="A416">
        <v>415</v>
      </c>
      <c r="B416" t="s">
        <v>502</v>
      </c>
      <c r="C416" t="s">
        <v>36</v>
      </c>
      <c r="D416" t="s">
        <v>217</v>
      </c>
      <c r="E416" t="s">
        <v>244</v>
      </c>
      <c r="F416">
        <v>0</v>
      </c>
      <c r="G416">
        <v>19</v>
      </c>
      <c r="H416">
        <v>0</v>
      </c>
      <c r="I416" t="s">
        <v>24</v>
      </c>
      <c r="J416" t="s">
        <v>25</v>
      </c>
      <c r="K416">
        <v>0</v>
      </c>
      <c r="L416">
        <v>0</v>
      </c>
      <c r="M416" t="s">
        <v>25</v>
      </c>
      <c r="N416" t="s">
        <v>25</v>
      </c>
      <c r="O416" t="s">
        <v>26</v>
      </c>
      <c r="P416" t="s">
        <v>25</v>
      </c>
      <c r="Q416" t="s">
        <v>27</v>
      </c>
      <c r="R416" t="s">
        <v>28</v>
      </c>
    </row>
    <row r="417" spans="1:18">
      <c r="A417">
        <v>416</v>
      </c>
      <c r="B417" t="s">
        <v>503</v>
      </c>
      <c r="C417" t="s">
        <v>36</v>
      </c>
      <c r="D417" t="s">
        <v>217</v>
      </c>
      <c r="E417" t="s">
        <v>244</v>
      </c>
      <c r="F417">
        <v>0</v>
      </c>
      <c r="G417">
        <v>19</v>
      </c>
      <c r="H417">
        <v>0</v>
      </c>
      <c r="I417" t="s">
        <v>24</v>
      </c>
      <c r="J417" t="s">
        <v>25</v>
      </c>
      <c r="K417">
        <v>0</v>
      </c>
      <c r="L417">
        <v>0</v>
      </c>
      <c r="M417" t="s">
        <v>25</v>
      </c>
      <c r="N417" t="s">
        <v>25</v>
      </c>
      <c r="O417" t="s">
        <v>26</v>
      </c>
      <c r="P417" t="s">
        <v>25</v>
      </c>
      <c r="Q417" t="s">
        <v>27</v>
      </c>
      <c r="R417" t="s">
        <v>28</v>
      </c>
    </row>
    <row r="418" spans="1:18">
      <c r="A418">
        <v>417</v>
      </c>
      <c r="B418" t="s">
        <v>504</v>
      </c>
      <c r="C418" t="s">
        <v>102</v>
      </c>
      <c r="D418" t="s">
        <v>22</v>
      </c>
      <c r="E418" t="s">
        <v>244</v>
      </c>
      <c r="F418">
        <v>0</v>
      </c>
      <c r="G418">
        <v>19</v>
      </c>
      <c r="H418">
        <v>0</v>
      </c>
      <c r="I418" t="s">
        <v>24</v>
      </c>
      <c r="J418" t="s">
        <v>25</v>
      </c>
      <c r="K418">
        <v>0</v>
      </c>
      <c r="L418">
        <v>0</v>
      </c>
      <c r="M418" t="s">
        <v>25</v>
      </c>
      <c r="N418" t="s">
        <v>25</v>
      </c>
      <c r="O418" t="s">
        <v>26</v>
      </c>
      <c r="P418" t="s">
        <v>25</v>
      </c>
      <c r="Q418" t="s">
        <v>27</v>
      </c>
      <c r="R418" t="s">
        <v>28</v>
      </c>
    </row>
    <row r="419" spans="1:18">
      <c r="A419">
        <v>418</v>
      </c>
      <c r="B419" t="s">
        <v>505</v>
      </c>
      <c r="C419" t="s">
        <v>102</v>
      </c>
      <c r="D419" t="s">
        <v>22</v>
      </c>
      <c r="E419" t="s">
        <v>244</v>
      </c>
      <c r="F419">
        <v>0</v>
      </c>
      <c r="G419">
        <v>19</v>
      </c>
      <c r="H419">
        <v>0</v>
      </c>
      <c r="I419" t="s">
        <v>24</v>
      </c>
      <c r="J419" t="s">
        <v>25</v>
      </c>
      <c r="K419">
        <v>0</v>
      </c>
      <c r="L419">
        <v>0</v>
      </c>
      <c r="M419" t="s">
        <v>25</v>
      </c>
      <c r="N419" t="s">
        <v>25</v>
      </c>
      <c r="O419" t="s">
        <v>26</v>
      </c>
      <c r="P419" t="s">
        <v>25</v>
      </c>
      <c r="Q419" t="s">
        <v>27</v>
      </c>
      <c r="R419" t="s">
        <v>28</v>
      </c>
    </row>
    <row r="420" spans="1:18">
      <c r="A420">
        <v>419</v>
      </c>
      <c r="B420" t="s">
        <v>506</v>
      </c>
      <c r="C420" t="s">
        <v>102</v>
      </c>
      <c r="D420" t="s">
        <v>22</v>
      </c>
      <c r="E420" t="s">
        <v>244</v>
      </c>
      <c r="F420">
        <v>0</v>
      </c>
      <c r="G420">
        <v>19</v>
      </c>
      <c r="H420">
        <v>0</v>
      </c>
      <c r="I420" t="s">
        <v>24</v>
      </c>
      <c r="J420" t="s">
        <v>25</v>
      </c>
      <c r="K420">
        <v>0</v>
      </c>
      <c r="L420">
        <v>0</v>
      </c>
      <c r="M420" t="s">
        <v>25</v>
      </c>
      <c r="N420" t="s">
        <v>25</v>
      </c>
      <c r="O420" t="s">
        <v>26</v>
      </c>
      <c r="P420" t="s">
        <v>25</v>
      </c>
      <c r="Q420" t="s">
        <v>27</v>
      </c>
      <c r="R420" t="s">
        <v>28</v>
      </c>
    </row>
    <row r="421" spans="1:18">
      <c r="A421">
        <v>420</v>
      </c>
      <c r="B421" t="s">
        <v>507</v>
      </c>
      <c r="C421" t="s">
        <v>102</v>
      </c>
      <c r="D421" t="s">
        <v>22</v>
      </c>
      <c r="E421" t="s">
        <v>244</v>
      </c>
      <c r="F421">
        <v>0</v>
      </c>
      <c r="G421">
        <v>19</v>
      </c>
      <c r="H421">
        <v>0</v>
      </c>
      <c r="I421" t="s">
        <v>24</v>
      </c>
      <c r="J421" t="s">
        <v>25</v>
      </c>
      <c r="K421">
        <v>0</v>
      </c>
      <c r="L421">
        <v>0</v>
      </c>
      <c r="M421" t="s">
        <v>25</v>
      </c>
      <c r="N421" t="s">
        <v>25</v>
      </c>
      <c r="O421" t="s">
        <v>26</v>
      </c>
      <c r="P421" t="s">
        <v>25</v>
      </c>
      <c r="Q421" t="s">
        <v>27</v>
      </c>
      <c r="R421" t="s">
        <v>28</v>
      </c>
    </row>
    <row r="422" spans="1:18">
      <c r="A422">
        <v>421</v>
      </c>
      <c r="B422" t="s">
        <v>508</v>
      </c>
      <c r="C422" t="s">
        <v>102</v>
      </c>
      <c r="D422" t="s">
        <v>22</v>
      </c>
      <c r="E422" t="s">
        <v>244</v>
      </c>
      <c r="F422">
        <v>0</v>
      </c>
      <c r="G422">
        <v>19</v>
      </c>
      <c r="H422">
        <v>0</v>
      </c>
      <c r="I422" t="s">
        <v>24</v>
      </c>
      <c r="J422" t="s">
        <v>25</v>
      </c>
      <c r="K422">
        <v>0</v>
      </c>
      <c r="L422">
        <v>0</v>
      </c>
      <c r="M422" t="s">
        <v>25</v>
      </c>
      <c r="N422" t="s">
        <v>25</v>
      </c>
      <c r="O422" t="s">
        <v>26</v>
      </c>
      <c r="P422" t="s">
        <v>25</v>
      </c>
      <c r="Q422" t="s">
        <v>27</v>
      </c>
      <c r="R422" t="s">
        <v>28</v>
      </c>
    </row>
    <row r="423" spans="1:18">
      <c r="A423">
        <v>422</v>
      </c>
      <c r="B423" t="s">
        <v>509</v>
      </c>
      <c r="C423" t="s">
        <v>102</v>
      </c>
      <c r="D423" t="s">
        <v>22</v>
      </c>
      <c r="E423" t="s">
        <v>244</v>
      </c>
      <c r="F423">
        <v>0</v>
      </c>
      <c r="G423">
        <v>19</v>
      </c>
      <c r="H423">
        <v>0</v>
      </c>
      <c r="I423" t="s">
        <v>24</v>
      </c>
      <c r="J423" t="s">
        <v>25</v>
      </c>
      <c r="K423">
        <v>0</v>
      </c>
      <c r="L423">
        <v>0</v>
      </c>
      <c r="M423" t="s">
        <v>25</v>
      </c>
      <c r="N423" t="s">
        <v>25</v>
      </c>
      <c r="O423" t="s">
        <v>26</v>
      </c>
      <c r="P423" t="s">
        <v>25</v>
      </c>
      <c r="Q423" t="s">
        <v>27</v>
      </c>
      <c r="R423" t="s">
        <v>28</v>
      </c>
    </row>
    <row r="424" spans="1:18">
      <c r="A424">
        <v>423</v>
      </c>
      <c r="B424" t="s">
        <v>510</v>
      </c>
      <c r="C424" t="s">
        <v>102</v>
      </c>
      <c r="D424" t="s">
        <v>22</v>
      </c>
      <c r="E424" t="s">
        <v>244</v>
      </c>
      <c r="F424">
        <v>0</v>
      </c>
      <c r="G424">
        <v>19</v>
      </c>
      <c r="H424">
        <v>0</v>
      </c>
      <c r="I424" t="s">
        <v>24</v>
      </c>
      <c r="J424" t="s">
        <v>25</v>
      </c>
      <c r="K424">
        <v>0</v>
      </c>
      <c r="L424">
        <v>0</v>
      </c>
      <c r="M424" t="s">
        <v>25</v>
      </c>
      <c r="N424" t="s">
        <v>25</v>
      </c>
      <c r="O424" t="s">
        <v>26</v>
      </c>
      <c r="P424" t="s">
        <v>25</v>
      </c>
      <c r="Q424" t="s">
        <v>27</v>
      </c>
      <c r="R424" t="s">
        <v>28</v>
      </c>
    </row>
    <row r="425" spans="1:18">
      <c r="A425">
        <v>424</v>
      </c>
      <c r="B425" t="s">
        <v>511</v>
      </c>
      <c r="C425" t="s">
        <v>102</v>
      </c>
      <c r="D425" t="s">
        <v>22</v>
      </c>
      <c r="E425" t="s">
        <v>244</v>
      </c>
      <c r="F425">
        <v>0</v>
      </c>
      <c r="G425">
        <v>19</v>
      </c>
      <c r="H425">
        <v>0</v>
      </c>
      <c r="I425" t="s">
        <v>24</v>
      </c>
      <c r="J425" t="s">
        <v>25</v>
      </c>
      <c r="K425">
        <v>0</v>
      </c>
      <c r="L425">
        <v>0</v>
      </c>
      <c r="M425" t="s">
        <v>25</v>
      </c>
      <c r="N425" t="s">
        <v>25</v>
      </c>
      <c r="O425" t="s">
        <v>26</v>
      </c>
      <c r="P425" t="s">
        <v>25</v>
      </c>
      <c r="Q425" t="s">
        <v>27</v>
      </c>
      <c r="R425" t="s">
        <v>28</v>
      </c>
    </row>
    <row r="426" spans="1:18">
      <c r="A426">
        <v>425</v>
      </c>
      <c r="B426" t="s">
        <v>512</v>
      </c>
      <c r="C426" t="s">
        <v>102</v>
      </c>
      <c r="D426" t="s">
        <v>22</v>
      </c>
      <c r="E426" t="s">
        <v>244</v>
      </c>
      <c r="F426">
        <v>0</v>
      </c>
      <c r="G426">
        <v>19</v>
      </c>
      <c r="H426">
        <v>0</v>
      </c>
      <c r="I426" t="s">
        <v>24</v>
      </c>
      <c r="J426" t="s">
        <v>25</v>
      </c>
      <c r="K426">
        <v>0</v>
      </c>
      <c r="L426">
        <v>0</v>
      </c>
      <c r="M426" t="s">
        <v>25</v>
      </c>
      <c r="N426" t="s">
        <v>25</v>
      </c>
      <c r="O426" t="s">
        <v>26</v>
      </c>
      <c r="P426" t="s">
        <v>25</v>
      </c>
      <c r="Q426" t="s">
        <v>27</v>
      </c>
      <c r="R426" t="s">
        <v>28</v>
      </c>
    </row>
    <row r="427" spans="1:18">
      <c r="A427">
        <v>426</v>
      </c>
      <c r="B427" t="s">
        <v>513</v>
      </c>
      <c r="C427" t="s">
        <v>102</v>
      </c>
      <c r="D427" t="s">
        <v>22</v>
      </c>
      <c r="E427" t="s">
        <v>244</v>
      </c>
      <c r="F427">
        <v>0</v>
      </c>
      <c r="G427">
        <v>19</v>
      </c>
      <c r="H427">
        <v>0</v>
      </c>
      <c r="I427" t="s">
        <v>24</v>
      </c>
      <c r="J427" t="s">
        <v>25</v>
      </c>
      <c r="K427">
        <v>0</v>
      </c>
      <c r="L427">
        <v>0</v>
      </c>
      <c r="M427" t="s">
        <v>25</v>
      </c>
      <c r="N427" t="s">
        <v>25</v>
      </c>
      <c r="O427" t="s">
        <v>26</v>
      </c>
      <c r="P427" t="s">
        <v>25</v>
      </c>
      <c r="Q427" t="s">
        <v>27</v>
      </c>
      <c r="R427" t="s">
        <v>28</v>
      </c>
    </row>
    <row r="428" spans="1:18">
      <c r="A428">
        <v>427</v>
      </c>
      <c r="B428" t="s">
        <v>514</v>
      </c>
      <c r="C428" t="s">
        <v>102</v>
      </c>
      <c r="D428" t="s">
        <v>22</v>
      </c>
      <c r="E428" t="s">
        <v>244</v>
      </c>
      <c r="F428">
        <v>0</v>
      </c>
      <c r="G428">
        <v>19</v>
      </c>
      <c r="H428">
        <v>0</v>
      </c>
      <c r="I428" t="s">
        <v>24</v>
      </c>
      <c r="J428" t="s">
        <v>25</v>
      </c>
      <c r="K428">
        <v>0</v>
      </c>
      <c r="L428">
        <v>0</v>
      </c>
      <c r="M428" t="s">
        <v>25</v>
      </c>
      <c r="N428" t="s">
        <v>25</v>
      </c>
      <c r="O428" t="s">
        <v>26</v>
      </c>
      <c r="P428" t="s">
        <v>25</v>
      </c>
      <c r="Q428" t="s">
        <v>27</v>
      </c>
      <c r="R428" t="s">
        <v>28</v>
      </c>
    </row>
    <row r="429" spans="1:18">
      <c r="A429">
        <v>428</v>
      </c>
      <c r="B429" t="s">
        <v>515</v>
      </c>
      <c r="C429" t="s">
        <v>36</v>
      </c>
      <c r="D429" t="s">
        <v>217</v>
      </c>
      <c r="E429" t="s">
        <v>244</v>
      </c>
      <c r="F429">
        <v>0</v>
      </c>
      <c r="G429">
        <v>19</v>
      </c>
      <c r="H429">
        <v>0</v>
      </c>
      <c r="I429" t="s">
        <v>24</v>
      </c>
      <c r="J429" t="s">
        <v>25</v>
      </c>
      <c r="K429">
        <v>0</v>
      </c>
      <c r="L429">
        <v>0</v>
      </c>
      <c r="M429" t="s">
        <v>25</v>
      </c>
      <c r="N429" t="s">
        <v>25</v>
      </c>
      <c r="O429" t="s">
        <v>26</v>
      </c>
      <c r="P429" t="s">
        <v>25</v>
      </c>
      <c r="Q429" t="s">
        <v>27</v>
      </c>
      <c r="R429" t="s">
        <v>28</v>
      </c>
    </row>
    <row r="430" spans="1:18">
      <c r="A430">
        <v>429</v>
      </c>
      <c r="B430" t="s">
        <v>516</v>
      </c>
      <c r="C430" t="s">
        <v>36</v>
      </c>
      <c r="D430" t="s">
        <v>217</v>
      </c>
      <c r="E430" t="s">
        <v>244</v>
      </c>
      <c r="F430">
        <v>0</v>
      </c>
      <c r="G430">
        <v>19</v>
      </c>
      <c r="H430">
        <v>0</v>
      </c>
      <c r="I430" t="s">
        <v>24</v>
      </c>
      <c r="J430" t="s">
        <v>25</v>
      </c>
      <c r="K430">
        <v>0</v>
      </c>
      <c r="L430">
        <v>0</v>
      </c>
      <c r="M430" t="s">
        <v>25</v>
      </c>
      <c r="N430" t="s">
        <v>25</v>
      </c>
      <c r="O430" t="s">
        <v>26</v>
      </c>
      <c r="P430" t="s">
        <v>25</v>
      </c>
      <c r="Q430" t="s">
        <v>27</v>
      </c>
      <c r="R430" t="s">
        <v>28</v>
      </c>
    </row>
    <row r="431" spans="1:18">
      <c r="A431">
        <v>430</v>
      </c>
      <c r="B431" t="s">
        <v>517</v>
      </c>
      <c r="C431" t="s">
        <v>36</v>
      </c>
      <c r="D431" t="s">
        <v>217</v>
      </c>
      <c r="E431" t="s">
        <v>244</v>
      </c>
      <c r="F431">
        <v>0</v>
      </c>
      <c r="G431">
        <v>19</v>
      </c>
      <c r="H431">
        <v>0</v>
      </c>
      <c r="I431" t="s">
        <v>24</v>
      </c>
      <c r="J431" t="s">
        <v>25</v>
      </c>
      <c r="K431">
        <v>0</v>
      </c>
      <c r="L431">
        <v>0</v>
      </c>
      <c r="M431" t="s">
        <v>25</v>
      </c>
      <c r="N431" t="s">
        <v>25</v>
      </c>
      <c r="O431" t="s">
        <v>26</v>
      </c>
      <c r="P431" t="s">
        <v>25</v>
      </c>
      <c r="Q431" t="s">
        <v>27</v>
      </c>
      <c r="R431" t="s">
        <v>28</v>
      </c>
    </row>
    <row r="432" spans="1:18">
      <c r="A432">
        <v>431</v>
      </c>
      <c r="B432" t="s">
        <v>518</v>
      </c>
      <c r="C432" t="s">
        <v>36</v>
      </c>
      <c r="D432" t="s">
        <v>22</v>
      </c>
      <c r="E432" t="s">
        <v>244</v>
      </c>
      <c r="F432">
        <v>0</v>
      </c>
      <c r="G432">
        <v>19</v>
      </c>
      <c r="H432">
        <v>0</v>
      </c>
      <c r="I432" t="s">
        <v>24</v>
      </c>
      <c r="J432" t="s">
        <v>25</v>
      </c>
      <c r="K432">
        <v>0</v>
      </c>
      <c r="L432">
        <v>0</v>
      </c>
      <c r="M432" t="s">
        <v>25</v>
      </c>
      <c r="N432" t="s">
        <v>25</v>
      </c>
      <c r="O432" t="s">
        <v>26</v>
      </c>
      <c r="P432" t="s">
        <v>25</v>
      </c>
      <c r="Q432" t="s">
        <v>27</v>
      </c>
      <c r="R432" t="s">
        <v>28</v>
      </c>
    </row>
    <row r="433" spans="1:20">
      <c r="A433">
        <v>432</v>
      </c>
      <c r="B433" t="s">
        <v>519</v>
      </c>
      <c r="C433" t="s">
        <v>36</v>
      </c>
      <c r="D433" t="s">
        <v>217</v>
      </c>
      <c r="E433" t="s">
        <v>244</v>
      </c>
      <c r="F433">
        <v>0</v>
      </c>
      <c r="G433">
        <v>19</v>
      </c>
      <c r="H433">
        <v>0</v>
      </c>
      <c r="I433" t="s">
        <v>24</v>
      </c>
      <c r="J433" t="s">
        <v>25</v>
      </c>
      <c r="K433">
        <v>0</v>
      </c>
      <c r="L433">
        <v>0</v>
      </c>
      <c r="M433" t="s">
        <v>25</v>
      </c>
      <c r="N433" t="s">
        <v>25</v>
      </c>
      <c r="O433" t="s">
        <v>26</v>
      </c>
      <c r="P433" t="s">
        <v>25</v>
      </c>
      <c r="Q433" t="s">
        <v>27</v>
      </c>
      <c r="R433" t="s">
        <v>28</v>
      </c>
    </row>
    <row r="434" spans="1:20">
      <c r="A434">
        <v>433</v>
      </c>
      <c r="B434" t="s">
        <v>520</v>
      </c>
      <c r="C434" t="s">
        <v>102</v>
      </c>
      <c r="D434" t="s">
        <v>283</v>
      </c>
      <c r="E434" t="s">
        <v>244</v>
      </c>
      <c r="F434">
        <v>0</v>
      </c>
      <c r="G434">
        <v>19</v>
      </c>
      <c r="H434">
        <v>0</v>
      </c>
      <c r="I434" t="s">
        <v>24</v>
      </c>
      <c r="J434" t="s">
        <v>25</v>
      </c>
      <c r="K434">
        <v>0</v>
      </c>
      <c r="L434">
        <v>0</v>
      </c>
      <c r="M434" t="s">
        <v>25</v>
      </c>
      <c r="N434" t="s">
        <v>25</v>
      </c>
      <c r="O434" t="s">
        <v>26</v>
      </c>
      <c r="P434" t="s">
        <v>25</v>
      </c>
      <c r="Q434" t="s">
        <v>27</v>
      </c>
      <c r="R434" t="s">
        <v>28</v>
      </c>
    </row>
    <row r="435" spans="1:20">
      <c r="A435">
        <v>434</v>
      </c>
      <c r="B435" t="s">
        <v>521</v>
      </c>
      <c r="C435" t="s">
        <v>102</v>
      </c>
      <c r="D435" t="s">
        <v>22</v>
      </c>
      <c r="E435" t="s">
        <v>244</v>
      </c>
      <c r="F435">
        <v>0</v>
      </c>
      <c r="G435">
        <v>19</v>
      </c>
      <c r="H435">
        <v>0</v>
      </c>
      <c r="I435" t="s">
        <v>24</v>
      </c>
      <c r="J435" t="s">
        <v>25</v>
      </c>
      <c r="K435">
        <v>0</v>
      </c>
      <c r="L435">
        <v>0</v>
      </c>
      <c r="M435" t="s">
        <v>25</v>
      </c>
      <c r="N435" t="s">
        <v>25</v>
      </c>
      <c r="O435" t="s">
        <v>26</v>
      </c>
      <c r="P435" t="s">
        <v>25</v>
      </c>
      <c r="Q435" t="s">
        <v>27</v>
      </c>
      <c r="R435" t="s">
        <v>28</v>
      </c>
    </row>
    <row r="436" spans="1:20">
      <c r="A436">
        <v>435</v>
      </c>
      <c r="B436" t="s">
        <v>522</v>
      </c>
      <c r="C436" t="s">
        <v>102</v>
      </c>
      <c r="D436" t="s">
        <v>22</v>
      </c>
      <c r="E436" t="s">
        <v>244</v>
      </c>
      <c r="F436">
        <v>0</v>
      </c>
      <c r="G436">
        <v>19</v>
      </c>
      <c r="H436">
        <v>0</v>
      </c>
      <c r="I436" t="s">
        <v>24</v>
      </c>
      <c r="J436" t="s">
        <v>25</v>
      </c>
      <c r="K436">
        <v>0</v>
      </c>
      <c r="L436">
        <v>0</v>
      </c>
      <c r="M436" t="s">
        <v>25</v>
      </c>
      <c r="N436" t="s">
        <v>25</v>
      </c>
      <c r="O436" t="s">
        <v>26</v>
      </c>
      <c r="P436" t="s">
        <v>25</v>
      </c>
      <c r="Q436" t="s">
        <v>27</v>
      </c>
      <c r="R436" t="s">
        <v>28</v>
      </c>
    </row>
    <row r="437" spans="1:20">
      <c r="A437">
        <v>436</v>
      </c>
      <c r="B437" t="s">
        <v>523</v>
      </c>
      <c r="C437" t="s">
        <v>36</v>
      </c>
      <c r="D437" t="s">
        <v>217</v>
      </c>
      <c r="E437" t="s">
        <v>244</v>
      </c>
      <c r="F437">
        <v>0</v>
      </c>
      <c r="G437">
        <v>19</v>
      </c>
      <c r="H437">
        <v>0</v>
      </c>
      <c r="I437" t="s">
        <v>24</v>
      </c>
      <c r="J437" t="s">
        <v>25</v>
      </c>
      <c r="K437">
        <v>0</v>
      </c>
      <c r="L437">
        <v>0</v>
      </c>
      <c r="M437" t="s">
        <v>25</v>
      </c>
      <c r="N437" t="s">
        <v>25</v>
      </c>
      <c r="O437" t="s">
        <v>26</v>
      </c>
      <c r="P437" t="s">
        <v>25</v>
      </c>
      <c r="Q437" t="s">
        <v>27</v>
      </c>
      <c r="R437" t="s">
        <v>28</v>
      </c>
    </row>
    <row r="438" spans="1:20">
      <c r="A438">
        <v>437</v>
      </c>
      <c r="B438" t="s">
        <v>524</v>
      </c>
      <c r="C438" t="s">
        <v>36</v>
      </c>
      <c r="D438" t="s">
        <v>217</v>
      </c>
      <c r="E438" t="s">
        <v>244</v>
      </c>
      <c r="F438">
        <v>0</v>
      </c>
      <c r="G438">
        <v>19</v>
      </c>
      <c r="H438">
        <v>0</v>
      </c>
      <c r="I438" t="s">
        <v>24</v>
      </c>
      <c r="J438" t="s">
        <v>25</v>
      </c>
      <c r="K438">
        <v>0</v>
      </c>
      <c r="L438">
        <v>0</v>
      </c>
      <c r="M438" t="s">
        <v>25</v>
      </c>
      <c r="N438" t="s">
        <v>25</v>
      </c>
      <c r="O438" t="s">
        <v>26</v>
      </c>
      <c r="P438" t="s">
        <v>25</v>
      </c>
      <c r="Q438" t="s">
        <v>27</v>
      </c>
      <c r="R438" t="s">
        <v>28</v>
      </c>
    </row>
    <row r="439" spans="1:20">
      <c r="A439">
        <v>438</v>
      </c>
      <c r="B439" t="s">
        <v>525</v>
      </c>
      <c r="C439" t="s">
        <v>36</v>
      </c>
      <c r="D439" t="s">
        <v>217</v>
      </c>
      <c r="E439" t="s">
        <v>244</v>
      </c>
      <c r="F439">
        <v>0</v>
      </c>
      <c r="G439">
        <v>19</v>
      </c>
      <c r="H439">
        <v>0</v>
      </c>
      <c r="I439" t="s">
        <v>24</v>
      </c>
      <c r="J439" t="s">
        <v>25</v>
      </c>
      <c r="K439">
        <v>0</v>
      </c>
      <c r="L439">
        <v>0</v>
      </c>
      <c r="M439" t="s">
        <v>25</v>
      </c>
      <c r="N439" t="s">
        <v>25</v>
      </c>
      <c r="O439" t="s">
        <v>26</v>
      </c>
      <c r="P439" t="s">
        <v>25</v>
      </c>
      <c r="Q439" t="s">
        <v>27</v>
      </c>
      <c r="R439" t="s">
        <v>28</v>
      </c>
    </row>
    <row r="440" spans="1:20">
      <c r="A440">
        <v>439</v>
      </c>
      <c r="B440" t="s">
        <v>526</v>
      </c>
      <c r="C440" t="s">
        <v>36</v>
      </c>
      <c r="D440" t="s">
        <v>217</v>
      </c>
      <c r="E440" t="s">
        <v>244</v>
      </c>
      <c r="F440">
        <v>0</v>
      </c>
      <c r="G440">
        <v>19</v>
      </c>
      <c r="H440">
        <v>0</v>
      </c>
      <c r="I440" t="s">
        <v>24</v>
      </c>
      <c r="J440" t="s">
        <v>25</v>
      </c>
      <c r="K440">
        <v>0</v>
      </c>
      <c r="L440">
        <v>0</v>
      </c>
      <c r="M440" t="s">
        <v>25</v>
      </c>
      <c r="N440" t="s">
        <v>25</v>
      </c>
      <c r="O440" t="s">
        <v>26</v>
      </c>
      <c r="P440" t="s">
        <v>25</v>
      </c>
      <c r="Q440" t="s">
        <v>27</v>
      </c>
      <c r="R440" t="s">
        <v>28</v>
      </c>
    </row>
    <row r="441" spans="1:20">
      <c r="A441">
        <v>440</v>
      </c>
      <c r="B441" t="s">
        <v>527</v>
      </c>
      <c r="C441" t="s">
        <v>102</v>
      </c>
      <c r="D441" t="s">
        <v>22</v>
      </c>
      <c r="E441" t="s">
        <v>244</v>
      </c>
      <c r="F441">
        <v>0</v>
      </c>
      <c r="G441">
        <v>19</v>
      </c>
      <c r="H441">
        <v>0</v>
      </c>
      <c r="I441" t="s">
        <v>24</v>
      </c>
      <c r="J441" t="s">
        <v>25</v>
      </c>
      <c r="K441">
        <v>0</v>
      </c>
      <c r="L441">
        <v>0</v>
      </c>
      <c r="M441" t="s">
        <v>25</v>
      </c>
      <c r="N441" t="s">
        <v>25</v>
      </c>
      <c r="O441" t="s">
        <v>26</v>
      </c>
      <c r="P441" t="s">
        <v>25</v>
      </c>
      <c r="Q441" t="s">
        <v>27</v>
      </c>
      <c r="R441" t="s">
        <v>28</v>
      </c>
    </row>
    <row r="442" spans="1:20">
      <c r="A442">
        <v>441</v>
      </c>
      <c r="B442" t="s">
        <v>528</v>
      </c>
      <c r="C442" t="s">
        <v>102</v>
      </c>
      <c r="D442" t="s">
        <v>22</v>
      </c>
      <c r="E442" t="s">
        <v>244</v>
      </c>
      <c r="F442">
        <v>0</v>
      </c>
      <c r="G442">
        <v>19</v>
      </c>
      <c r="H442">
        <v>0</v>
      </c>
      <c r="I442" t="s">
        <v>24</v>
      </c>
      <c r="J442" t="s">
        <v>25</v>
      </c>
      <c r="K442">
        <v>0</v>
      </c>
      <c r="L442">
        <v>0</v>
      </c>
      <c r="M442" t="s">
        <v>25</v>
      </c>
      <c r="N442" t="s">
        <v>25</v>
      </c>
      <c r="O442" t="s">
        <v>26</v>
      </c>
      <c r="P442" t="s">
        <v>25</v>
      </c>
      <c r="Q442" t="s">
        <v>27</v>
      </c>
      <c r="R442" t="s">
        <v>28</v>
      </c>
    </row>
    <row r="443" spans="1:20">
      <c r="A443">
        <v>442</v>
      </c>
      <c r="B443" t="s">
        <v>529</v>
      </c>
      <c r="C443" t="s">
        <v>102</v>
      </c>
      <c r="D443" t="s">
        <v>22</v>
      </c>
      <c r="E443" t="s">
        <v>244</v>
      </c>
      <c r="F443">
        <v>0</v>
      </c>
      <c r="G443">
        <v>19</v>
      </c>
      <c r="H443">
        <v>0</v>
      </c>
      <c r="I443" t="s">
        <v>24</v>
      </c>
      <c r="J443" t="s">
        <v>25</v>
      </c>
      <c r="K443">
        <v>0</v>
      </c>
      <c r="L443">
        <v>0</v>
      </c>
      <c r="M443" t="s">
        <v>25</v>
      </c>
      <c r="N443" t="s">
        <v>25</v>
      </c>
      <c r="O443" t="s">
        <v>26</v>
      </c>
      <c r="P443" t="s">
        <v>25</v>
      </c>
      <c r="Q443" t="s">
        <v>27</v>
      </c>
      <c r="R443" t="s">
        <v>28</v>
      </c>
    </row>
    <row r="444" spans="1:20">
      <c r="A444">
        <v>443</v>
      </c>
      <c r="B444" t="s">
        <v>530</v>
      </c>
      <c r="C444" t="s">
        <v>36</v>
      </c>
      <c r="D444" t="s">
        <v>22</v>
      </c>
      <c r="E444" t="s">
        <v>244</v>
      </c>
      <c r="F444">
        <v>0</v>
      </c>
      <c r="G444">
        <v>19</v>
      </c>
      <c r="H444">
        <v>0</v>
      </c>
      <c r="I444" t="s">
        <v>24</v>
      </c>
      <c r="J444" t="s">
        <v>25</v>
      </c>
      <c r="K444">
        <v>0</v>
      </c>
      <c r="L444">
        <v>0</v>
      </c>
      <c r="M444" t="s">
        <v>25</v>
      </c>
      <c r="N444" t="s">
        <v>25</v>
      </c>
      <c r="O444" t="s">
        <v>26</v>
      </c>
      <c r="P444" t="s">
        <v>25</v>
      </c>
      <c r="Q444" t="s">
        <v>27</v>
      </c>
      <c r="R444" t="s">
        <v>28</v>
      </c>
    </row>
    <row r="445" spans="1:20">
      <c r="A445">
        <v>444</v>
      </c>
      <c r="B445" t="s">
        <v>531</v>
      </c>
      <c r="C445" t="s">
        <v>102</v>
      </c>
      <c r="D445" t="s">
        <v>283</v>
      </c>
      <c r="E445" t="s">
        <v>244</v>
      </c>
      <c r="F445">
        <v>0</v>
      </c>
      <c r="G445">
        <v>19</v>
      </c>
      <c r="H445">
        <v>0</v>
      </c>
      <c r="I445" t="s">
        <v>532</v>
      </c>
      <c r="J445" t="s">
        <v>25</v>
      </c>
      <c r="K445">
        <v>0</v>
      </c>
      <c r="L445">
        <v>0</v>
      </c>
      <c r="M445" t="s">
        <v>25</v>
      </c>
      <c r="N445" t="s">
        <v>25</v>
      </c>
      <c r="O445" t="s">
        <v>26</v>
      </c>
      <c r="P445" t="s">
        <v>25</v>
      </c>
      <c r="Q445" t="s">
        <v>27</v>
      </c>
      <c r="R445" t="s">
        <v>28</v>
      </c>
      <c r="S445" t="s">
        <v>51</v>
      </c>
      <c r="T445" t="s">
        <v>411</v>
      </c>
    </row>
    <row r="446" spans="1:20">
      <c r="A446">
        <v>445</v>
      </c>
      <c r="B446" t="s">
        <v>533</v>
      </c>
      <c r="C446" t="s">
        <v>102</v>
      </c>
      <c r="D446" t="s">
        <v>22</v>
      </c>
      <c r="E446" t="s">
        <v>244</v>
      </c>
      <c r="F446">
        <v>0</v>
      </c>
      <c r="G446">
        <v>19</v>
      </c>
      <c r="H446">
        <v>0</v>
      </c>
      <c r="I446" t="s">
        <v>24</v>
      </c>
      <c r="J446" t="s">
        <v>25</v>
      </c>
      <c r="K446">
        <v>0</v>
      </c>
      <c r="L446">
        <v>0</v>
      </c>
      <c r="M446" t="s">
        <v>25</v>
      </c>
      <c r="N446" t="s">
        <v>25</v>
      </c>
      <c r="O446" t="s">
        <v>26</v>
      </c>
      <c r="P446" t="s">
        <v>25</v>
      </c>
      <c r="Q446" t="s">
        <v>27</v>
      </c>
      <c r="R446" t="s">
        <v>28</v>
      </c>
    </row>
    <row r="447" spans="1:20">
      <c r="A447">
        <v>446</v>
      </c>
      <c r="B447" t="s">
        <v>534</v>
      </c>
      <c r="C447" t="s">
        <v>102</v>
      </c>
      <c r="D447" t="s">
        <v>22</v>
      </c>
      <c r="E447" t="s">
        <v>244</v>
      </c>
      <c r="F447">
        <v>0</v>
      </c>
      <c r="G447">
        <v>19</v>
      </c>
      <c r="H447">
        <v>0</v>
      </c>
      <c r="I447" t="s">
        <v>24</v>
      </c>
      <c r="J447" t="s">
        <v>25</v>
      </c>
      <c r="K447">
        <v>0</v>
      </c>
      <c r="L447">
        <v>0</v>
      </c>
      <c r="M447" t="s">
        <v>25</v>
      </c>
      <c r="N447" t="s">
        <v>25</v>
      </c>
      <c r="O447" t="s">
        <v>26</v>
      </c>
      <c r="P447" t="s">
        <v>25</v>
      </c>
      <c r="Q447" t="s">
        <v>27</v>
      </c>
      <c r="R447" t="s">
        <v>28</v>
      </c>
    </row>
    <row r="448" spans="1:20">
      <c r="A448">
        <v>447</v>
      </c>
      <c r="B448" t="s">
        <v>535</v>
      </c>
      <c r="C448" t="s">
        <v>102</v>
      </c>
      <c r="D448" t="s">
        <v>22</v>
      </c>
      <c r="E448" t="s">
        <v>244</v>
      </c>
      <c r="F448">
        <v>0</v>
      </c>
      <c r="G448">
        <v>19</v>
      </c>
      <c r="H448">
        <v>0</v>
      </c>
      <c r="I448" t="s">
        <v>24</v>
      </c>
      <c r="J448" t="s">
        <v>25</v>
      </c>
      <c r="K448">
        <v>0</v>
      </c>
      <c r="L448">
        <v>0</v>
      </c>
      <c r="M448" t="s">
        <v>25</v>
      </c>
      <c r="N448" t="s">
        <v>25</v>
      </c>
      <c r="O448" t="s">
        <v>26</v>
      </c>
      <c r="P448" t="s">
        <v>25</v>
      </c>
      <c r="Q448" t="s">
        <v>27</v>
      </c>
      <c r="R448" t="s">
        <v>28</v>
      </c>
    </row>
    <row r="449" spans="1:18">
      <c r="A449">
        <v>448</v>
      </c>
      <c r="B449" t="s">
        <v>536</v>
      </c>
      <c r="C449" t="s">
        <v>102</v>
      </c>
      <c r="D449" t="s">
        <v>22</v>
      </c>
      <c r="E449" t="s">
        <v>244</v>
      </c>
      <c r="F449">
        <v>0</v>
      </c>
      <c r="G449">
        <v>19</v>
      </c>
      <c r="H449">
        <v>0</v>
      </c>
      <c r="I449" t="s">
        <v>24</v>
      </c>
      <c r="J449" t="s">
        <v>25</v>
      </c>
      <c r="K449">
        <v>0</v>
      </c>
      <c r="L449">
        <v>0</v>
      </c>
      <c r="M449" t="s">
        <v>25</v>
      </c>
      <c r="N449" t="s">
        <v>25</v>
      </c>
      <c r="O449" t="s">
        <v>26</v>
      </c>
      <c r="P449" t="s">
        <v>25</v>
      </c>
      <c r="Q449" t="s">
        <v>27</v>
      </c>
      <c r="R449" t="s">
        <v>28</v>
      </c>
    </row>
    <row r="450" spans="1:18">
      <c r="A450">
        <v>449</v>
      </c>
      <c r="B450" t="s">
        <v>537</v>
      </c>
      <c r="C450" t="s">
        <v>102</v>
      </c>
      <c r="D450" t="s">
        <v>22</v>
      </c>
      <c r="E450" t="s">
        <v>244</v>
      </c>
      <c r="F450">
        <v>0</v>
      </c>
      <c r="G450">
        <v>19</v>
      </c>
      <c r="H450">
        <v>0</v>
      </c>
      <c r="I450" t="s">
        <v>24</v>
      </c>
      <c r="J450" t="s">
        <v>25</v>
      </c>
      <c r="K450">
        <v>0</v>
      </c>
      <c r="L450">
        <v>0</v>
      </c>
      <c r="M450" t="s">
        <v>25</v>
      </c>
      <c r="N450" t="s">
        <v>25</v>
      </c>
      <c r="O450" t="s">
        <v>26</v>
      </c>
      <c r="P450" t="s">
        <v>25</v>
      </c>
      <c r="Q450" t="s">
        <v>27</v>
      </c>
      <c r="R450" t="s">
        <v>28</v>
      </c>
    </row>
    <row r="451" spans="1:18">
      <c r="A451">
        <v>450</v>
      </c>
      <c r="B451" t="s">
        <v>538</v>
      </c>
      <c r="C451" t="s">
        <v>102</v>
      </c>
      <c r="D451" t="s">
        <v>22</v>
      </c>
      <c r="E451" t="s">
        <v>244</v>
      </c>
      <c r="F451">
        <v>0</v>
      </c>
      <c r="G451">
        <v>19</v>
      </c>
      <c r="H451">
        <v>0</v>
      </c>
      <c r="I451" t="s">
        <v>24</v>
      </c>
      <c r="J451" t="s">
        <v>25</v>
      </c>
      <c r="K451">
        <v>0</v>
      </c>
      <c r="L451">
        <v>0</v>
      </c>
      <c r="M451" t="s">
        <v>25</v>
      </c>
      <c r="N451" t="s">
        <v>25</v>
      </c>
      <c r="O451" t="s">
        <v>26</v>
      </c>
      <c r="P451" t="s">
        <v>25</v>
      </c>
      <c r="Q451" t="s">
        <v>27</v>
      </c>
      <c r="R451" t="s">
        <v>28</v>
      </c>
    </row>
    <row r="452" spans="1:18">
      <c r="A452">
        <v>451</v>
      </c>
      <c r="B452" t="s">
        <v>539</v>
      </c>
      <c r="C452" t="s">
        <v>36</v>
      </c>
      <c r="D452" t="s">
        <v>217</v>
      </c>
      <c r="E452" t="s">
        <v>244</v>
      </c>
      <c r="F452">
        <v>0</v>
      </c>
      <c r="G452">
        <v>19</v>
      </c>
      <c r="H452">
        <v>0</v>
      </c>
      <c r="I452" t="s">
        <v>24</v>
      </c>
      <c r="J452" t="s">
        <v>25</v>
      </c>
      <c r="K452">
        <v>0</v>
      </c>
      <c r="L452">
        <v>0</v>
      </c>
      <c r="M452" t="s">
        <v>25</v>
      </c>
      <c r="N452" t="s">
        <v>25</v>
      </c>
      <c r="O452" t="s">
        <v>26</v>
      </c>
      <c r="P452" t="s">
        <v>25</v>
      </c>
      <c r="Q452" t="s">
        <v>27</v>
      </c>
      <c r="R452" t="s">
        <v>28</v>
      </c>
    </row>
    <row r="453" spans="1:18">
      <c r="A453">
        <v>452</v>
      </c>
      <c r="B453" t="s">
        <v>540</v>
      </c>
      <c r="C453" t="s">
        <v>36</v>
      </c>
      <c r="D453" t="s">
        <v>217</v>
      </c>
      <c r="E453" t="s">
        <v>244</v>
      </c>
      <c r="F453">
        <v>0</v>
      </c>
      <c r="G453">
        <v>19</v>
      </c>
      <c r="H453">
        <v>0</v>
      </c>
      <c r="I453" t="s">
        <v>24</v>
      </c>
      <c r="J453" t="s">
        <v>25</v>
      </c>
      <c r="K453">
        <v>0</v>
      </c>
      <c r="L453">
        <v>0</v>
      </c>
      <c r="M453" t="s">
        <v>25</v>
      </c>
      <c r="N453" t="s">
        <v>25</v>
      </c>
      <c r="O453" t="s">
        <v>26</v>
      </c>
      <c r="P453" t="s">
        <v>25</v>
      </c>
      <c r="Q453" t="s">
        <v>27</v>
      </c>
      <c r="R453" t="s">
        <v>28</v>
      </c>
    </row>
    <row r="454" spans="1:18">
      <c r="A454">
        <v>453</v>
      </c>
      <c r="B454" t="s">
        <v>541</v>
      </c>
      <c r="C454" t="s">
        <v>36</v>
      </c>
      <c r="D454" t="s">
        <v>217</v>
      </c>
      <c r="E454" t="s">
        <v>244</v>
      </c>
      <c r="F454">
        <v>0</v>
      </c>
      <c r="G454">
        <v>19</v>
      </c>
      <c r="H454">
        <v>0</v>
      </c>
      <c r="I454" t="s">
        <v>24</v>
      </c>
      <c r="J454" t="s">
        <v>25</v>
      </c>
      <c r="K454">
        <v>0</v>
      </c>
      <c r="L454">
        <v>0</v>
      </c>
      <c r="M454" t="s">
        <v>25</v>
      </c>
      <c r="N454" t="s">
        <v>25</v>
      </c>
      <c r="O454" t="s">
        <v>26</v>
      </c>
      <c r="P454" t="s">
        <v>25</v>
      </c>
      <c r="Q454" t="s">
        <v>27</v>
      </c>
      <c r="R454" t="s">
        <v>28</v>
      </c>
    </row>
    <row r="455" spans="1:18">
      <c r="A455">
        <v>454</v>
      </c>
      <c r="B455" t="s">
        <v>542</v>
      </c>
      <c r="C455" t="s">
        <v>102</v>
      </c>
      <c r="D455" t="s">
        <v>22</v>
      </c>
      <c r="E455" t="s">
        <v>244</v>
      </c>
      <c r="F455">
        <v>0</v>
      </c>
      <c r="G455">
        <v>19</v>
      </c>
      <c r="H455">
        <v>0</v>
      </c>
      <c r="I455" t="s">
        <v>24</v>
      </c>
      <c r="J455" t="s">
        <v>25</v>
      </c>
      <c r="K455">
        <v>0</v>
      </c>
      <c r="L455">
        <v>0</v>
      </c>
      <c r="M455" t="s">
        <v>25</v>
      </c>
      <c r="N455" t="s">
        <v>25</v>
      </c>
      <c r="O455" t="s">
        <v>26</v>
      </c>
      <c r="P455" t="s">
        <v>25</v>
      </c>
      <c r="Q455" t="s">
        <v>27</v>
      </c>
      <c r="R455" t="s">
        <v>28</v>
      </c>
    </row>
    <row r="456" spans="1:18">
      <c r="A456">
        <v>455</v>
      </c>
      <c r="B456" t="s">
        <v>543</v>
      </c>
      <c r="C456" t="s">
        <v>102</v>
      </c>
      <c r="D456" t="s">
        <v>22</v>
      </c>
      <c r="E456" t="s">
        <v>244</v>
      </c>
      <c r="F456">
        <v>0</v>
      </c>
      <c r="G456">
        <v>19</v>
      </c>
      <c r="H456">
        <v>0</v>
      </c>
      <c r="I456" t="s">
        <v>24</v>
      </c>
      <c r="J456" t="s">
        <v>25</v>
      </c>
      <c r="K456">
        <v>0</v>
      </c>
      <c r="L456">
        <v>0</v>
      </c>
      <c r="M456" t="s">
        <v>25</v>
      </c>
      <c r="N456" t="s">
        <v>25</v>
      </c>
      <c r="O456" t="s">
        <v>26</v>
      </c>
      <c r="P456" t="s">
        <v>25</v>
      </c>
      <c r="Q456" t="s">
        <v>27</v>
      </c>
      <c r="R456" t="s">
        <v>28</v>
      </c>
    </row>
    <row r="457" spans="1:18">
      <c r="A457">
        <v>456</v>
      </c>
      <c r="B457" t="s">
        <v>544</v>
      </c>
      <c r="C457" t="s">
        <v>102</v>
      </c>
      <c r="D457" t="s">
        <v>22</v>
      </c>
      <c r="E457" t="s">
        <v>244</v>
      </c>
      <c r="F457">
        <v>0</v>
      </c>
      <c r="G457">
        <v>19</v>
      </c>
      <c r="H457">
        <v>0</v>
      </c>
      <c r="I457" t="s">
        <v>24</v>
      </c>
      <c r="J457" t="s">
        <v>25</v>
      </c>
      <c r="K457">
        <v>0</v>
      </c>
      <c r="L457">
        <v>0</v>
      </c>
      <c r="M457" t="s">
        <v>25</v>
      </c>
      <c r="N457" t="s">
        <v>25</v>
      </c>
      <c r="O457" t="s">
        <v>26</v>
      </c>
      <c r="P457" t="s">
        <v>25</v>
      </c>
      <c r="Q457" t="s">
        <v>27</v>
      </c>
      <c r="R457" t="s">
        <v>28</v>
      </c>
    </row>
    <row r="458" spans="1:18">
      <c r="A458">
        <v>457</v>
      </c>
      <c r="B458" t="s">
        <v>545</v>
      </c>
      <c r="C458" t="s">
        <v>102</v>
      </c>
      <c r="D458" t="s">
        <v>22</v>
      </c>
      <c r="E458" t="s">
        <v>244</v>
      </c>
      <c r="F458">
        <v>0</v>
      </c>
      <c r="G458">
        <v>19</v>
      </c>
      <c r="H458">
        <v>0</v>
      </c>
      <c r="I458" t="s">
        <v>24</v>
      </c>
      <c r="J458" t="s">
        <v>25</v>
      </c>
      <c r="K458">
        <v>0</v>
      </c>
      <c r="L458">
        <v>0</v>
      </c>
      <c r="M458" t="s">
        <v>25</v>
      </c>
      <c r="N458" t="s">
        <v>25</v>
      </c>
      <c r="O458" t="s">
        <v>26</v>
      </c>
      <c r="P458" t="s">
        <v>25</v>
      </c>
      <c r="Q458" t="s">
        <v>27</v>
      </c>
      <c r="R458" t="s">
        <v>28</v>
      </c>
    </row>
    <row r="459" spans="1:18">
      <c r="A459">
        <v>458</v>
      </c>
      <c r="B459" t="s">
        <v>546</v>
      </c>
      <c r="C459" t="s">
        <v>36</v>
      </c>
      <c r="D459" t="s">
        <v>217</v>
      </c>
      <c r="E459" t="s">
        <v>244</v>
      </c>
      <c r="F459">
        <v>0</v>
      </c>
      <c r="G459">
        <v>19</v>
      </c>
      <c r="H459">
        <v>0</v>
      </c>
      <c r="I459" t="s">
        <v>24</v>
      </c>
      <c r="J459" t="s">
        <v>25</v>
      </c>
      <c r="K459">
        <v>0</v>
      </c>
      <c r="L459">
        <v>0</v>
      </c>
      <c r="M459" t="s">
        <v>25</v>
      </c>
      <c r="N459" t="s">
        <v>25</v>
      </c>
      <c r="O459" t="s">
        <v>26</v>
      </c>
      <c r="P459" t="s">
        <v>25</v>
      </c>
      <c r="Q459" t="s">
        <v>27</v>
      </c>
      <c r="R459" t="s">
        <v>28</v>
      </c>
    </row>
    <row r="460" spans="1:18">
      <c r="A460">
        <v>459</v>
      </c>
      <c r="B460" t="s">
        <v>547</v>
      </c>
      <c r="C460" t="s">
        <v>102</v>
      </c>
      <c r="D460" t="s">
        <v>22</v>
      </c>
      <c r="E460" t="s">
        <v>244</v>
      </c>
      <c r="F460">
        <v>0</v>
      </c>
      <c r="G460">
        <v>19</v>
      </c>
      <c r="H460">
        <v>0</v>
      </c>
      <c r="I460" t="s">
        <v>24</v>
      </c>
      <c r="J460" t="s">
        <v>25</v>
      </c>
      <c r="K460">
        <v>0</v>
      </c>
      <c r="L460">
        <v>0</v>
      </c>
      <c r="M460" t="s">
        <v>25</v>
      </c>
      <c r="N460" t="s">
        <v>25</v>
      </c>
      <c r="O460" t="s">
        <v>26</v>
      </c>
      <c r="P460" t="s">
        <v>25</v>
      </c>
      <c r="Q460" t="s">
        <v>27</v>
      </c>
      <c r="R460" t="s">
        <v>28</v>
      </c>
    </row>
    <row r="461" spans="1:18">
      <c r="A461">
        <v>460</v>
      </c>
      <c r="B461" t="s">
        <v>548</v>
      </c>
      <c r="C461" t="s">
        <v>36</v>
      </c>
      <c r="D461" t="s">
        <v>217</v>
      </c>
      <c r="E461" t="s">
        <v>244</v>
      </c>
      <c r="F461">
        <v>0</v>
      </c>
      <c r="G461">
        <v>19</v>
      </c>
      <c r="H461">
        <v>0</v>
      </c>
      <c r="I461" t="s">
        <v>24</v>
      </c>
      <c r="J461" t="s">
        <v>25</v>
      </c>
      <c r="K461">
        <v>0</v>
      </c>
      <c r="L461">
        <v>0</v>
      </c>
      <c r="M461" t="s">
        <v>25</v>
      </c>
      <c r="N461" t="s">
        <v>25</v>
      </c>
      <c r="O461" t="s">
        <v>26</v>
      </c>
      <c r="P461" t="s">
        <v>25</v>
      </c>
      <c r="Q461" t="s">
        <v>27</v>
      </c>
      <c r="R461" t="s">
        <v>28</v>
      </c>
    </row>
    <row r="462" spans="1:18">
      <c r="A462">
        <v>461</v>
      </c>
      <c r="B462" t="s">
        <v>549</v>
      </c>
      <c r="C462" t="s">
        <v>102</v>
      </c>
      <c r="D462" t="s">
        <v>283</v>
      </c>
      <c r="E462" t="s">
        <v>244</v>
      </c>
      <c r="F462">
        <v>0</v>
      </c>
      <c r="G462">
        <v>19</v>
      </c>
      <c r="H462">
        <v>0</v>
      </c>
      <c r="I462" t="s">
        <v>24</v>
      </c>
      <c r="J462" t="s">
        <v>25</v>
      </c>
      <c r="K462">
        <v>0</v>
      </c>
      <c r="L462">
        <v>0</v>
      </c>
      <c r="M462" t="s">
        <v>25</v>
      </c>
      <c r="N462" t="s">
        <v>25</v>
      </c>
      <c r="O462" t="s">
        <v>26</v>
      </c>
      <c r="P462" t="s">
        <v>25</v>
      </c>
      <c r="Q462" t="s">
        <v>27</v>
      </c>
      <c r="R462" t="s">
        <v>28</v>
      </c>
    </row>
    <row r="463" spans="1:18">
      <c r="A463">
        <v>462</v>
      </c>
      <c r="B463" t="s">
        <v>550</v>
      </c>
      <c r="C463" t="s">
        <v>36</v>
      </c>
      <c r="D463" t="s">
        <v>217</v>
      </c>
      <c r="E463" t="s">
        <v>244</v>
      </c>
      <c r="F463">
        <v>0</v>
      </c>
      <c r="G463">
        <v>19</v>
      </c>
      <c r="H463">
        <v>0</v>
      </c>
      <c r="I463" t="s">
        <v>24</v>
      </c>
      <c r="J463" t="s">
        <v>25</v>
      </c>
      <c r="K463">
        <v>0</v>
      </c>
      <c r="L463">
        <v>0</v>
      </c>
      <c r="M463" t="s">
        <v>25</v>
      </c>
      <c r="N463" t="s">
        <v>25</v>
      </c>
      <c r="O463" t="s">
        <v>26</v>
      </c>
      <c r="P463" t="s">
        <v>25</v>
      </c>
      <c r="Q463" t="s">
        <v>27</v>
      </c>
      <c r="R463" t="s">
        <v>28</v>
      </c>
    </row>
    <row r="464" spans="1:18">
      <c r="A464">
        <v>463</v>
      </c>
      <c r="B464" t="s">
        <v>551</v>
      </c>
      <c r="C464" t="s">
        <v>102</v>
      </c>
      <c r="D464" t="s">
        <v>22</v>
      </c>
      <c r="E464" t="s">
        <v>244</v>
      </c>
      <c r="F464">
        <v>0</v>
      </c>
      <c r="G464">
        <v>19</v>
      </c>
      <c r="H464">
        <v>0</v>
      </c>
      <c r="I464" t="s">
        <v>24</v>
      </c>
      <c r="J464" t="s">
        <v>25</v>
      </c>
      <c r="K464">
        <v>0</v>
      </c>
      <c r="L464">
        <v>0</v>
      </c>
      <c r="M464" t="s">
        <v>25</v>
      </c>
      <c r="N464" t="s">
        <v>25</v>
      </c>
      <c r="O464" t="s">
        <v>26</v>
      </c>
      <c r="P464" t="s">
        <v>25</v>
      </c>
      <c r="Q464" t="s">
        <v>27</v>
      </c>
      <c r="R464" t="s">
        <v>28</v>
      </c>
    </row>
    <row r="465" spans="1:20">
      <c r="A465">
        <v>464</v>
      </c>
      <c r="B465" t="s">
        <v>552</v>
      </c>
      <c r="C465" t="s">
        <v>102</v>
      </c>
      <c r="D465" t="s">
        <v>22</v>
      </c>
      <c r="E465" t="s">
        <v>244</v>
      </c>
      <c r="F465">
        <v>0</v>
      </c>
      <c r="G465">
        <v>19</v>
      </c>
      <c r="H465">
        <v>0</v>
      </c>
      <c r="I465" t="s">
        <v>24</v>
      </c>
      <c r="J465" t="s">
        <v>25</v>
      </c>
      <c r="K465">
        <v>0</v>
      </c>
      <c r="L465">
        <v>0</v>
      </c>
      <c r="M465" t="s">
        <v>25</v>
      </c>
      <c r="N465" t="s">
        <v>25</v>
      </c>
      <c r="O465" t="s">
        <v>26</v>
      </c>
      <c r="P465" t="s">
        <v>25</v>
      </c>
      <c r="Q465" t="s">
        <v>27</v>
      </c>
      <c r="R465" t="s">
        <v>28</v>
      </c>
    </row>
    <row r="466" spans="1:20">
      <c r="A466">
        <v>465</v>
      </c>
      <c r="B466" t="s">
        <v>553</v>
      </c>
      <c r="C466" t="s">
        <v>21</v>
      </c>
      <c r="D466" t="s">
        <v>22</v>
      </c>
      <c r="E466" t="s">
        <v>23</v>
      </c>
      <c r="F466">
        <v>4500</v>
      </c>
      <c r="G466">
        <v>19</v>
      </c>
      <c r="H466">
        <v>5355</v>
      </c>
      <c r="I466" t="s">
        <v>24</v>
      </c>
      <c r="J466" t="s">
        <v>25</v>
      </c>
      <c r="K466">
        <v>0</v>
      </c>
      <c r="L466">
        <v>0</v>
      </c>
      <c r="M466" t="s">
        <v>25</v>
      </c>
      <c r="N466" t="s">
        <v>25</v>
      </c>
      <c r="O466" t="s">
        <v>26</v>
      </c>
      <c r="P466" t="s">
        <v>25</v>
      </c>
      <c r="Q466" t="s">
        <v>27</v>
      </c>
      <c r="R466" t="s">
        <v>28</v>
      </c>
      <c r="S466" t="s">
        <v>51</v>
      </c>
      <c r="T466" t="s">
        <v>303</v>
      </c>
    </row>
    <row r="467" spans="1:20">
      <c r="A467">
        <v>466</v>
      </c>
      <c r="B467" t="s">
        <v>554</v>
      </c>
      <c r="C467" t="s">
        <v>102</v>
      </c>
      <c r="D467" t="s">
        <v>22</v>
      </c>
      <c r="E467" t="s">
        <v>244</v>
      </c>
      <c r="F467">
        <v>0</v>
      </c>
      <c r="G467">
        <v>19</v>
      </c>
      <c r="H467">
        <v>0</v>
      </c>
      <c r="I467" t="s">
        <v>24</v>
      </c>
      <c r="J467" t="s">
        <v>25</v>
      </c>
      <c r="K467">
        <v>0</v>
      </c>
      <c r="L467">
        <v>0</v>
      </c>
      <c r="M467" t="s">
        <v>25</v>
      </c>
      <c r="N467" t="s">
        <v>25</v>
      </c>
      <c r="O467" t="s">
        <v>26</v>
      </c>
      <c r="P467" t="s">
        <v>25</v>
      </c>
      <c r="Q467" t="s">
        <v>27</v>
      </c>
      <c r="R467" t="s">
        <v>28</v>
      </c>
    </row>
    <row r="468" spans="1:20">
      <c r="A468">
        <v>467</v>
      </c>
      <c r="B468" t="s">
        <v>555</v>
      </c>
      <c r="C468" t="s">
        <v>102</v>
      </c>
      <c r="D468" t="s">
        <v>22</v>
      </c>
      <c r="E468" t="s">
        <v>244</v>
      </c>
      <c r="F468">
        <v>0</v>
      </c>
      <c r="G468">
        <v>19</v>
      </c>
      <c r="H468">
        <v>0</v>
      </c>
      <c r="I468" t="s">
        <v>24</v>
      </c>
      <c r="J468" t="s">
        <v>25</v>
      </c>
      <c r="K468">
        <v>0</v>
      </c>
      <c r="L468">
        <v>0</v>
      </c>
      <c r="M468" t="s">
        <v>25</v>
      </c>
      <c r="N468" t="s">
        <v>25</v>
      </c>
      <c r="O468" t="s">
        <v>26</v>
      </c>
      <c r="P468" t="s">
        <v>25</v>
      </c>
      <c r="Q468" t="s">
        <v>27</v>
      </c>
      <c r="R468" t="s">
        <v>28</v>
      </c>
    </row>
    <row r="469" spans="1:20">
      <c r="A469">
        <v>468</v>
      </c>
      <c r="B469" t="s">
        <v>556</v>
      </c>
      <c r="C469" t="s">
        <v>320</v>
      </c>
      <c r="D469" t="s">
        <v>217</v>
      </c>
      <c r="E469" t="s">
        <v>321</v>
      </c>
      <c r="F469">
        <v>4600000</v>
      </c>
      <c r="G469">
        <v>19</v>
      </c>
      <c r="H469">
        <v>5474000</v>
      </c>
      <c r="I469" t="s">
        <v>24</v>
      </c>
      <c r="J469" t="s">
        <v>25</v>
      </c>
      <c r="K469">
        <v>0</v>
      </c>
      <c r="L469">
        <v>0</v>
      </c>
      <c r="M469" t="s">
        <v>25</v>
      </c>
      <c r="N469" t="s">
        <v>25</v>
      </c>
      <c r="O469" t="s">
        <v>26</v>
      </c>
      <c r="P469" t="s">
        <v>25</v>
      </c>
      <c r="Q469" t="s">
        <v>27</v>
      </c>
      <c r="R469" t="s">
        <v>28</v>
      </c>
      <c r="S469" t="s">
        <v>238</v>
      </c>
      <c r="T469" t="s">
        <v>557</v>
      </c>
    </row>
    <row r="470" spans="1:20">
      <c r="A470">
        <v>469</v>
      </c>
      <c r="B470" t="s">
        <v>558</v>
      </c>
      <c r="C470" t="s">
        <v>320</v>
      </c>
      <c r="D470" t="s">
        <v>559</v>
      </c>
      <c r="E470" t="s">
        <v>321</v>
      </c>
      <c r="F470">
        <v>2300000</v>
      </c>
      <c r="G470">
        <v>19</v>
      </c>
      <c r="H470">
        <v>2737000</v>
      </c>
      <c r="I470" t="s">
        <v>24</v>
      </c>
      <c r="J470" t="s">
        <v>25</v>
      </c>
      <c r="K470">
        <v>0</v>
      </c>
      <c r="L470">
        <v>0</v>
      </c>
      <c r="M470" t="s">
        <v>25</v>
      </c>
      <c r="N470" t="s">
        <v>25</v>
      </c>
      <c r="O470" t="s">
        <v>26</v>
      </c>
      <c r="P470" t="s">
        <v>25</v>
      </c>
      <c r="Q470" t="s">
        <v>27</v>
      </c>
      <c r="R470" t="s">
        <v>28</v>
      </c>
    </row>
    <row r="471" spans="1:20">
      <c r="A471">
        <v>470</v>
      </c>
      <c r="B471" t="s">
        <v>560</v>
      </c>
      <c r="C471" t="s">
        <v>320</v>
      </c>
      <c r="D471" t="s">
        <v>217</v>
      </c>
      <c r="E471" t="s">
        <v>321</v>
      </c>
      <c r="F471">
        <v>9200000</v>
      </c>
      <c r="G471">
        <v>19</v>
      </c>
      <c r="H471">
        <v>10948000</v>
      </c>
      <c r="I471" t="s">
        <v>24</v>
      </c>
      <c r="J471" t="s">
        <v>25</v>
      </c>
      <c r="K471">
        <v>0</v>
      </c>
      <c r="L471">
        <v>0</v>
      </c>
      <c r="M471" t="s">
        <v>25</v>
      </c>
      <c r="N471" t="s">
        <v>25</v>
      </c>
      <c r="O471" t="s">
        <v>26</v>
      </c>
      <c r="P471" t="s">
        <v>25</v>
      </c>
      <c r="Q471" t="s">
        <v>27</v>
      </c>
      <c r="R471" t="s">
        <v>28</v>
      </c>
    </row>
    <row r="472" spans="1:20">
      <c r="A472">
        <v>471</v>
      </c>
      <c r="B472" t="s">
        <v>561</v>
      </c>
      <c r="C472" t="s">
        <v>320</v>
      </c>
      <c r="D472" t="s">
        <v>229</v>
      </c>
      <c r="E472" t="s">
        <v>321</v>
      </c>
      <c r="F472">
        <v>4600000</v>
      </c>
      <c r="G472">
        <v>19</v>
      </c>
      <c r="H472">
        <v>5474000</v>
      </c>
      <c r="I472" t="s">
        <v>24</v>
      </c>
      <c r="J472" t="s">
        <v>25</v>
      </c>
      <c r="K472">
        <v>0</v>
      </c>
      <c r="L472">
        <v>0</v>
      </c>
      <c r="M472" t="s">
        <v>25</v>
      </c>
      <c r="N472" t="s">
        <v>25</v>
      </c>
      <c r="O472" t="s">
        <v>26</v>
      </c>
      <c r="P472" t="s">
        <v>25</v>
      </c>
      <c r="Q472" t="s">
        <v>27</v>
      </c>
      <c r="R472" t="s">
        <v>28</v>
      </c>
    </row>
    <row r="473" spans="1:20">
      <c r="A473">
        <v>472</v>
      </c>
      <c r="B473" t="s">
        <v>562</v>
      </c>
      <c r="C473" t="s">
        <v>320</v>
      </c>
      <c r="D473" t="s">
        <v>217</v>
      </c>
      <c r="E473" t="s">
        <v>321</v>
      </c>
      <c r="F473">
        <v>6362335</v>
      </c>
      <c r="G473">
        <v>19</v>
      </c>
      <c r="H473">
        <v>7571179</v>
      </c>
      <c r="I473" t="s">
        <v>24</v>
      </c>
      <c r="J473" t="s">
        <v>25</v>
      </c>
      <c r="K473">
        <v>0</v>
      </c>
      <c r="L473">
        <v>0</v>
      </c>
      <c r="M473" t="s">
        <v>25</v>
      </c>
      <c r="N473" t="s">
        <v>25</v>
      </c>
      <c r="O473" t="s">
        <v>26</v>
      </c>
      <c r="P473" t="s">
        <v>25</v>
      </c>
      <c r="Q473" t="s">
        <v>27</v>
      </c>
      <c r="R473" t="s">
        <v>28</v>
      </c>
    </row>
    <row r="474" spans="1:20">
      <c r="A474">
        <v>473</v>
      </c>
      <c r="B474" t="s">
        <v>563</v>
      </c>
      <c r="C474" t="s">
        <v>320</v>
      </c>
      <c r="D474" t="s">
        <v>217</v>
      </c>
      <c r="E474" t="s">
        <v>321</v>
      </c>
      <c r="F474">
        <v>120000</v>
      </c>
      <c r="G474">
        <v>19</v>
      </c>
      <c r="H474">
        <v>142800</v>
      </c>
      <c r="I474" t="s">
        <v>24</v>
      </c>
      <c r="J474" t="s">
        <v>25</v>
      </c>
      <c r="K474">
        <v>0</v>
      </c>
      <c r="L474">
        <v>0</v>
      </c>
      <c r="M474" t="s">
        <v>25</v>
      </c>
      <c r="N474" t="s">
        <v>25</v>
      </c>
      <c r="O474" t="s">
        <v>26</v>
      </c>
      <c r="P474" t="s">
        <v>25</v>
      </c>
      <c r="Q474" t="s">
        <v>27</v>
      </c>
      <c r="R474" t="s">
        <v>28</v>
      </c>
    </row>
    <row r="475" spans="1:20">
      <c r="A475">
        <v>474</v>
      </c>
      <c r="B475" t="s">
        <v>564</v>
      </c>
      <c r="C475" t="s">
        <v>320</v>
      </c>
      <c r="D475" t="s">
        <v>217</v>
      </c>
      <c r="E475" t="s">
        <v>321</v>
      </c>
      <c r="F475">
        <v>16666667</v>
      </c>
      <c r="G475">
        <v>19</v>
      </c>
      <c r="H475">
        <v>19833333</v>
      </c>
      <c r="I475" t="s">
        <v>24</v>
      </c>
      <c r="J475" t="s">
        <v>25</v>
      </c>
      <c r="K475">
        <v>0</v>
      </c>
      <c r="L475">
        <v>0</v>
      </c>
      <c r="M475" t="s">
        <v>25</v>
      </c>
      <c r="N475" t="s">
        <v>25</v>
      </c>
      <c r="O475" t="s">
        <v>26</v>
      </c>
      <c r="P475" t="s">
        <v>25</v>
      </c>
      <c r="Q475" t="s">
        <v>27</v>
      </c>
      <c r="R475" t="s">
        <v>28</v>
      </c>
    </row>
    <row r="476" spans="1:20">
      <c r="A476">
        <v>475</v>
      </c>
      <c r="B476" t="s">
        <v>565</v>
      </c>
      <c r="C476" t="s">
        <v>320</v>
      </c>
      <c r="D476" t="s">
        <v>217</v>
      </c>
      <c r="E476" t="s">
        <v>321</v>
      </c>
      <c r="F476">
        <v>50000000</v>
      </c>
      <c r="G476">
        <v>19</v>
      </c>
      <c r="H476">
        <v>59500000</v>
      </c>
      <c r="I476" t="s">
        <v>24</v>
      </c>
      <c r="J476" t="s">
        <v>25</v>
      </c>
      <c r="K476">
        <v>0</v>
      </c>
      <c r="L476">
        <v>0</v>
      </c>
      <c r="M476" t="s">
        <v>25</v>
      </c>
      <c r="N476" t="s">
        <v>25</v>
      </c>
      <c r="O476" t="s">
        <v>26</v>
      </c>
      <c r="P476" t="s">
        <v>25</v>
      </c>
      <c r="Q476" t="s">
        <v>27</v>
      </c>
      <c r="R476" t="s">
        <v>28</v>
      </c>
    </row>
    <row r="477" spans="1:20">
      <c r="A477">
        <v>476</v>
      </c>
      <c r="B477" t="s">
        <v>566</v>
      </c>
      <c r="C477" t="s">
        <v>320</v>
      </c>
      <c r="D477" t="s">
        <v>217</v>
      </c>
      <c r="E477" t="s">
        <v>321</v>
      </c>
      <c r="F477">
        <v>10833333</v>
      </c>
      <c r="G477">
        <v>19</v>
      </c>
      <c r="H477">
        <v>12891667</v>
      </c>
      <c r="I477" t="s">
        <v>24</v>
      </c>
      <c r="J477" t="s">
        <v>25</v>
      </c>
      <c r="K477">
        <v>0</v>
      </c>
      <c r="L477">
        <v>0</v>
      </c>
      <c r="M477" t="s">
        <v>25</v>
      </c>
      <c r="N477" t="s">
        <v>25</v>
      </c>
      <c r="O477" t="s">
        <v>26</v>
      </c>
      <c r="P477" t="s">
        <v>25</v>
      </c>
      <c r="Q477" t="s">
        <v>27</v>
      </c>
      <c r="R477" t="s">
        <v>28</v>
      </c>
    </row>
    <row r="478" spans="1:20">
      <c r="A478">
        <v>477</v>
      </c>
      <c r="B478" t="s">
        <v>567</v>
      </c>
      <c r="C478" t="s">
        <v>320</v>
      </c>
      <c r="D478" t="s">
        <v>217</v>
      </c>
      <c r="E478" t="s">
        <v>321</v>
      </c>
      <c r="F478">
        <v>2500000</v>
      </c>
      <c r="G478">
        <v>19</v>
      </c>
      <c r="H478">
        <v>2975000</v>
      </c>
      <c r="I478" t="s">
        <v>24</v>
      </c>
      <c r="J478" t="s">
        <v>25</v>
      </c>
      <c r="K478">
        <v>0</v>
      </c>
      <c r="L478">
        <v>0</v>
      </c>
      <c r="M478" t="s">
        <v>25</v>
      </c>
      <c r="N478" t="s">
        <v>25</v>
      </c>
      <c r="O478" t="s">
        <v>26</v>
      </c>
      <c r="P478" t="s">
        <v>25</v>
      </c>
      <c r="Q478" t="s">
        <v>27</v>
      </c>
      <c r="R478" t="s">
        <v>28</v>
      </c>
      <c r="S478" t="s">
        <v>231</v>
      </c>
      <c r="T478" t="s">
        <v>568</v>
      </c>
    </row>
    <row r="479" spans="1:20">
      <c r="A479">
        <v>478</v>
      </c>
      <c r="B479" t="s">
        <v>569</v>
      </c>
      <c r="C479" t="s">
        <v>36</v>
      </c>
      <c r="D479" t="s">
        <v>217</v>
      </c>
      <c r="E479" t="s">
        <v>570</v>
      </c>
      <c r="F479">
        <v>500000</v>
      </c>
      <c r="G479">
        <v>19</v>
      </c>
      <c r="H479">
        <v>595000</v>
      </c>
      <c r="I479" t="s">
        <v>24</v>
      </c>
      <c r="J479" t="s">
        <v>25</v>
      </c>
      <c r="K479">
        <v>0</v>
      </c>
      <c r="L479">
        <v>0</v>
      </c>
      <c r="M479" t="s">
        <v>25</v>
      </c>
      <c r="N479" t="s">
        <v>25</v>
      </c>
      <c r="O479" t="s">
        <v>26</v>
      </c>
      <c r="P479" t="s">
        <v>25</v>
      </c>
      <c r="Q479" t="s">
        <v>27</v>
      </c>
      <c r="R479" t="s">
        <v>28</v>
      </c>
    </row>
    <row r="480" spans="1:20">
      <c r="A480">
        <v>479</v>
      </c>
      <c r="B480" t="s">
        <v>571</v>
      </c>
      <c r="C480" t="s">
        <v>102</v>
      </c>
      <c r="D480" t="s">
        <v>217</v>
      </c>
      <c r="E480" t="s">
        <v>103</v>
      </c>
      <c r="F480">
        <v>75000</v>
      </c>
      <c r="G480">
        <v>19</v>
      </c>
      <c r="H480">
        <v>89250</v>
      </c>
      <c r="I480" t="s">
        <v>24</v>
      </c>
      <c r="J480" t="s">
        <v>25</v>
      </c>
      <c r="K480">
        <v>0</v>
      </c>
      <c r="L480">
        <v>0</v>
      </c>
      <c r="M480" t="s">
        <v>25</v>
      </c>
      <c r="N480" t="s">
        <v>25</v>
      </c>
      <c r="O480" t="s">
        <v>26</v>
      </c>
      <c r="P480" t="s">
        <v>25</v>
      </c>
      <c r="Q480" t="s">
        <v>27</v>
      </c>
      <c r="R480" t="s">
        <v>28</v>
      </c>
      <c r="S480" t="s">
        <v>297</v>
      </c>
      <c r="T480" t="s">
        <v>239</v>
      </c>
    </row>
    <row r="481" spans="1:20">
      <c r="A481">
        <v>480</v>
      </c>
      <c r="B481" t="s">
        <v>572</v>
      </c>
      <c r="C481" t="s">
        <v>36</v>
      </c>
      <c r="D481" t="s">
        <v>217</v>
      </c>
      <c r="E481" t="s">
        <v>37</v>
      </c>
      <c r="F481">
        <v>909889.2</v>
      </c>
      <c r="G481">
        <v>19</v>
      </c>
      <c r="H481">
        <v>1123320</v>
      </c>
      <c r="I481" t="s">
        <v>24</v>
      </c>
      <c r="J481" t="s">
        <v>25</v>
      </c>
      <c r="K481">
        <v>0</v>
      </c>
      <c r="L481">
        <v>0</v>
      </c>
      <c r="M481" t="s">
        <v>25</v>
      </c>
      <c r="N481" t="s">
        <v>25</v>
      </c>
      <c r="O481" t="s">
        <v>26</v>
      </c>
      <c r="P481" t="s">
        <v>25</v>
      </c>
      <c r="Q481" t="s">
        <v>27</v>
      </c>
      <c r="R481" t="s">
        <v>28</v>
      </c>
      <c r="S481" t="s">
        <v>27</v>
      </c>
      <c r="T481" t="s">
        <v>573</v>
      </c>
    </row>
    <row r="482" spans="1:20">
      <c r="A482">
        <v>481</v>
      </c>
      <c r="B482" t="s">
        <v>574</v>
      </c>
      <c r="C482" t="s">
        <v>320</v>
      </c>
      <c r="D482" t="s">
        <v>217</v>
      </c>
      <c r="E482" t="s">
        <v>321</v>
      </c>
      <c r="F482">
        <v>2997917</v>
      </c>
      <c r="G482">
        <v>19</v>
      </c>
      <c r="H482">
        <v>3567521</v>
      </c>
      <c r="I482" t="s">
        <v>24</v>
      </c>
      <c r="J482" t="s">
        <v>25</v>
      </c>
      <c r="K482">
        <v>0</v>
      </c>
      <c r="L482">
        <v>0</v>
      </c>
      <c r="M482" t="s">
        <v>25</v>
      </c>
      <c r="N482" t="s">
        <v>25</v>
      </c>
      <c r="O482" t="s">
        <v>26</v>
      </c>
      <c r="P482" t="s">
        <v>25</v>
      </c>
      <c r="Q482" t="s">
        <v>27</v>
      </c>
      <c r="R482" t="s">
        <v>28</v>
      </c>
    </row>
    <row r="483" spans="1:20">
      <c r="A483">
        <v>482</v>
      </c>
      <c r="B483" t="s">
        <v>575</v>
      </c>
      <c r="C483" t="s">
        <v>320</v>
      </c>
      <c r="D483" t="s">
        <v>217</v>
      </c>
      <c r="E483" t="s">
        <v>321</v>
      </c>
      <c r="F483">
        <v>4394712</v>
      </c>
      <c r="G483">
        <v>19</v>
      </c>
      <c r="H483">
        <v>5229707</v>
      </c>
      <c r="I483" t="s">
        <v>24</v>
      </c>
      <c r="J483" t="s">
        <v>25</v>
      </c>
      <c r="K483">
        <v>0</v>
      </c>
      <c r="L483">
        <v>0</v>
      </c>
      <c r="M483" t="s">
        <v>25</v>
      </c>
      <c r="N483" t="s">
        <v>25</v>
      </c>
      <c r="O483" t="s">
        <v>26</v>
      </c>
      <c r="P483" t="s">
        <v>25</v>
      </c>
      <c r="Q483" t="s">
        <v>27</v>
      </c>
      <c r="R483" t="s">
        <v>28</v>
      </c>
    </row>
    <row r="484" spans="1:20">
      <c r="A484">
        <v>483</v>
      </c>
      <c r="B484" t="s">
        <v>576</v>
      </c>
      <c r="C484" t="s">
        <v>320</v>
      </c>
      <c r="D484" t="s">
        <v>577</v>
      </c>
      <c r="E484" t="s">
        <v>321</v>
      </c>
      <c r="F484">
        <v>9500000</v>
      </c>
      <c r="G484">
        <v>19</v>
      </c>
      <c r="H484">
        <v>11305000</v>
      </c>
      <c r="I484" t="s">
        <v>24</v>
      </c>
      <c r="J484" t="s">
        <v>25</v>
      </c>
      <c r="K484">
        <v>0</v>
      </c>
      <c r="L484">
        <v>0</v>
      </c>
      <c r="M484" t="s">
        <v>25</v>
      </c>
      <c r="N484" t="s">
        <v>25</v>
      </c>
      <c r="O484" t="s">
        <v>26</v>
      </c>
      <c r="P484" t="s">
        <v>25</v>
      </c>
      <c r="Q484" t="s">
        <v>27</v>
      </c>
      <c r="R484" t="s">
        <v>28</v>
      </c>
    </row>
    <row r="485" spans="1:20">
      <c r="A485">
        <v>484</v>
      </c>
      <c r="B485" t="s">
        <v>578</v>
      </c>
      <c r="C485" t="s">
        <v>320</v>
      </c>
      <c r="D485" t="s">
        <v>217</v>
      </c>
      <c r="E485" t="s">
        <v>321</v>
      </c>
      <c r="F485">
        <v>34392523</v>
      </c>
      <c r="G485">
        <v>19</v>
      </c>
      <c r="H485">
        <v>40927102</v>
      </c>
      <c r="I485" t="s">
        <v>24</v>
      </c>
      <c r="J485" t="s">
        <v>25</v>
      </c>
      <c r="K485">
        <v>0</v>
      </c>
      <c r="L485">
        <v>0</v>
      </c>
      <c r="M485" t="s">
        <v>25</v>
      </c>
      <c r="N485" t="s">
        <v>25</v>
      </c>
      <c r="O485" t="s">
        <v>26</v>
      </c>
      <c r="P485" t="s">
        <v>25</v>
      </c>
      <c r="Q485" t="s">
        <v>27</v>
      </c>
      <c r="R485" t="s">
        <v>28</v>
      </c>
    </row>
    <row r="486" spans="1:20">
      <c r="A486">
        <v>485</v>
      </c>
      <c r="B486" t="s">
        <v>579</v>
      </c>
      <c r="C486" t="s">
        <v>320</v>
      </c>
      <c r="D486" t="s">
        <v>217</v>
      </c>
      <c r="E486" t="s">
        <v>321</v>
      </c>
      <c r="F486">
        <v>77893000</v>
      </c>
      <c r="G486">
        <v>19</v>
      </c>
      <c r="H486">
        <v>92692670</v>
      </c>
      <c r="I486" t="s">
        <v>24</v>
      </c>
      <c r="J486" t="s">
        <v>25</v>
      </c>
      <c r="K486">
        <v>0</v>
      </c>
      <c r="L486">
        <v>0</v>
      </c>
      <c r="M486" t="s">
        <v>25</v>
      </c>
      <c r="N486" t="s">
        <v>25</v>
      </c>
      <c r="O486" t="s">
        <v>26</v>
      </c>
      <c r="P486" t="s">
        <v>25</v>
      </c>
      <c r="Q486" t="s">
        <v>27</v>
      </c>
      <c r="R486" t="s">
        <v>28</v>
      </c>
    </row>
    <row r="487" spans="1:20">
      <c r="A487">
        <v>486</v>
      </c>
      <c r="B487" t="s">
        <v>580</v>
      </c>
      <c r="C487" t="s">
        <v>320</v>
      </c>
      <c r="D487" t="s">
        <v>217</v>
      </c>
      <c r="E487" t="s">
        <v>321</v>
      </c>
      <c r="F487">
        <v>42274958</v>
      </c>
      <c r="G487">
        <v>19</v>
      </c>
      <c r="H487">
        <v>50307200</v>
      </c>
      <c r="I487" t="s">
        <v>24</v>
      </c>
      <c r="J487" t="s">
        <v>25</v>
      </c>
      <c r="K487">
        <v>0</v>
      </c>
      <c r="L487">
        <v>0</v>
      </c>
      <c r="M487" t="s">
        <v>25</v>
      </c>
      <c r="N487" t="s">
        <v>25</v>
      </c>
      <c r="O487" t="s">
        <v>26</v>
      </c>
      <c r="P487" t="s">
        <v>25</v>
      </c>
      <c r="Q487" t="s">
        <v>27</v>
      </c>
      <c r="R487" t="s">
        <v>28</v>
      </c>
      <c r="S487" t="s">
        <v>581</v>
      </c>
      <c r="T487" t="s">
        <v>239</v>
      </c>
    </row>
    <row r="488" spans="1:20">
      <c r="A488">
        <v>487</v>
      </c>
      <c r="B488" t="s">
        <v>582</v>
      </c>
      <c r="C488" t="s">
        <v>36</v>
      </c>
      <c r="D488" t="s">
        <v>217</v>
      </c>
      <c r="E488" t="s">
        <v>583</v>
      </c>
      <c r="F488">
        <v>27039602</v>
      </c>
      <c r="G488">
        <v>19</v>
      </c>
      <c r="H488">
        <v>32177127</v>
      </c>
      <c r="I488" t="s">
        <v>24</v>
      </c>
      <c r="J488" t="s">
        <v>25</v>
      </c>
      <c r="K488">
        <v>0</v>
      </c>
      <c r="L488">
        <v>0</v>
      </c>
      <c r="M488" t="s">
        <v>25</v>
      </c>
      <c r="N488" t="s">
        <v>25</v>
      </c>
      <c r="O488" t="s">
        <v>26</v>
      </c>
      <c r="P488" t="s">
        <v>25</v>
      </c>
      <c r="Q488" t="s">
        <v>27</v>
      </c>
      <c r="R488" t="s">
        <v>28</v>
      </c>
    </row>
    <row r="489" spans="1:20">
      <c r="A489">
        <v>491</v>
      </c>
      <c r="B489" t="s">
        <v>584</v>
      </c>
      <c r="C489" t="s">
        <v>36</v>
      </c>
      <c r="D489" t="s">
        <v>217</v>
      </c>
      <c r="E489" t="s">
        <v>37</v>
      </c>
      <c r="F489">
        <v>5208045</v>
      </c>
      <c r="G489">
        <v>19</v>
      </c>
      <c r="H489">
        <v>6197574</v>
      </c>
      <c r="I489" t="s">
        <v>24</v>
      </c>
      <c r="J489" t="s">
        <v>25</v>
      </c>
      <c r="K489">
        <v>0</v>
      </c>
      <c r="L489">
        <v>0</v>
      </c>
      <c r="M489" t="s">
        <v>25</v>
      </c>
      <c r="N489" t="s">
        <v>25</v>
      </c>
      <c r="O489" t="s">
        <v>26</v>
      </c>
      <c r="P489" t="s">
        <v>25</v>
      </c>
      <c r="Q489" t="s">
        <v>27</v>
      </c>
      <c r="R489" t="s">
        <v>28</v>
      </c>
    </row>
    <row r="490" spans="1:20">
      <c r="A490">
        <v>492</v>
      </c>
      <c r="B490" t="s">
        <v>585</v>
      </c>
      <c r="C490" t="s">
        <v>320</v>
      </c>
      <c r="D490" t="s">
        <v>217</v>
      </c>
      <c r="E490" t="s">
        <v>321</v>
      </c>
      <c r="F490">
        <v>41650000</v>
      </c>
      <c r="G490">
        <v>19</v>
      </c>
      <c r="H490">
        <v>49563500</v>
      </c>
      <c r="I490" t="s">
        <v>24</v>
      </c>
      <c r="J490" t="s">
        <v>25</v>
      </c>
      <c r="K490">
        <v>0</v>
      </c>
      <c r="L490">
        <v>0</v>
      </c>
      <c r="M490" t="s">
        <v>25</v>
      </c>
      <c r="N490" t="s">
        <v>25</v>
      </c>
      <c r="O490" t="s">
        <v>26</v>
      </c>
      <c r="P490" t="s">
        <v>25</v>
      </c>
      <c r="Q490" t="s">
        <v>27</v>
      </c>
      <c r="R490" t="s">
        <v>28</v>
      </c>
      <c r="S490" t="s">
        <v>581</v>
      </c>
      <c r="T490" t="s">
        <v>239</v>
      </c>
    </row>
    <row r="491" spans="1:20">
      <c r="A491">
        <v>493</v>
      </c>
      <c r="B491" t="s">
        <v>586</v>
      </c>
      <c r="C491" t="s">
        <v>36</v>
      </c>
      <c r="D491" t="s">
        <v>229</v>
      </c>
      <c r="E491" t="s">
        <v>587</v>
      </c>
      <c r="F491">
        <v>4996000</v>
      </c>
      <c r="G491">
        <v>19</v>
      </c>
      <c r="H491">
        <v>5945240</v>
      </c>
      <c r="I491" t="s">
        <v>24</v>
      </c>
      <c r="J491" t="s">
        <v>25</v>
      </c>
      <c r="K491">
        <v>0</v>
      </c>
      <c r="L491">
        <v>0</v>
      </c>
      <c r="M491" t="s">
        <v>25</v>
      </c>
      <c r="N491" t="s">
        <v>25</v>
      </c>
      <c r="O491" t="s">
        <v>26</v>
      </c>
      <c r="P491" t="s">
        <v>25</v>
      </c>
      <c r="Q491" t="s">
        <v>27</v>
      </c>
      <c r="R491" t="s">
        <v>28</v>
      </c>
      <c r="S491" t="s">
        <v>231</v>
      </c>
      <c r="T491" t="s">
        <v>588</v>
      </c>
    </row>
    <row r="492" spans="1:20">
      <c r="A492">
        <v>494</v>
      </c>
      <c r="B492" t="s">
        <v>589</v>
      </c>
      <c r="C492" t="s">
        <v>590</v>
      </c>
      <c r="D492" t="s">
        <v>217</v>
      </c>
      <c r="E492" t="s">
        <v>591</v>
      </c>
      <c r="F492">
        <v>25548928</v>
      </c>
      <c r="G492">
        <v>19</v>
      </c>
      <c r="H492">
        <v>30403224.32</v>
      </c>
      <c r="I492" t="s">
        <v>24</v>
      </c>
      <c r="J492" t="s">
        <v>25</v>
      </c>
      <c r="K492">
        <v>0</v>
      </c>
      <c r="L492">
        <v>0</v>
      </c>
      <c r="M492" t="s">
        <v>25</v>
      </c>
      <c r="N492" t="s">
        <v>25</v>
      </c>
      <c r="O492" t="s">
        <v>26</v>
      </c>
      <c r="P492" t="s">
        <v>25</v>
      </c>
      <c r="Q492" t="s">
        <v>27</v>
      </c>
      <c r="R492" t="s">
        <v>28</v>
      </c>
      <c r="S492" t="s">
        <v>581</v>
      </c>
      <c r="T492" t="s">
        <v>557</v>
      </c>
    </row>
    <row r="493" spans="1:20">
      <c r="A493">
        <v>495</v>
      </c>
      <c r="B493" t="s">
        <v>592</v>
      </c>
      <c r="C493" t="s">
        <v>590</v>
      </c>
      <c r="D493" t="s">
        <v>229</v>
      </c>
      <c r="E493" t="s">
        <v>591</v>
      </c>
      <c r="F493">
        <v>2176868025</v>
      </c>
      <c r="G493">
        <v>19</v>
      </c>
      <c r="H493">
        <v>2590472950</v>
      </c>
      <c r="I493" t="s">
        <v>24</v>
      </c>
      <c r="J493" t="s">
        <v>25</v>
      </c>
      <c r="K493">
        <v>0</v>
      </c>
      <c r="L493">
        <v>0</v>
      </c>
      <c r="M493" t="s">
        <v>25</v>
      </c>
      <c r="N493" t="s">
        <v>25</v>
      </c>
      <c r="O493" t="s">
        <v>26</v>
      </c>
      <c r="P493" t="s">
        <v>25</v>
      </c>
      <c r="Q493" t="s">
        <v>27</v>
      </c>
      <c r="R493" t="s">
        <v>28</v>
      </c>
    </row>
    <row r="494" spans="1:20">
      <c r="A494">
        <v>496</v>
      </c>
      <c r="B494" t="s">
        <v>593</v>
      </c>
      <c r="C494" t="s">
        <v>590</v>
      </c>
      <c r="D494" t="s">
        <v>229</v>
      </c>
      <c r="E494" t="s">
        <v>591</v>
      </c>
      <c r="F494">
        <v>310977228</v>
      </c>
      <c r="G494">
        <v>19</v>
      </c>
      <c r="H494">
        <v>370062901</v>
      </c>
      <c r="I494" t="s">
        <v>24</v>
      </c>
      <c r="J494" t="s">
        <v>25</v>
      </c>
      <c r="K494">
        <v>0</v>
      </c>
      <c r="L494">
        <v>0</v>
      </c>
      <c r="M494" t="s">
        <v>25</v>
      </c>
      <c r="N494" t="s">
        <v>25</v>
      </c>
      <c r="O494" t="s">
        <v>26</v>
      </c>
      <c r="P494" t="s">
        <v>25</v>
      </c>
      <c r="Q494" t="s">
        <v>27</v>
      </c>
      <c r="R494" t="s">
        <v>28</v>
      </c>
    </row>
    <row r="495" spans="1:20">
      <c r="A495">
        <v>497</v>
      </c>
      <c r="B495" t="s">
        <v>594</v>
      </c>
      <c r="C495" t="s">
        <v>590</v>
      </c>
      <c r="D495" t="s">
        <v>229</v>
      </c>
      <c r="E495" t="s">
        <v>591</v>
      </c>
      <c r="F495">
        <v>19980000</v>
      </c>
      <c r="G495">
        <v>19</v>
      </c>
      <c r="H495">
        <v>23776200</v>
      </c>
      <c r="I495" t="s">
        <v>24</v>
      </c>
      <c r="J495" t="s">
        <v>25</v>
      </c>
      <c r="K495">
        <v>0</v>
      </c>
      <c r="L495">
        <v>0</v>
      </c>
      <c r="M495" t="s">
        <v>25</v>
      </c>
      <c r="N495" t="s">
        <v>25</v>
      </c>
      <c r="O495" t="s">
        <v>26</v>
      </c>
      <c r="P495" t="s">
        <v>25</v>
      </c>
      <c r="Q495" t="s">
        <v>27</v>
      </c>
      <c r="R495" t="s">
        <v>28</v>
      </c>
    </row>
    <row r="496" spans="1:20">
      <c r="A496">
        <v>498</v>
      </c>
      <c r="B496" t="s">
        <v>595</v>
      </c>
      <c r="C496" t="s">
        <v>590</v>
      </c>
      <c r="D496" t="s">
        <v>229</v>
      </c>
      <c r="E496" t="s">
        <v>591</v>
      </c>
      <c r="F496">
        <v>311320982</v>
      </c>
      <c r="G496">
        <v>19</v>
      </c>
      <c r="H496">
        <v>370471968</v>
      </c>
      <c r="I496" t="s">
        <v>24</v>
      </c>
      <c r="J496" t="s">
        <v>25</v>
      </c>
      <c r="K496">
        <v>0</v>
      </c>
      <c r="L496">
        <v>0</v>
      </c>
      <c r="M496" t="s">
        <v>25</v>
      </c>
      <c r="N496" t="s">
        <v>25</v>
      </c>
      <c r="O496" t="s">
        <v>26</v>
      </c>
      <c r="P496" t="s">
        <v>25</v>
      </c>
      <c r="Q496" t="s">
        <v>27</v>
      </c>
      <c r="R496" t="s">
        <v>28</v>
      </c>
    </row>
    <row r="497" spans="1:18">
      <c r="A497">
        <v>499</v>
      </c>
      <c r="B497" t="s">
        <v>596</v>
      </c>
      <c r="C497" t="s">
        <v>590</v>
      </c>
      <c r="D497" t="s">
        <v>229</v>
      </c>
      <c r="E497" t="s">
        <v>591</v>
      </c>
      <c r="F497">
        <v>18740241</v>
      </c>
      <c r="G497">
        <v>19</v>
      </c>
      <c r="H497">
        <v>22300887</v>
      </c>
      <c r="I497" t="s">
        <v>24</v>
      </c>
      <c r="J497" t="s">
        <v>25</v>
      </c>
      <c r="K497">
        <v>0</v>
      </c>
      <c r="L497">
        <v>0</v>
      </c>
      <c r="M497" t="s">
        <v>25</v>
      </c>
      <c r="N497" t="s">
        <v>25</v>
      </c>
      <c r="O497" t="s">
        <v>26</v>
      </c>
      <c r="P497" t="s">
        <v>25</v>
      </c>
      <c r="Q497" t="s">
        <v>27</v>
      </c>
      <c r="R497" t="s">
        <v>28</v>
      </c>
    </row>
    <row r="498" spans="1:18">
      <c r="A498">
        <v>500</v>
      </c>
      <c r="B498" t="s">
        <v>597</v>
      </c>
      <c r="C498" t="s">
        <v>590</v>
      </c>
      <c r="D498" t="s">
        <v>229</v>
      </c>
      <c r="E498" t="s">
        <v>591</v>
      </c>
      <c r="F498">
        <v>26762100</v>
      </c>
      <c r="G498">
        <v>19</v>
      </c>
      <c r="H498">
        <v>31846899</v>
      </c>
      <c r="I498" t="s">
        <v>24</v>
      </c>
      <c r="J498" t="s">
        <v>25</v>
      </c>
      <c r="K498">
        <v>0</v>
      </c>
      <c r="L498">
        <v>0</v>
      </c>
      <c r="M498" t="s">
        <v>25</v>
      </c>
      <c r="N498" t="s">
        <v>25</v>
      </c>
      <c r="O498" t="s">
        <v>26</v>
      </c>
      <c r="P498" t="s">
        <v>25</v>
      </c>
      <c r="Q498" t="s">
        <v>27</v>
      </c>
      <c r="R498" t="s">
        <v>28</v>
      </c>
    </row>
    <row r="499" spans="1:18">
      <c r="A499">
        <v>501</v>
      </c>
      <c r="B499" t="s">
        <v>598</v>
      </c>
      <c r="C499" t="s">
        <v>36</v>
      </c>
      <c r="D499" t="s">
        <v>217</v>
      </c>
      <c r="E499" t="s">
        <v>37</v>
      </c>
      <c r="F499">
        <v>77000</v>
      </c>
      <c r="G499">
        <v>19</v>
      </c>
      <c r="H499">
        <v>77000</v>
      </c>
      <c r="I499" t="s">
        <v>24</v>
      </c>
      <c r="J499" t="s">
        <v>25</v>
      </c>
      <c r="K499">
        <v>0</v>
      </c>
      <c r="L499">
        <v>0</v>
      </c>
      <c r="M499" t="s">
        <v>25</v>
      </c>
      <c r="N499" t="s">
        <v>25</v>
      </c>
      <c r="O499" t="s">
        <v>26</v>
      </c>
      <c r="P499" t="s">
        <v>25</v>
      </c>
      <c r="Q499" t="s">
        <v>27</v>
      </c>
      <c r="R499" t="s">
        <v>28</v>
      </c>
    </row>
    <row r="500" spans="1:18">
      <c r="A500">
        <v>502</v>
      </c>
      <c r="B500" t="s">
        <v>599</v>
      </c>
      <c r="C500" t="s">
        <v>36</v>
      </c>
      <c r="D500" t="s">
        <v>217</v>
      </c>
      <c r="E500" t="s">
        <v>37</v>
      </c>
      <c r="F500">
        <v>21849</v>
      </c>
      <c r="G500">
        <v>19</v>
      </c>
      <c r="H500">
        <v>26000</v>
      </c>
      <c r="I500" t="s">
        <v>24</v>
      </c>
      <c r="J500" t="s">
        <v>25</v>
      </c>
      <c r="K500">
        <v>0</v>
      </c>
      <c r="L500">
        <v>0</v>
      </c>
      <c r="M500" t="s">
        <v>25</v>
      </c>
      <c r="N500" t="s">
        <v>25</v>
      </c>
      <c r="O500" t="s">
        <v>26</v>
      </c>
      <c r="P500" t="s">
        <v>25</v>
      </c>
      <c r="Q500" t="s">
        <v>27</v>
      </c>
      <c r="R500" t="s">
        <v>28</v>
      </c>
    </row>
    <row r="501" spans="1:18">
      <c r="A501">
        <v>503</v>
      </c>
      <c r="B501" t="s">
        <v>600</v>
      </c>
      <c r="C501" t="s">
        <v>36</v>
      </c>
      <c r="D501" t="s">
        <v>217</v>
      </c>
      <c r="E501" t="s">
        <v>37</v>
      </c>
      <c r="F501">
        <v>5000</v>
      </c>
      <c r="G501">
        <v>19</v>
      </c>
      <c r="H501">
        <v>5950</v>
      </c>
      <c r="I501" t="s">
        <v>24</v>
      </c>
      <c r="J501" t="s">
        <v>25</v>
      </c>
      <c r="K501">
        <v>0</v>
      </c>
      <c r="L501">
        <v>0</v>
      </c>
      <c r="M501" t="s">
        <v>25</v>
      </c>
      <c r="N501" t="s">
        <v>25</v>
      </c>
      <c r="O501" t="s">
        <v>26</v>
      </c>
      <c r="P501" t="s">
        <v>25</v>
      </c>
      <c r="Q501" t="s">
        <v>27</v>
      </c>
      <c r="R501" t="s">
        <v>28</v>
      </c>
    </row>
    <row r="502" spans="1:18">
      <c r="A502">
        <v>504</v>
      </c>
      <c r="B502" t="s">
        <v>601</v>
      </c>
      <c r="C502" t="s">
        <v>36</v>
      </c>
      <c r="D502" t="s">
        <v>217</v>
      </c>
      <c r="E502" t="s">
        <v>37</v>
      </c>
      <c r="F502">
        <v>13000</v>
      </c>
      <c r="G502">
        <v>19</v>
      </c>
      <c r="H502">
        <v>15470</v>
      </c>
      <c r="I502" t="s">
        <v>24</v>
      </c>
      <c r="J502" t="s">
        <v>25</v>
      </c>
      <c r="K502">
        <v>0</v>
      </c>
      <c r="L502">
        <v>0</v>
      </c>
      <c r="M502" t="s">
        <v>25</v>
      </c>
      <c r="N502" t="s">
        <v>25</v>
      </c>
      <c r="O502" t="s">
        <v>26</v>
      </c>
      <c r="P502" t="s">
        <v>25</v>
      </c>
      <c r="Q502" t="s">
        <v>27</v>
      </c>
      <c r="R502" t="s">
        <v>28</v>
      </c>
    </row>
    <row r="503" spans="1:18">
      <c r="A503">
        <v>505</v>
      </c>
      <c r="B503" t="s">
        <v>602</v>
      </c>
      <c r="C503" t="s">
        <v>36</v>
      </c>
      <c r="D503" t="s">
        <v>217</v>
      </c>
      <c r="E503" t="s">
        <v>37</v>
      </c>
      <c r="F503">
        <v>15000</v>
      </c>
      <c r="G503">
        <v>19</v>
      </c>
      <c r="H503">
        <v>17850</v>
      </c>
      <c r="I503" t="s">
        <v>24</v>
      </c>
      <c r="J503" t="s">
        <v>25</v>
      </c>
      <c r="K503">
        <v>0</v>
      </c>
      <c r="L503">
        <v>0</v>
      </c>
      <c r="M503" t="s">
        <v>25</v>
      </c>
      <c r="N503" t="s">
        <v>25</v>
      </c>
      <c r="O503" t="s">
        <v>26</v>
      </c>
      <c r="P503" t="s">
        <v>25</v>
      </c>
      <c r="Q503" t="s">
        <v>27</v>
      </c>
      <c r="R503" t="s">
        <v>28</v>
      </c>
    </row>
    <row r="504" spans="1:18">
      <c r="A504">
        <v>506</v>
      </c>
      <c r="B504" t="s">
        <v>603</v>
      </c>
      <c r="C504" t="s">
        <v>36</v>
      </c>
      <c r="D504" t="s">
        <v>217</v>
      </c>
      <c r="E504" t="s">
        <v>37</v>
      </c>
      <c r="F504">
        <v>19200</v>
      </c>
      <c r="G504">
        <v>19</v>
      </c>
      <c r="H504">
        <v>22848</v>
      </c>
      <c r="I504" t="s">
        <v>24</v>
      </c>
      <c r="J504" t="s">
        <v>25</v>
      </c>
      <c r="K504">
        <v>0</v>
      </c>
      <c r="L504">
        <v>0</v>
      </c>
      <c r="M504" t="s">
        <v>25</v>
      </c>
      <c r="N504" t="s">
        <v>25</v>
      </c>
      <c r="O504" t="s">
        <v>26</v>
      </c>
      <c r="P504" t="s">
        <v>25</v>
      </c>
      <c r="Q504" t="s">
        <v>27</v>
      </c>
      <c r="R504" t="s">
        <v>28</v>
      </c>
    </row>
    <row r="505" spans="1:18">
      <c r="A505">
        <v>507</v>
      </c>
      <c r="B505" t="s">
        <v>604</v>
      </c>
      <c r="C505" t="s">
        <v>320</v>
      </c>
      <c r="D505" t="s">
        <v>217</v>
      </c>
      <c r="E505" t="s">
        <v>321</v>
      </c>
      <c r="F505">
        <v>1850000</v>
      </c>
      <c r="G505">
        <v>19</v>
      </c>
      <c r="H505">
        <v>2201500</v>
      </c>
      <c r="I505" t="s">
        <v>24</v>
      </c>
      <c r="J505" t="s">
        <v>25</v>
      </c>
      <c r="K505">
        <v>0</v>
      </c>
      <c r="L505">
        <v>0</v>
      </c>
      <c r="M505" t="s">
        <v>25</v>
      </c>
      <c r="N505" t="s">
        <v>25</v>
      </c>
      <c r="O505" t="s">
        <v>26</v>
      </c>
      <c r="P505" t="s">
        <v>25</v>
      </c>
      <c r="Q505" t="s">
        <v>27</v>
      </c>
      <c r="R505" t="s">
        <v>28</v>
      </c>
    </row>
    <row r="506" spans="1:18">
      <c r="A506">
        <v>508</v>
      </c>
      <c r="B506" t="s">
        <v>605</v>
      </c>
      <c r="C506" t="s">
        <v>320</v>
      </c>
      <c r="D506" t="s">
        <v>217</v>
      </c>
      <c r="E506" t="s">
        <v>321</v>
      </c>
      <c r="F506">
        <v>3000000</v>
      </c>
      <c r="G506">
        <v>19</v>
      </c>
      <c r="H506">
        <v>3570000</v>
      </c>
      <c r="I506" t="s">
        <v>24</v>
      </c>
      <c r="J506" t="s">
        <v>25</v>
      </c>
      <c r="K506">
        <v>0</v>
      </c>
      <c r="L506">
        <v>0</v>
      </c>
      <c r="M506" t="s">
        <v>25</v>
      </c>
      <c r="N506" t="s">
        <v>25</v>
      </c>
      <c r="O506" t="s">
        <v>26</v>
      </c>
      <c r="P506" t="s">
        <v>25</v>
      </c>
      <c r="Q506" t="s">
        <v>27</v>
      </c>
      <c r="R506" t="s">
        <v>28</v>
      </c>
    </row>
    <row r="507" spans="1:18">
      <c r="A507">
        <v>509</v>
      </c>
      <c r="B507" t="s">
        <v>606</v>
      </c>
      <c r="C507" t="s">
        <v>320</v>
      </c>
      <c r="D507" t="s">
        <v>217</v>
      </c>
      <c r="E507" t="s">
        <v>321</v>
      </c>
      <c r="F507">
        <v>1550000</v>
      </c>
      <c r="G507">
        <v>19</v>
      </c>
      <c r="H507">
        <v>1844500</v>
      </c>
      <c r="I507" t="s">
        <v>24</v>
      </c>
      <c r="J507" t="s">
        <v>25</v>
      </c>
      <c r="K507">
        <v>0</v>
      </c>
      <c r="L507">
        <v>0</v>
      </c>
      <c r="M507" t="s">
        <v>25</v>
      </c>
      <c r="N507" t="s">
        <v>25</v>
      </c>
      <c r="O507" t="s">
        <v>26</v>
      </c>
      <c r="P507" t="s">
        <v>25</v>
      </c>
      <c r="Q507" t="s">
        <v>27</v>
      </c>
      <c r="R507" t="s">
        <v>28</v>
      </c>
    </row>
    <row r="508" spans="1:18">
      <c r="A508">
        <v>510</v>
      </c>
      <c r="B508" t="s">
        <v>607</v>
      </c>
      <c r="C508" t="s">
        <v>320</v>
      </c>
      <c r="D508" t="s">
        <v>217</v>
      </c>
      <c r="E508" t="s">
        <v>321</v>
      </c>
      <c r="F508">
        <v>900000</v>
      </c>
      <c r="G508">
        <v>19</v>
      </c>
      <c r="H508">
        <v>1071000</v>
      </c>
      <c r="I508" t="s">
        <v>24</v>
      </c>
      <c r="J508" t="s">
        <v>25</v>
      </c>
      <c r="K508">
        <v>0</v>
      </c>
      <c r="L508">
        <v>0</v>
      </c>
      <c r="M508" t="s">
        <v>25</v>
      </c>
      <c r="N508" t="s">
        <v>25</v>
      </c>
      <c r="O508" t="s">
        <v>26</v>
      </c>
      <c r="P508" t="s">
        <v>25</v>
      </c>
      <c r="Q508" t="s">
        <v>27</v>
      </c>
      <c r="R508" t="s">
        <v>28</v>
      </c>
    </row>
    <row r="509" spans="1:18">
      <c r="A509">
        <v>511</v>
      </c>
      <c r="B509" t="s">
        <v>608</v>
      </c>
      <c r="C509" t="s">
        <v>320</v>
      </c>
      <c r="D509" t="s">
        <v>217</v>
      </c>
      <c r="E509" t="s">
        <v>321</v>
      </c>
      <c r="F509">
        <v>500000</v>
      </c>
      <c r="G509">
        <v>19</v>
      </c>
      <c r="H509">
        <v>595000</v>
      </c>
      <c r="I509" t="s">
        <v>24</v>
      </c>
      <c r="J509" t="s">
        <v>25</v>
      </c>
      <c r="K509">
        <v>0</v>
      </c>
      <c r="L509">
        <v>0</v>
      </c>
      <c r="M509" t="s">
        <v>25</v>
      </c>
      <c r="N509" t="s">
        <v>25</v>
      </c>
      <c r="O509" t="s">
        <v>26</v>
      </c>
      <c r="P509" t="s">
        <v>25</v>
      </c>
      <c r="Q509" t="s">
        <v>27</v>
      </c>
      <c r="R509" t="s">
        <v>28</v>
      </c>
    </row>
    <row r="510" spans="1:18">
      <c r="A510">
        <v>512</v>
      </c>
      <c r="B510" t="s">
        <v>609</v>
      </c>
      <c r="C510" t="s">
        <v>36</v>
      </c>
      <c r="D510" t="s">
        <v>217</v>
      </c>
      <c r="E510" t="s">
        <v>37</v>
      </c>
      <c r="F510">
        <v>19200</v>
      </c>
      <c r="G510">
        <v>19</v>
      </c>
      <c r="H510">
        <v>22848</v>
      </c>
      <c r="I510" t="s">
        <v>24</v>
      </c>
      <c r="J510" t="s">
        <v>25</v>
      </c>
      <c r="K510">
        <v>0</v>
      </c>
      <c r="L510">
        <v>0</v>
      </c>
      <c r="M510" t="s">
        <v>25</v>
      </c>
      <c r="N510" t="s">
        <v>25</v>
      </c>
      <c r="O510" t="s">
        <v>26</v>
      </c>
      <c r="P510" t="s">
        <v>25</v>
      </c>
      <c r="Q510" t="s">
        <v>27</v>
      </c>
      <c r="R510" t="s">
        <v>28</v>
      </c>
    </row>
    <row r="511" spans="1:18">
      <c r="A511">
        <v>513</v>
      </c>
      <c r="B511" t="s">
        <v>610</v>
      </c>
      <c r="C511" t="s">
        <v>320</v>
      </c>
      <c r="D511" t="s">
        <v>217</v>
      </c>
      <c r="E511" t="s">
        <v>321</v>
      </c>
      <c r="F511">
        <v>1131200</v>
      </c>
      <c r="G511">
        <v>19</v>
      </c>
      <c r="H511">
        <v>1346128</v>
      </c>
      <c r="I511" t="s">
        <v>24</v>
      </c>
      <c r="J511" t="s">
        <v>25</v>
      </c>
      <c r="K511">
        <v>0</v>
      </c>
      <c r="L511">
        <v>0</v>
      </c>
      <c r="M511" t="s">
        <v>25</v>
      </c>
      <c r="N511" t="s">
        <v>25</v>
      </c>
      <c r="O511" t="s">
        <v>26</v>
      </c>
      <c r="P511" t="s">
        <v>25</v>
      </c>
      <c r="Q511" t="s">
        <v>27</v>
      </c>
      <c r="R511" t="s">
        <v>28</v>
      </c>
    </row>
    <row r="512" spans="1:18">
      <c r="A512">
        <v>514</v>
      </c>
      <c r="B512" t="s">
        <v>611</v>
      </c>
      <c r="C512" t="s">
        <v>320</v>
      </c>
      <c r="D512" t="s">
        <v>217</v>
      </c>
      <c r="E512" t="s">
        <v>321</v>
      </c>
      <c r="F512">
        <v>750000</v>
      </c>
      <c r="G512">
        <v>19</v>
      </c>
      <c r="H512">
        <v>892500</v>
      </c>
      <c r="I512" t="s">
        <v>24</v>
      </c>
      <c r="J512" t="s">
        <v>25</v>
      </c>
      <c r="K512">
        <v>0</v>
      </c>
      <c r="L512">
        <v>0</v>
      </c>
      <c r="M512" t="s">
        <v>25</v>
      </c>
      <c r="N512" t="s">
        <v>25</v>
      </c>
      <c r="O512" t="s">
        <v>26</v>
      </c>
      <c r="P512" t="s">
        <v>25</v>
      </c>
      <c r="Q512" t="s">
        <v>27</v>
      </c>
      <c r="R512" t="s">
        <v>28</v>
      </c>
    </row>
    <row r="513" spans="1:20">
      <c r="A513">
        <v>515</v>
      </c>
      <c r="B513" t="s">
        <v>612</v>
      </c>
      <c r="C513" t="s">
        <v>320</v>
      </c>
      <c r="D513" t="s">
        <v>217</v>
      </c>
      <c r="E513" t="s">
        <v>321</v>
      </c>
      <c r="F513">
        <v>800000</v>
      </c>
      <c r="G513">
        <v>19</v>
      </c>
      <c r="H513">
        <v>952000</v>
      </c>
      <c r="I513" t="s">
        <v>24</v>
      </c>
      <c r="J513" t="s">
        <v>25</v>
      </c>
      <c r="K513">
        <v>0</v>
      </c>
      <c r="L513">
        <v>0</v>
      </c>
      <c r="M513" t="s">
        <v>25</v>
      </c>
      <c r="N513" t="s">
        <v>25</v>
      </c>
      <c r="O513" t="s">
        <v>26</v>
      </c>
      <c r="P513" t="s">
        <v>25</v>
      </c>
      <c r="Q513" t="s">
        <v>27</v>
      </c>
      <c r="R513" t="s">
        <v>28</v>
      </c>
    </row>
    <row r="514" spans="1:20">
      <c r="A514">
        <v>516</v>
      </c>
      <c r="B514" t="s">
        <v>613</v>
      </c>
      <c r="C514" t="s">
        <v>320</v>
      </c>
      <c r="D514" t="s">
        <v>217</v>
      </c>
      <c r="E514" t="s">
        <v>321</v>
      </c>
      <c r="F514">
        <v>1000000</v>
      </c>
      <c r="G514">
        <v>19</v>
      </c>
      <c r="H514">
        <v>1190000</v>
      </c>
      <c r="I514" t="s">
        <v>24</v>
      </c>
      <c r="J514" t="s">
        <v>25</v>
      </c>
      <c r="K514">
        <v>0</v>
      </c>
      <c r="L514">
        <v>0</v>
      </c>
      <c r="M514" t="s">
        <v>25</v>
      </c>
      <c r="N514" t="s">
        <v>25</v>
      </c>
      <c r="O514" t="s">
        <v>26</v>
      </c>
      <c r="P514" t="s">
        <v>25</v>
      </c>
      <c r="Q514" t="s">
        <v>27</v>
      </c>
      <c r="R514" t="s">
        <v>28</v>
      </c>
    </row>
    <row r="515" spans="1:20">
      <c r="A515">
        <v>517</v>
      </c>
      <c r="B515" t="s">
        <v>614</v>
      </c>
      <c r="C515" t="s">
        <v>320</v>
      </c>
      <c r="D515" t="s">
        <v>217</v>
      </c>
      <c r="E515" t="s">
        <v>321</v>
      </c>
      <c r="F515">
        <v>700000</v>
      </c>
      <c r="G515">
        <v>19</v>
      </c>
      <c r="H515">
        <v>833000</v>
      </c>
      <c r="I515" t="s">
        <v>24</v>
      </c>
      <c r="J515" t="s">
        <v>25</v>
      </c>
      <c r="K515">
        <v>0</v>
      </c>
      <c r="L515">
        <v>0</v>
      </c>
      <c r="M515" t="s">
        <v>25</v>
      </c>
      <c r="N515" t="s">
        <v>25</v>
      </c>
      <c r="O515" t="s">
        <v>26</v>
      </c>
      <c r="P515" t="s">
        <v>25</v>
      </c>
      <c r="Q515" t="s">
        <v>27</v>
      </c>
      <c r="R515" t="s">
        <v>28</v>
      </c>
    </row>
    <row r="516" spans="1:20">
      <c r="A516">
        <v>518</v>
      </c>
      <c r="B516" t="s">
        <v>615</v>
      </c>
      <c r="C516" t="s">
        <v>320</v>
      </c>
      <c r="D516" t="s">
        <v>217</v>
      </c>
      <c r="E516" t="s">
        <v>321</v>
      </c>
      <c r="F516">
        <v>600000</v>
      </c>
      <c r="G516">
        <v>19</v>
      </c>
      <c r="H516">
        <v>714000</v>
      </c>
      <c r="I516" t="s">
        <v>24</v>
      </c>
      <c r="J516" t="s">
        <v>25</v>
      </c>
      <c r="K516">
        <v>0</v>
      </c>
      <c r="L516">
        <v>0</v>
      </c>
      <c r="M516" t="s">
        <v>25</v>
      </c>
      <c r="N516" t="s">
        <v>25</v>
      </c>
      <c r="O516" t="s">
        <v>26</v>
      </c>
      <c r="P516" t="s">
        <v>25</v>
      </c>
      <c r="Q516" t="s">
        <v>27</v>
      </c>
      <c r="R516" t="s">
        <v>28</v>
      </c>
    </row>
    <row r="517" spans="1:20">
      <c r="A517">
        <v>519</v>
      </c>
      <c r="B517" t="s">
        <v>616</v>
      </c>
      <c r="C517" t="s">
        <v>36</v>
      </c>
      <c r="D517" t="s">
        <v>217</v>
      </c>
      <c r="E517" t="s">
        <v>617</v>
      </c>
      <c r="F517">
        <v>0</v>
      </c>
      <c r="G517">
        <v>19</v>
      </c>
      <c r="H517">
        <v>0</v>
      </c>
      <c r="I517" t="s">
        <v>24</v>
      </c>
      <c r="J517" t="s">
        <v>25</v>
      </c>
      <c r="K517">
        <v>0</v>
      </c>
      <c r="L517">
        <v>0</v>
      </c>
      <c r="M517" t="s">
        <v>25</v>
      </c>
      <c r="N517" t="s">
        <v>25</v>
      </c>
      <c r="O517" t="s">
        <v>26</v>
      </c>
      <c r="P517" t="s">
        <v>25</v>
      </c>
      <c r="Q517" t="s">
        <v>27</v>
      </c>
      <c r="R517" t="s">
        <v>28</v>
      </c>
    </row>
    <row r="518" spans="1:20">
      <c r="A518">
        <v>520</v>
      </c>
      <c r="B518" t="s">
        <v>618</v>
      </c>
      <c r="C518" t="s">
        <v>36</v>
      </c>
      <c r="D518" t="s">
        <v>217</v>
      </c>
      <c r="E518" t="s">
        <v>617</v>
      </c>
      <c r="F518">
        <v>0</v>
      </c>
      <c r="G518">
        <v>19</v>
      </c>
      <c r="H518">
        <v>0</v>
      </c>
      <c r="I518" t="s">
        <v>24</v>
      </c>
      <c r="J518" t="s">
        <v>25</v>
      </c>
      <c r="K518">
        <v>0</v>
      </c>
      <c r="L518">
        <v>0</v>
      </c>
      <c r="M518" t="s">
        <v>25</v>
      </c>
      <c r="N518" t="s">
        <v>25</v>
      </c>
      <c r="O518" t="s">
        <v>26</v>
      </c>
      <c r="P518" t="s">
        <v>25</v>
      </c>
      <c r="Q518" t="s">
        <v>27</v>
      </c>
      <c r="R518" t="s">
        <v>28</v>
      </c>
    </row>
    <row r="519" spans="1:20">
      <c r="A519">
        <v>521</v>
      </c>
      <c r="B519" t="s">
        <v>619</v>
      </c>
      <c r="C519" t="s">
        <v>36</v>
      </c>
      <c r="D519" t="s">
        <v>217</v>
      </c>
      <c r="E519" t="s">
        <v>617</v>
      </c>
      <c r="F519">
        <v>0</v>
      </c>
      <c r="G519">
        <v>19</v>
      </c>
      <c r="H519">
        <v>0</v>
      </c>
      <c r="I519" t="s">
        <v>24</v>
      </c>
      <c r="J519" t="s">
        <v>25</v>
      </c>
      <c r="K519">
        <v>0</v>
      </c>
      <c r="L519">
        <v>0</v>
      </c>
      <c r="M519" t="s">
        <v>25</v>
      </c>
      <c r="N519" t="s">
        <v>25</v>
      </c>
      <c r="O519" t="s">
        <v>26</v>
      </c>
      <c r="P519" t="s">
        <v>25</v>
      </c>
      <c r="Q519" t="s">
        <v>27</v>
      </c>
      <c r="R519" t="s">
        <v>28</v>
      </c>
    </row>
    <row r="520" spans="1:20">
      <c r="A520">
        <v>522</v>
      </c>
      <c r="B520" t="s">
        <v>620</v>
      </c>
      <c r="C520" t="s">
        <v>36</v>
      </c>
      <c r="D520" t="s">
        <v>217</v>
      </c>
      <c r="E520" t="s">
        <v>617</v>
      </c>
      <c r="F520">
        <v>0</v>
      </c>
      <c r="G520">
        <v>19</v>
      </c>
      <c r="H520">
        <v>0</v>
      </c>
      <c r="I520" t="s">
        <v>24</v>
      </c>
      <c r="J520" t="s">
        <v>25</v>
      </c>
      <c r="K520">
        <v>0</v>
      </c>
      <c r="L520">
        <v>0</v>
      </c>
      <c r="M520" t="s">
        <v>25</v>
      </c>
      <c r="N520" t="s">
        <v>25</v>
      </c>
      <c r="O520" t="s">
        <v>26</v>
      </c>
      <c r="P520" t="s">
        <v>25</v>
      </c>
      <c r="Q520" t="s">
        <v>27</v>
      </c>
      <c r="R520" t="s">
        <v>28</v>
      </c>
    </row>
    <row r="521" spans="1:20">
      <c r="A521">
        <v>523</v>
      </c>
      <c r="B521" t="s">
        <v>621</v>
      </c>
      <c r="C521" t="s">
        <v>36</v>
      </c>
      <c r="D521" t="s">
        <v>217</v>
      </c>
      <c r="E521" t="s">
        <v>617</v>
      </c>
      <c r="F521">
        <v>0</v>
      </c>
      <c r="G521">
        <v>19</v>
      </c>
      <c r="H521">
        <v>0</v>
      </c>
      <c r="I521" t="s">
        <v>24</v>
      </c>
      <c r="J521" t="s">
        <v>25</v>
      </c>
      <c r="K521">
        <v>0</v>
      </c>
      <c r="L521">
        <v>0</v>
      </c>
      <c r="M521" t="s">
        <v>25</v>
      </c>
      <c r="N521" t="s">
        <v>25</v>
      </c>
      <c r="O521" t="s">
        <v>26</v>
      </c>
      <c r="P521" t="s">
        <v>25</v>
      </c>
      <c r="Q521" t="s">
        <v>27</v>
      </c>
      <c r="R521" t="s">
        <v>28</v>
      </c>
    </row>
    <row r="522" spans="1:20">
      <c r="A522">
        <v>524</v>
      </c>
      <c r="B522" t="s">
        <v>622</v>
      </c>
      <c r="C522" t="s">
        <v>36</v>
      </c>
      <c r="D522" t="s">
        <v>217</v>
      </c>
      <c r="E522" t="s">
        <v>37</v>
      </c>
      <c r="F522">
        <v>51752</v>
      </c>
      <c r="G522">
        <v>19</v>
      </c>
      <c r="H522">
        <v>61585</v>
      </c>
      <c r="I522" t="s">
        <v>24</v>
      </c>
      <c r="J522" t="s">
        <v>25</v>
      </c>
      <c r="K522">
        <v>0</v>
      </c>
      <c r="L522">
        <v>0</v>
      </c>
      <c r="M522" t="s">
        <v>25</v>
      </c>
      <c r="N522" t="s">
        <v>25</v>
      </c>
      <c r="O522" t="s">
        <v>26</v>
      </c>
      <c r="P522" t="s">
        <v>25</v>
      </c>
      <c r="Q522" t="s">
        <v>27</v>
      </c>
      <c r="R522" t="s">
        <v>28</v>
      </c>
      <c r="S522" t="s">
        <v>27</v>
      </c>
      <c r="T522" t="s">
        <v>623</v>
      </c>
    </row>
    <row r="523" spans="1:20">
      <c r="A523">
        <v>525</v>
      </c>
      <c r="B523" t="s">
        <v>624</v>
      </c>
      <c r="C523" t="s">
        <v>36</v>
      </c>
      <c r="D523" t="s">
        <v>217</v>
      </c>
      <c r="E523" t="s">
        <v>37</v>
      </c>
      <c r="F523">
        <v>10671795</v>
      </c>
      <c r="G523">
        <v>19</v>
      </c>
      <c r="H523">
        <v>1269943645</v>
      </c>
      <c r="I523" t="s">
        <v>24</v>
      </c>
      <c r="J523" t="s">
        <v>25</v>
      </c>
      <c r="K523">
        <v>0</v>
      </c>
      <c r="L523">
        <v>0</v>
      </c>
      <c r="M523" t="s">
        <v>25</v>
      </c>
      <c r="N523" t="s">
        <v>25</v>
      </c>
      <c r="O523" t="s">
        <v>26</v>
      </c>
      <c r="P523" t="s">
        <v>25</v>
      </c>
      <c r="Q523" t="s">
        <v>27</v>
      </c>
      <c r="R523" t="s">
        <v>28</v>
      </c>
    </row>
    <row r="524" spans="1:20">
      <c r="A524">
        <v>526</v>
      </c>
      <c r="B524" t="s">
        <v>625</v>
      </c>
      <c r="C524" t="s">
        <v>36</v>
      </c>
      <c r="D524" t="s">
        <v>217</v>
      </c>
      <c r="E524" t="s">
        <v>37</v>
      </c>
      <c r="F524">
        <v>10718397</v>
      </c>
      <c r="G524">
        <v>19</v>
      </c>
      <c r="H524">
        <v>1275489290</v>
      </c>
      <c r="I524" t="s">
        <v>24</v>
      </c>
      <c r="J524" t="s">
        <v>25</v>
      </c>
      <c r="K524">
        <v>0</v>
      </c>
      <c r="L524">
        <v>0</v>
      </c>
      <c r="M524" t="s">
        <v>25</v>
      </c>
      <c r="N524" t="s">
        <v>25</v>
      </c>
      <c r="O524" t="s">
        <v>26</v>
      </c>
      <c r="P524" t="s">
        <v>25</v>
      </c>
      <c r="Q524" t="s">
        <v>27</v>
      </c>
      <c r="R524" t="s">
        <v>28</v>
      </c>
    </row>
    <row r="525" spans="1:20">
      <c r="A525">
        <v>527</v>
      </c>
      <c r="B525" t="s">
        <v>626</v>
      </c>
      <c r="C525" t="s">
        <v>36</v>
      </c>
      <c r="D525" t="s">
        <v>217</v>
      </c>
      <c r="E525" t="s">
        <v>37</v>
      </c>
      <c r="F525">
        <v>10741698</v>
      </c>
      <c r="G525">
        <v>19</v>
      </c>
      <c r="H525">
        <v>1278262091</v>
      </c>
      <c r="I525" t="s">
        <v>24</v>
      </c>
      <c r="J525" t="s">
        <v>25</v>
      </c>
      <c r="K525">
        <v>0</v>
      </c>
      <c r="L525">
        <v>0</v>
      </c>
      <c r="M525" t="s">
        <v>25</v>
      </c>
      <c r="N525" t="s">
        <v>25</v>
      </c>
      <c r="O525" t="s">
        <v>26</v>
      </c>
      <c r="P525" t="s">
        <v>25</v>
      </c>
      <c r="Q525" t="s">
        <v>27</v>
      </c>
      <c r="R525" t="s">
        <v>28</v>
      </c>
    </row>
    <row r="526" spans="1:20">
      <c r="A526">
        <v>528</v>
      </c>
      <c r="B526" t="s">
        <v>627</v>
      </c>
      <c r="C526" t="s">
        <v>36</v>
      </c>
      <c r="D526" t="s">
        <v>217</v>
      </c>
      <c r="E526" t="s">
        <v>37</v>
      </c>
      <c r="F526">
        <v>10671795</v>
      </c>
      <c r="G526">
        <v>19</v>
      </c>
      <c r="H526">
        <v>1269943645</v>
      </c>
      <c r="I526" t="s">
        <v>24</v>
      </c>
      <c r="J526" t="s">
        <v>25</v>
      </c>
      <c r="K526">
        <v>0</v>
      </c>
      <c r="L526">
        <v>0</v>
      </c>
      <c r="M526" t="s">
        <v>25</v>
      </c>
      <c r="N526" t="s">
        <v>25</v>
      </c>
      <c r="O526" t="s">
        <v>26</v>
      </c>
      <c r="P526" t="s">
        <v>25</v>
      </c>
      <c r="Q526" t="s">
        <v>27</v>
      </c>
      <c r="R526" t="s">
        <v>28</v>
      </c>
    </row>
    <row r="527" spans="1:20">
      <c r="A527">
        <v>529</v>
      </c>
      <c r="B527" t="s">
        <v>628</v>
      </c>
      <c r="C527" t="s">
        <v>36</v>
      </c>
      <c r="D527" t="s">
        <v>217</v>
      </c>
      <c r="E527" t="s">
        <v>37</v>
      </c>
      <c r="F527">
        <v>10718397</v>
      </c>
      <c r="G527">
        <v>19</v>
      </c>
      <c r="H527">
        <v>1275489290</v>
      </c>
      <c r="I527" t="s">
        <v>24</v>
      </c>
      <c r="J527" t="s">
        <v>25</v>
      </c>
      <c r="K527">
        <v>0</v>
      </c>
      <c r="L527">
        <v>0</v>
      </c>
      <c r="M527" t="s">
        <v>25</v>
      </c>
      <c r="N527" t="s">
        <v>25</v>
      </c>
      <c r="O527" t="s">
        <v>26</v>
      </c>
      <c r="P527" t="s">
        <v>25</v>
      </c>
      <c r="Q527" t="s">
        <v>27</v>
      </c>
      <c r="R527" t="s">
        <v>28</v>
      </c>
    </row>
    <row r="528" spans="1:20">
      <c r="A528">
        <v>530</v>
      </c>
      <c r="B528" t="s">
        <v>629</v>
      </c>
      <c r="C528" t="s">
        <v>36</v>
      </c>
      <c r="D528" t="s">
        <v>217</v>
      </c>
      <c r="E528" t="s">
        <v>37</v>
      </c>
      <c r="F528">
        <v>10741698</v>
      </c>
      <c r="G528">
        <v>19</v>
      </c>
      <c r="H528">
        <v>1278262091</v>
      </c>
      <c r="I528" t="s">
        <v>24</v>
      </c>
      <c r="J528" t="s">
        <v>25</v>
      </c>
      <c r="K528">
        <v>0</v>
      </c>
      <c r="L528">
        <v>0</v>
      </c>
      <c r="M528" t="s">
        <v>25</v>
      </c>
      <c r="N528" t="s">
        <v>25</v>
      </c>
      <c r="O528" t="s">
        <v>26</v>
      </c>
      <c r="P528" t="s">
        <v>25</v>
      </c>
      <c r="Q528" t="s">
        <v>27</v>
      </c>
      <c r="R528" t="s">
        <v>28</v>
      </c>
    </row>
    <row r="529" spans="1:20">
      <c r="A529">
        <v>531</v>
      </c>
      <c r="B529" t="s">
        <v>630</v>
      </c>
      <c r="C529" t="s">
        <v>36</v>
      </c>
      <c r="D529" t="s">
        <v>217</v>
      </c>
      <c r="E529" t="s">
        <v>37</v>
      </c>
      <c r="F529">
        <v>10671795</v>
      </c>
      <c r="G529">
        <v>19</v>
      </c>
      <c r="H529">
        <v>1269943645</v>
      </c>
      <c r="I529" t="s">
        <v>24</v>
      </c>
      <c r="J529" t="s">
        <v>25</v>
      </c>
      <c r="K529">
        <v>0</v>
      </c>
      <c r="L529">
        <v>0</v>
      </c>
      <c r="M529" t="s">
        <v>25</v>
      </c>
      <c r="N529" t="s">
        <v>25</v>
      </c>
      <c r="O529" t="s">
        <v>26</v>
      </c>
      <c r="P529" t="s">
        <v>25</v>
      </c>
      <c r="Q529" t="s">
        <v>27</v>
      </c>
      <c r="R529" t="s">
        <v>28</v>
      </c>
    </row>
    <row r="530" spans="1:20">
      <c r="A530">
        <v>532</v>
      </c>
      <c r="B530" t="s">
        <v>631</v>
      </c>
      <c r="C530" t="s">
        <v>36</v>
      </c>
      <c r="D530" t="s">
        <v>217</v>
      </c>
      <c r="E530" t="s">
        <v>37</v>
      </c>
      <c r="F530">
        <v>10718397</v>
      </c>
      <c r="G530">
        <v>19</v>
      </c>
      <c r="H530">
        <v>1275489290</v>
      </c>
      <c r="I530" t="s">
        <v>24</v>
      </c>
      <c r="J530" t="s">
        <v>25</v>
      </c>
      <c r="K530">
        <v>0</v>
      </c>
      <c r="L530">
        <v>0</v>
      </c>
      <c r="M530" t="s">
        <v>25</v>
      </c>
      <c r="N530" t="s">
        <v>25</v>
      </c>
      <c r="O530" t="s">
        <v>26</v>
      </c>
      <c r="P530" t="s">
        <v>25</v>
      </c>
      <c r="Q530" t="s">
        <v>27</v>
      </c>
      <c r="R530" t="s">
        <v>28</v>
      </c>
    </row>
    <row r="531" spans="1:20">
      <c r="A531">
        <v>533</v>
      </c>
      <c r="B531" t="s">
        <v>632</v>
      </c>
      <c r="C531" t="s">
        <v>36</v>
      </c>
      <c r="D531" t="s">
        <v>217</v>
      </c>
      <c r="E531" t="s">
        <v>37</v>
      </c>
      <c r="F531">
        <v>10741698</v>
      </c>
      <c r="G531">
        <v>19</v>
      </c>
      <c r="H531">
        <v>1278262091</v>
      </c>
      <c r="I531" t="s">
        <v>24</v>
      </c>
      <c r="J531" t="s">
        <v>25</v>
      </c>
      <c r="K531">
        <v>0</v>
      </c>
      <c r="L531">
        <v>0</v>
      </c>
      <c r="M531" t="s">
        <v>25</v>
      </c>
      <c r="N531" t="s">
        <v>25</v>
      </c>
      <c r="O531" t="s">
        <v>26</v>
      </c>
      <c r="P531" t="s">
        <v>25</v>
      </c>
      <c r="Q531" t="s">
        <v>27</v>
      </c>
      <c r="R531" t="s">
        <v>28</v>
      </c>
    </row>
    <row r="532" spans="1:20">
      <c r="A532">
        <v>534</v>
      </c>
      <c r="B532" t="s">
        <v>633</v>
      </c>
      <c r="C532" t="s">
        <v>102</v>
      </c>
      <c r="D532" t="s">
        <v>634</v>
      </c>
      <c r="E532" t="s">
        <v>23</v>
      </c>
      <c r="F532">
        <v>582100</v>
      </c>
      <c r="G532">
        <v>19</v>
      </c>
      <c r="H532">
        <v>69269900</v>
      </c>
      <c r="I532" t="s">
        <v>24</v>
      </c>
      <c r="J532" t="s">
        <v>25</v>
      </c>
      <c r="K532">
        <v>0</v>
      </c>
      <c r="L532">
        <v>0</v>
      </c>
      <c r="M532" t="s">
        <v>25</v>
      </c>
      <c r="N532" t="s">
        <v>25</v>
      </c>
      <c r="O532" t="s">
        <v>26</v>
      </c>
      <c r="P532" t="s">
        <v>25</v>
      </c>
      <c r="Q532" t="s">
        <v>27</v>
      </c>
      <c r="R532" t="s">
        <v>28</v>
      </c>
    </row>
    <row r="533" spans="1:20">
      <c r="A533">
        <v>535</v>
      </c>
      <c r="B533" t="s">
        <v>635</v>
      </c>
      <c r="C533" t="s">
        <v>102</v>
      </c>
      <c r="D533" t="s">
        <v>634</v>
      </c>
      <c r="E533" t="s">
        <v>23</v>
      </c>
      <c r="F533">
        <v>574100</v>
      </c>
      <c r="G533">
        <v>19</v>
      </c>
      <c r="H533">
        <v>68317900</v>
      </c>
      <c r="I533" t="s">
        <v>24</v>
      </c>
      <c r="J533" t="s">
        <v>25</v>
      </c>
      <c r="K533">
        <v>0</v>
      </c>
      <c r="L533">
        <v>0</v>
      </c>
      <c r="M533" t="s">
        <v>25</v>
      </c>
      <c r="N533" t="s">
        <v>25</v>
      </c>
      <c r="O533" t="s">
        <v>26</v>
      </c>
      <c r="P533" t="s">
        <v>25</v>
      </c>
      <c r="Q533" t="s">
        <v>27</v>
      </c>
      <c r="R533" t="s">
        <v>28</v>
      </c>
    </row>
    <row r="534" spans="1:20">
      <c r="A534">
        <v>536</v>
      </c>
      <c r="B534" t="s">
        <v>636</v>
      </c>
      <c r="C534" t="s">
        <v>21</v>
      </c>
      <c r="D534" t="s">
        <v>283</v>
      </c>
      <c r="E534" t="s">
        <v>23</v>
      </c>
      <c r="F534">
        <v>11064</v>
      </c>
      <c r="G534">
        <v>19</v>
      </c>
      <c r="H534">
        <v>13166.16</v>
      </c>
      <c r="I534" t="s">
        <v>24</v>
      </c>
      <c r="J534" t="s">
        <v>25</v>
      </c>
      <c r="K534">
        <v>0</v>
      </c>
      <c r="L534">
        <v>0</v>
      </c>
      <c r="M534" t="s">
        <v>25</v>
      </c>
      <c r="N534" t="s">
        <v>25</v>
      </c>
      <c r="O534" t="s">
        <v>26</v>
      </c>
      <c r="P534" t="s">
        <v>25</v>
      </c>
      <c r="Q534" t="s">
        <v>27</v>
      </c>
      <c r="R534" t="s">
        <v>28</v>
      </c>
      <c r="S534" t="s">
        <v>51</v>
      </c>
      <c r="T534" t="s">
        <v>637</v>
      </c>
    </row>
    <row r="535" spans="1:20">
      <c r="A535">
        <v>537</v>
      </c>
      <c r="B535" t="s">
        <v>638</v>
      </c>
      <c r="C535" t="s">
        <v>36</v>
      </c>
      <c r="D535" t="s">
        <v>22</v>
      </c>
      <c r="E535" t="s">
        <v>37</v>
      </c>
      <c r="F535">
        <v>1400000</v>
      </c>
      <c r="G535">
        <v>19</v>
      </c>
      <c r="H535">
        <v>166600000</v>
      </c>
      <c r="I535" t="s">
        <v>24</v>
      </c>
      <c r="J535" t="s">
        <v>25</v>
      </c>
      <c r="K535">
        <v>0</v>
      </c>
      <c r="L535">
        <v>0</v>
      </c>
      <c r="M535" t="s">
        <v>25</v>
      </c>
      <c r="N535" t="s">
        <v>25</v>
      </c>
      <c r="O535" t="s">
        <v>26</v>
      </c>
      <c r="P535" t="s">
        <v>25</v>
      </c>
      <c r="Q535" t="s">
        <v>27</v>
      </c>
      <c r="R535" t="s">
        <v>28</v>
      </c>
    </row>
    <row r="536" spans="1:20">
      <c r="A536">
        <v>538</v>
      </c>
      <c r="B536" t="s">
        <v>639</v>
      </c>
      <c r="C536" t="s">
        <v>36</v>
      </c>
      <c r="D536" t="s">
        <v>634</v>
      </c>
      <c r="E536" t="s">
        <v>37</v>
      </c>
      <c r="F536">
        <v>405000</v>
      </c>
      <c r="G536">
        <v>19</v>
      </c>
      <c r="H536">
        <v>48195000</v>
      </c>
      <c r="I536" t="s">
        <v>24</v>
      </c>
      <c r="J536" t="s">
        <v>25</v>
      </c>
      <c r="K536">
        <v>0</v>
      </c>
      <c r="L536">
        <v>0</v>
      </c>
      <c r="M536" t="s">
        <v>25</v>
      </c>
      <c r="N536" t="s">
        <v>25</v>
      </c>
      <c r="O536" t="s">
        <v>26</v>
      </c>
      <c r="P536" t="s">
        <v>25</v>
      </c>
      <c r="Q536" t="s">
        <v>27</v>
      </c>
      <c r="R536" t="s">
        <v>28</v>
      </c>
    </row>
    <row r="537" spans="1:20">
      <c r="A537">
        <v>539</v>
      </c>
      <c r="B537" t="s">
        <v>640</v>
      </c>
      <c r="C537" t="s">
        <v>36</v>
      </c>
      <c r="D537" t="s">
        <v>32</v>
      </c>
      <c r="E537" t="s">
        <v>37</v>
      </c>
      <c r="F537">
        <v>3000</v>
      </c>
      <c r="G537">
        <v>19</v>
      </c>
      <c r="H537">
        <v>357000</v>
      </c>
      <c r="I537" t="s">
        <v>24</v>
      </c>
      <c r="J537" t="s">
        <v>25</v>
      </c>
      <c r="K537">
        <v>0</v>
      </c>
      <c r="L537">
        <v>0</v>
      </c>
      <c r="M537" t="s">
        <v>25</v>
      </c>
      <c r="N537" t="s">
        <v>25</v>
      </c>
      <c r="O537" t="s">
        <v>26</v>
      </c>
      <c r="P537" t="s">
        <v>25</v>
      </c>
      <c r="Q537" t="s">
        <v>27</v>
      </c>
      <c r="R537" t="s">
        <v>28</v>
      </c>
    </row>
    <row r="538" spans="1:20">
      <c r="A538">
        <v>540</v>
      </c>
      <c r="B538" t="s">
        <v>641</v>
      </c>
      <c r="C538" t="s">
        <v>36</v>
      </c>
      <c r="D538" t="s">
        <v>634</v>
      </c>
      <c r="E538" t="s">
        <v>37</v>
      </c>
      <c r="F538">
        <v>430000</v>
      </c>
      <c r="G538">
        <v>19</v>
      </c>
      <c r="H538">
        <v>51170000</v>
      </c>
      <c r="I538" t="s">
        <v>24</v>
      </c>
      <c r="J538" t="s">
        <v>25</v>
      </c>
      <c r="K538">
        <v>0</v>
      </c>
      <c r="L538">
        <v>0</v>
      </c>
      <c r="M538" t="s">
        <v>25</v>
      </c>
      <c r="N538" t="s">
        <v>25</v>
      </c>
      <c r="O538" t="s">
        <v>26</v>
      </c>
      <c r="P538" t="s">
        <v>25</v>
      </c>
      <c r="Q538" t="s">
        <v>27</v>
      </c>
      <c r="R538" t="s">
        <v>28</v>
      </c>
    </row>
    <row r="539" spans="1:20">
      <c r="A539">
        <v>541</v>
      </c>
      <c r="B539" t="s">
        <v>642</v>
      </c>
      <c r="C539" t="s">
        <v>21</v>
      </c>
      <c r="D539" t="s">
        <v>22</v>
      </c>
      <c r="E539" t="s">
        <v>23</v>
      </c>
      <c r="F539">
        <v>35500</v>
      </c>
      <c r="G539">
        <v>19</v>
      </c>
      <c r="H539">
        <v>4224500</v>
      </c>
      <c r="I539" t="s">
        <v>24</v>
      </c>
      <c r="J539" t="s">
        <v>25</v>
      </c>
      <c r="K539">
        <v>0</v>
      </c>
      <c r="L539">
        <v>0</v>
      </c>
      <c r="M539" t="s">
        <v>25</v>
      </c>
      <c r="N539" t="s">
        <v>25</v>
      </c>
      <c r="O539" t="s">
        <v>26</v>
      </c>
      <c r="P539" t="s">
        <v>25</v>
      </c>
      <c r="Q539" t="s">
        <v>27</v>
      </c>
      <c r="R539" t="s">
        <v>28</v>
      </c>
      <c r="S539" t="s">
        <v>48</v>
      </c>
      <c r="T539" t="s">
        <v>643</v>
      </c>
    </row>
    <row r="540" spans="1:20">
      <c r="A540">
        <v>542</v>
      </c>
      <c r="B540" t="s">
        <v>644</v>
      </c>
      <c r="C540" t="s">
        <v>36</v>
      </c>
      <c r="D540" t="s">
        <v>22</v>
      </c>
      <c r="E540" t="s">
        <v>37</v>
      </c>
      <c r="F540">
        <v>350000</v>
      </c>
      <c r="G540">
        <v>19</v>
      </c>
      <c r="H540">
        <v>41650000</v>
      </c>
      <c r="I540" t="s">
        <v>24</v>
      </c>
      <c r="J540" t="s">
        <v>25</v>
      </c>
      <c r="K540">
        <v>0</v>
      </c>
      <c r="L540">
        <v>0</v>
      </c>
      <c r="M540" t="s">
        <v>25</v>
      </c>
      <c r="N540" t="s">
        <v>25</v>
      </c>
      <c r="O540" t="s">
        <v>26</v>
      </c>
      <c r="P540" t="s">
        <v>25</v>
      </c>
      <c r="Q540" t="s">
        <v>27</v>
      </c>
      <c r="R540" t="s">
        <v>28</v>
      </c>
    </row>
    <row r="541" spans="1:20">
      <c r="A541">
        <v>543</v>
      </c>
      <c r="B541" t="s">
        <v>645</v>
      </c>
      <c r="C541" t="s">
        <v>21</v>
      </c>
      <c r="D541" t="s">
        <v>22</v>
      </c>
      <c r="E541" t="s">
        <v>23</v>
      </c>
      <c r="F541">
        <v>161240</v>
      </c>
      <c r="G541">
        <v>19</v>
      </c>
      <c r="H541">
        <v>19187560</v>
      </c>
      <c r="I541" t="s">
        <v>24</v>
      </c>
      <c r="J541" t="s">
        <v>25</v>
      </c>
      <c r="K541">
        <v>0</v>
      </c>
      <c r="L541">
        <v>0</v>
      </c>
      <c r="M541" t="s">
        <v>25</v>
      </c>
      <c r="N541" t="s">
        <v>25</v>
      </c>
      <c r="O541" t="s">
        <v>26</v>
      </c>
      <c r="P541" t="s">
        <v>25</v>
      </c>
      <c r="Q541" t="s">
        <v>27</v>
      </c>
      <c r="R541" t="s">
        <v>28</v>
      </c>
      <c r="S541" t="s">
        <v>51</v>
      </c>
      <c r="T541" t="s">
        <v>646</v>
      </c>
    </row>
    <row r="542" spans="1:20">
      <c r="A542">
        <v>544</v>
      </c>
      <c r="B542" t="s">
        <v>647</v>
      </c>
      <c r="C542" t="s">
        <v>36</v>
      </c>
      <c r="D542" t="s">
        <v>22</v>
      </c>
      <c r="E542" t="s">
        <v>37</v>
      </c>
      <c r="F542">
        <v>1400000</v>
      </c>
      <c r="G542">
        <v>19</v>
      </c>
      <c r="H542">
        <v>1400000</v>
      </c>
      <c r="I542" t="s">
        <v>24</v>
      </c>
      <c r="J542" t="s">
        <v>25</v>
      </c>
      <c r="K542">
        <v>0</v>
      </c>
      <c r="L542">
        <v>0</v>
      </c>
      <c r="M542" t="s">
        <v>25</v>
      </c>
      <c r="N542" t="s">
        <v>25</v>
      </c>
      <c r="O542" t="s">
        <v>26</v>
      </c>
      <c r="P542" t="s">
        <v>25</v>
      </c>
      <c r="Q542" t="s">
        <v>27</v>
      </c>
      <c r="R542" t="s">
        <v>28</v>
      </c>
    </row>
    <row r="543" spans="1:20">
      <c r="A543">
        <v>545</v>
      </c>
      <c r="B543" t="s">
        <v>648</v>
      </c>
      <c r="C543" t="s">
        <v>21</v>
      </c>
      <c r="D543" t="s">
        <v>283</v>
      </c>
      <c r="E543" t="s">
        <v>23</v>
      </c>
      <c r="F543">
        <v>51000</v>
      </c>
      <c r="G543">
        <v>19</v>
      </c>
      <c r="H543">
        <v>60690</v>
      </c>
      <c r="I543" t="s">
        <v>24</v>
      </c>
      <c r="J543" t="s">
        <v>25</v>
      </c>
      <c r="K543">
        <v>0</v>
      </c>
      <c r="L543">
        <v>0</v>
      </c>
      <c r="M543" t="s">
        <v>25</v>
      </c>
      <c r="N543" t="s">
        <v>25</v>
      </c>
      <c r="O543" t="s">
        <v>26</v>
      </c>
      <c r="P543" t="s">
        <v>25</v>
      </c>
      <c r="Q543" t="s">
        <v>27</v>
      </c>
      <c r="R543" t="s">
        <v>28</v>
      </c>
      <c r="S543" t="s">
        <v>51</v>
      </c>
      <c r="T543" t="s">
        <v>649</v>
      </c>
    </row>
    <row r="544" spans="1:20">
      <c r="A544">
        <v>546</v>
      </c>
      <c r="B544" t="s">
        <v>650</v>
      </c>
      <c r="C544" t="s">
        <v>21</v>
      </c>
      <c r="D544" t="s">
        <v>283</v>
      </c>
      <c r="E544" t="s">
        <v>23</v>
      </c>
      <c r="F544">
        <v>50000</v>
      </c>
      <c r="G544">
        <v>19</v>
      </c>
      <c r="H544">
        <v>59500</v>
      </c>
      <c r="I544" t="s">
        <v>24</v>
      </c>
      <c r="J544" t="s">
        <v>25</v>
      </c>
      <c r="K544">
        <v>0</v>
      </c>
      <c r="L544">
        <v>0</v>
      </c>
      <c r="M544" t="s">
        <v>25</v>
      </c>
      <c r="N544" t="s">
        <v>25</v>
      </c>
      <c r="O544" t="s">
        <v>26</v>
      </c>
      <c r="P544" t="s">
        <v>25</v>
      </c>
      <c r="Q544" t="s">
        <v>27</v>
      </c>
      <c r="R544" t="s">
        <v>28</v>
      </c>
      <c r="S544" t="s">
        <v>51</v>
      </c>
      <c r="T544" t="s">
        <v>52</v>
      </c>
    </row>
    <row r="545" spans="1:20">
      <c r="A545">
        <v>547</v>
      </c>
      <c r="B545" t="s">
        <v>651</v>
      </c>
      <c r="C545" t="s">
        <v>21</v>
      </c>
      <c r="D545" t="s">
        <v>22</v>
      </c>
      <c r="E545" t="s">
        <v>23</v>
      </c>
      <c r="F545">
        <v>190900</v>
      </c>
      <c r="G545">
        <v>19</v>
      </c>
      <c r="H545">
        <v>227171</v>
      </c>
      <c r="I545" t="s">
        <v>24</v>
      </c>
      <c r="J545" t="s">
        <v>25</v>
      </c>
      <c r="K545">
        <v>0</v>
      </c>
      <c r="L545">
        <v>0</v>
      </c>
      <c r="M545" t="s">
        <v>25</v>
      </c>
      <c r="N545" t="s">
        <v>25</v>
      </c>
      <c r="O545" t="s">
        <v>26</v>
      </c>
      <c r="P545" t="s">
        <v>25</v>
      </c>
      <c r="Q545" t="s">
        <v>27</v>
      </c>
      <c r="R545" t="s">
        <v>28</v>
      </c>
      <c r="S545" t="s">
        <v>48</v>
      </c>
      <c r="T545" t="s">
        <v>652</v>
      </c>
    </row>
    <row r="546" spans="1:20">
      <c r="A546">
        <v>548</v>
      </c>
      <c r="B546" t="s">
        <v>653</v>
      </c>
      <c r="C546" t="s">
        <v>21</v>
      </c>
      <c r="D546" t="s">
        <v>283</v>
      </c>
      <c r="E546" t="s">
        <v>23</v>
      </c>
      <c r="F546">
        <v>32970</v>
      </c>
      <c r="G546">
        <v>19</v>
      </c>
      <c r="H546">
        <v>39234.300000000003</v>
      </c>
      <c r="I546" t="s">
        <v>24</v>
      </c>
      <c r="J546" t="s">
        <v>25</v>
      </c>
      <c r="K546">
        <v>0</v>
      </c>
      <c r="L546">
        <v>0</v>
      </c>
      <c r="M546" t="s">
        <v>25</v>
      </c>
      <c r="N546" t="s">
        <v>25</v>
      </c>
      <c r="O546" t="s">
        <v>26</v>
      </c>
      <c r="P546" t="s">
        <v>25</v>
      </c>
      <c r="Q546" t="s">
        <v>27</v>
      </c>
      <c r="R546" t="s">
        <v>28</v>
      </c>
      <c r="S546" t="s">
        <v>48</v>
      </c>
      <c r="T546" t="s">
        <v>643</v>
      </c>
    </row>
    <row r="547" spans="1:20">
      <c r="A547">
        <v>549</v>
      </c>
      <c r="B547" t="s">
        <v>654</v>
      </c>
      <c r="C547" t="s">
        <v>21</v>
      </c>
      <c r="D547" t="s">
        <v>22</v>
      </c>
      <c r="E547" t="s">
        <v>23</v>
      </c>
      <c r="F547">
        <v>95000</v>
      </c>
      <c r="G547">
        <v>19</v>
      </c>
      <c r="H547">
        <v>113050</v>
      </c>
      <c r="I547" t="s">
        <v>24</v>
      </c>
      <c r="J547" t="s">
        <v>25</v>
      </c>
      <c r="K547">
        <v>0</v>
      </c>
      <c r="L547">
        <v>0</v>
      </c>
      <c r="M547" t="s">
        <v>25</v>
      </c>
      <c r="N547" t="s">
        <v>25</v>
      </c>
      <c r="O547" t="s">
        <v>26</v>
      </c>
      <c r="P547" t="s">
        <v>25</v>
      </c>
      <c r="Q547" t="s">
        <v>27</v>
      </c>
      <c r="R547" t="s">
        <v>28</v>
      </c>
      <c r="S547" t="s">
        <v>51</v>
      </c>
      <c r="T547" t="s">
        <v>305</v>
      </c>
    </row>
    <row r="548" spans="1:20">
      <c r="A548">
        <v>550</v>
      </c>
      <c r="B548" t="s">
        <v>655</v>
      </c>
      <c r="C548" t="s">
        <v>21</v>
      </c>
      <c r="D548" t="s">
        <v>22</v>
      </c>
      <c r="E548" t="s">
        <v>23</v>
      </c>
      <c r="F548">
        <v>235000</v>
      </c>
      <c r="G548">
        <v>19</v>
      </c>
      <c r="H548">
        <v>279650</v>
      </c>
      <c r="I548" t="s">
        <v>24</v>
      </c>
      <c r="J548" t="s">
        <v>25</v>
      </c>
      <c r="K548">
        <v>0</v>
      </c>
      <c r="L548">
        <v>0</v>
      </c>
      <c r="M548" t="s">
        <v>25</v>
      </c>
      <c r="N548" t="s">
        <v>25</v>
      </c>
      <c r="O548" t="s">
        <v>26</v>
      </c>
      <c r="P548" t="s">
        <v>25</v>
      </c>
      <c r="Q548" t="s">
        <v>27</v>
      </c>
      <c r="R548" t="s">
        <v>28</v>
      </c>
      <c r="S548" t="s">
        <v>51</v>
      </c>
      <c r="T548" t="s">
        <v>656</v>
      </c>
    </row>
    <row r="549" spans="1:20">
      <c r="A549">
        <v>551</v>
      </c>
      <c r="B549" t="s">
        <v>657</v>
      </c>
      <c r="C549" t="s">
        <v>21</v>
      </c>
      <c r="D549" t="s">
        <v>22</v>
      </c>
      <c r="E549" t="s">
        <v>23</v>
      </c>
      <c r="F549">
        <v>10800</v>
      </c>
      <c r="G549">
        <v>19</v>
      </c>
      <c r="H549">
        <v>12852</v>
      </c>
      <c r="I549" t="s">
        <v>24</v>
      </c>
      <c r="J549" t="s">
        <v>25</v>
      </c>
      <c r="K549">
        <v>0</v>
      </c>
      <c r="L549">
        <v>0</v>
      </c>
      <c r="M549" t="s">
        <v>25</v>
      </c>
      <c r="N549" t="s">
        <v>25</v>
      </c>
      <c r="O549" t="s">
        <v>26</v>
      </c>
      <c r="P549" t="s">
        <v>25</v>
      </c>
      <c r="Q549" t="s">
        <v>27</v>
      </c>
      <c r="R549" t="s">
        <v>28</v>
      </c>
      <c r="S549" t="s">
        <v>51</v>
      </c>
      <c r="T549" t="s">
        <v>658</v>
      </c>
    </row>
    <row r="550" spans="1:20">
      <c r="A550">
        <v>552</v>
      </c>
      <c r="B550" t="s">
        <v>659</v>
      </c>
      <c r="C550" t="s">
        <v>21</v>
      </c>
      <c r="D550" t="s">
        <v>22</v>
      </c>
      <c r="E550" t="s">
        <v>23</v>
      </c>
      <c r="F550">
        <v>10800</v>
      </c>
      <c r="G550">
        <v>19</v>
      </c>
      <c r="H550">
        <v>12852</v>
      </c>
      <c r="I550" t="s">
        <v>24</v>
      </c>
      <c r="J550" t="s">
        <v>25</v>
      </c>
      <c r="K550">
        <v>0</v>
      </c>
      <c r="L550">
        <v>0</v>
      </c>
      <c r="M550" t="s">
        <v>25</v>
      </c>
      <c r="N550" t="s">
        <v>25</v>
      </c>
      <c r="O550" t="s">
        <v>26</v>
      </c>
      <c r="P550" t="s">
        <v>25</v>
      </c>
      <c r="Q550" t="s">
        <v>27</v>
      </c>
      <c r="R550" t="s">
        <v>28</v>
      </c>
      <c r="S550" t="s">
        <v>51</v>
      </c>
      <c r="T550" t="s">
        <v>658</v>
      </c>
    </row>
    <row r="551" spans="1:20">
      <c r="A551">
        <v>553</v>
      </c>
      <c r="B551" t="s">
        <v>660</v>
      </c>
      <c r="C551" t="s">
        <v>21</v>
      </c>
      <c r="D551" t="s">
        <v>22</v>
      </c>
      <c r="E551" t="s">
        <v>23</v>
      </c>
      <c r="F551">
        <v>85000</v>
      </c>
      <c r="G551">
        <v>19</v>
      </c>
      <c r="H551">
        <v>101150</v>
      </c>
      <c r="I551" t="s">
        <v>24</v>
      </c>
      <c r="J551" t="s">
        <v>25</v>
      </c>
      <c r="K551">
        <v>0</v>
      </c>
      <c r="L551">
        <v>0</v>
      </c>
      <c r="M551" t="s">
        <v>25</v>
      </c>
      <c r="N551" t="s">
        <v>25</v>
      </c>
      <c r="O551" t="s">
        <v>26</v>
      </c>
      <c r="P551" t="s">
        <v>25</v>
      </c>
      <c r="Q551" t="s">
        <v>27</v>
      </c>
      <c r="R551" t="s">
        <v>28</v>
      </c>
      <c r="S551" t="s">
        <v>51</v>
      </c>
      <c r="T551" t="s">
        <v>658</v>
      </c>
    </row>
    <row r="552" spans="1:20">
      <c r="A552">
        <v>554</v>
      </c>
      <c r="B552" t="s">
        <v>661</v>
      </c>
      <c r="C552" t="s">
        <v>21</v>
      </c>
      <c r="D552" t="s">
        <v>22</v>
      </c>
      <c r="E552" t="s">
        <v>23</v>
      </c>
      <c r="F552">
        <v>85000</v>
      </c>
      <c r="G552">
        <v>19</v>
      </c>
      <c r="H552">
        <v>10115000</v>
      </c>
      <c r="I552" t="s">
        <v>24</v>
      </c>
      <c r="J552" t="s">
        <v>25</v>
      </c>
      <c r="K552">
        <v>0</v>
      </c>
      <c r="L552">
        <v>0</v>
      </c>
      <c r="M552" t="s">
        <v>25</v>
      </c>
      <c r="N552" t="s">
        <v>25</v>
      </c>
      <c r="O552" t="s">
        <v>26</v>
      </c>
      <c r="P552" t="s">
        <v>25</v>
      </c>
      <c r="Q552" t="s">
        <v>27</v>
      </c>
      <c r="R552" t="s">
        <v>28</v>
      </c>
    </row>
    <row r="553" spans="1:20">
      <c r="A553">
        <v>555</v>
      </c>
      <c r="B553" t="s">
        <v>662</v>
      </c>
      <c r="C553" t="s">
        <v>21</v>
      </c>
      <c r="D553" t="s">
        <v>22</v>
      </c>
      <c r="E553" t="s">
        <v>23</v>
      </c>
      <c r="F553">
        <v>5500</v>
      </c>
      <c r="G553">
        <v>19</v>
      </c>
      <c r="H553">
        <v>6545</v>
      </c>
      <c r="I553" t="s">
        <v>24</v>
      </c>
      <c r="J553" t="s">
        <v>25</v>
      </c>
      <c r="K553">
        <v>0</v>
      </c>
      <c r="L553">
        <v>0</v>
      </c>
      <c r="M553" t="s">
        <v>25</v>
      </c>
      <c r="N553" t="s">
        <v>25</v>
      </c>
      <c r="O553" t="s">
        <v>26</v>
      </c>
      <c r="P553" t="s">
        <v>25</v>
      </c>
      <c r="Q553" t="s">
        <v>27</v>
      </c>
      <c r="R553" t="s">
        <v>28</v>
      </c>
      <c r="S553" t="s">
        <v>48</v>
      </c>
      <c r="T553" t="s">
        <v>643</v>
      </c>
    </row>
    <row r="554" spans="1:20">
      <c r="A554">
        <v>556</v>
      </c>
      <c r="B554" t="s">
        <v>663</v>
      </c>
      <c r="C554" t="s">
        <v>21</v>
      </c>
      <c r="D554" t="s">
        <v>22</v>
      </c>
      <c r="E554" t="s">
        <v>23</v>
      </c>
      <c r="F554">
        <v>8000</v>
      </c>
      <c r="G554">
        <v>19</v>
      </c>
      <c r="H554">
        <v>9520</v>
      </c>
      <c r="I554" t="s">
        <v>24</v>
      </c>
      <c r="J554" t="s">
        <v>25</v>
      </c>
      <c r="K554">
        <v>0</v>
      </c>
      <c r="L554">
        <v>0</v>
      </c>
      <c r="M554" t="s">
        <v>25</v>
      </c>
      <c r="N554" t="s">
        <v>25</v>
      </c>
      <c r="O554" t="s">
        <v>26</v>
      </c>
      <c r="P554" t="s">
        <v>25</v>
      </c>
      <c r="Q554" t="s">
        <v>27</v>
      </c>
      <c r="R554" t="s">
        <v>28</v>
      </c>
      <c r="S554" t="s">
        <v>48</v>
      </c>
      <c r="T554" t="s">
        <v>643</v>
      </c>
    </row>
    <row r="555" spans="1:20">
      <c r="A555">
        <v>557</v>
      </c>
      <c r="B555" t="s">
        <v>664</v>
      </c>
      <c r="C555" t="s">
        <v>21</v>
      </c>
      <c r="D555" t="s">
        <v>22</v>
      </c>
      <c r="E555" t="s">
        <v>23</v>
      </c>
      <c r="F555">
        <v>162000</v>
      </c>
      <c r="G555">
        <v>19</v>
      </c>
      <c r="H555">
        <v>19278000</v>
      </c>
      <c r="I555" t="s">
        <v>24</v>
      </c>
      <c r="J555" t="s">
        <v>25</v>
      </c>
      <c r="K555">
        <v>0</v>
      </c>
      <c r="L555">
        <v>0</v>
      </c>
      <c r="M555" t="s">
        <v>25</v>
      </c>
      <c r="N555" t="s">
        <v>25</v>
      </c>
      <c r="O555" t="s">
        <v>26</v>
      </c>
      <c r="P555" t="s">
        <v>25</v>
      </c>
      <c r="Q555" t="s">
        <v>27</v>
      </c>
      <c r="R555" t="s">
        <v>28</v>
      </c>
    </row>
    <row r="556" spans="1:20">
      <c r="A556">
        <v>558</v>
      </c>
      <c r="B556" t="s">
        <v>665</v>
      </c>
      <c r="C556" t="s">
        <v>21</v>
      </c>
      <c r="D556" t="s">
        <v>22</v>
      </c>
      <c r="E556" t="s">
        <v>23</v>
      </c>
      <c r="F556">
        <v>300000</v>
      </c>
      <c r="G556">
        <v>19</v>
      </c>
      <c r="H556">
        <v>35700000</v>
      </c>
      <c r="I556" t="s">
        <v>24</v>
      </c>
      <c r="J556" t="s">
        <v>25</v>
      </c>
      <c r="K556">
        <v>0</v>
      </c>
      <c r="L556">
        <v>0</v>
      </c>
      <c r="M556" t="s">
        <v>25</v>
      </c>
      <c r="N556" t="s">
        <v>25</v>
      </c>
      <c r="O556" t="s">
        <v>26</v>
      </c>
      <c r="P556" t="s">
        <v>25</v>
      </c>
      <c r="Q556" t="s">
        <v>27</v>
      </c>
      <c r="R556" t="s">
        <v>28</v>
      </c>
    </row>
    <row r="557" spans="1:20">
      <c r="A557">
        <v>559</v>
      </c>
      <c r="B557" t="s">
        <v>666</v>
      </c>
      <c r="C557" t="s">
        <v>21</v>
      </c>
      <c r="D557" t="s">
        <v>22</v>
      </c>
      <c r="E557" t="s">
        <v>23</v>
      </c>
      <c r="F557">
        <v>310000</v>
      </c>
      <c r="G557">
        <v>19</v>
      </c>
      <c r="H557">
        <v>36890000</v>
      </c>
      <c r="I557" t="s">
        <v>24</v>
      </c>
      <c r="J557" t="s">
        <v>25</v>
      </c>
      <c r="K557">
        <v>0</v>
      </c>
      <c r="L557">
        <v>0</v>
      </c>
      <c r="M557" t="s">
        <v>25</v>
      </c>
      <c r="N557" t="s">
        <v>25</v>
      </c>
      <c r="O557" t="s">
        <v>26</v>
      </c>
      <c r="P557" t="s">
        <v>25</v>
      </c>
      <c r="Q557" t="s">
        <v>27</v>
      </c>
      <c r="R557" t="s">
        <v>28</v>
      </c>
    </row>
    <row r="558" spans="1:20">
      <c r="A558">
        <v>560</v>
      </c>
      <c r="B558" t="s">
        <v>667</v>
      </c>
      <c r="C558" t="s">
        <v>21</v>
      </c>
      <c r="D558" t="s">
        <v>22</v>
      </c>
      <c r="E558" t="s">
        <v>23</v>
      </c>
      <c r="F558">
        <v>310000</v>
      </c>
      <c r="G558">
        <v>19</v>
      </c>
      <c r="H558">
        <v>36890000</v>
      </c>
      <c r="I558" t="s">
        <v>24</v>
      </c>
      <c r="J558" t="s">
        <v>25</v>
      </c>
      <c r="K558">
        <v>0</v>
      </c>
      <c r="L558">
        <v>0</v>
      </c>
      <c r="M558" t="s">
        <v>25</v>
      </c>
      <c r="N558" t="s">
        <v>25</v>
      </c>
      <c r="O558" t="s">
        <v>26</v>
      </c>
      <c r="P558" t="s">
        <v>25</v>
      </c>
      <c r="Q558" t="s">
        <v>27</v>
      </c>
      <c r="R558" t="s">
        <v>28</v>
      </c>
    </row>
    <row r="559" spans="1:20">
      <c r="A559">
        <v>561</v>
      </c>
      <c r="B559" t="s">
        <v>668</v>
      </c>
      <c r="C559" t="s">
        <v>21</v>
      </c>
      <c r="D559" t="s">
        <v>22</v>
      </c>
      <c r="E559" t="s">
        <v>23</v>
      </c>
      <c r="F559">
        <v>270000</v>
      </c>
      <c r="G559">
        <v>19</v>
      </c>
      <c r="H559">
        <v>32130000</v>
      </c>
      <c r="I559" t="s">
        <v>24</v>
      </c>
      <c r="J559" t="s">
        <v>25</v>
      </c>
      <c r="K559">
        <v>0</v>
      </c>
      <c r="L559">
        <v>0</v>
      </c>
      <c r="M559" t="s">
        <v>25</v>
      </c>
      <c r="N559" t="s">
        <v>25</v>
      </c>
      <c r="O559" t="s">
        <v>26</v>
      </c>
      <c r="P559" t="s">
        <v>25</v>
      </c>
      <c r="Q559" t="s">
        <v>27</v>
      </c>
      <c r="R559" t="s">
        <v>28</v>
      </c>
    </row>
    <row r="560" spans="1:20">
      <c r="A560">
        <v>562</v>
      </c>
      <c r="B560" t="s">
        <v>669</v>
      </c>
      <c r="C560" t="s">
        <v>21</v>
      </c>
      <c r="D560" t="s">
        <v>22</v>
      </c>
      <c r="E560" t="s">
        <v>23</v>
      </c>
      <c r="F560">
        <v>520000</v>
      </c>
      <c r="G560">
        <v>19</v>
      </c>
      <c r="H560">
        <v>61880000</v>
      </c>
      <c r="I560" t="s">
        <v>24</v>
      </c>
      <c r="J560" t="s">
        <v>25</v>
      </c>
      <c r="K560">
        <v>0</v>
      </c>
      <c r="L560">
        <v>0</v>
      </c>
      <c r="M560" t="s">
        <v>25</v>
      </c>
      <c r="N560" t="s">
        <v>25</v>
      </c>
      <c r="O560" t="s">
        <v>26</v>
      </c>
      <c r="P560" t="s">
        <v>25</v>
      </c>
      <c r="Q560" t="s">
        <v>27</v>
      </c>
      <c r="R560" t="s">
        <v>28</v>
      </c>
    </row>
    <row r="561" spans="1:20">
      <c r="A561">
        <v>563</v>
      </c>
      <c r="B561" t="s">
        <v>670</v>
      </c>
      <c r="C561" t="s">
        <v>21</v>
      </c>
      <c r="D561" t="s">
        <v>22</v>
      </c>
      <c r="E561" t="s">
        <v>23</v>
      </c>
      <c r="F561">
        <v>520000</v>
      </c>
      <c r="G561">
        <v>19</v>
      </c>
      <c r="H561">
        <v>61880000</v>
      </c>
      <c r="I561" t="s">
        <v>24</v>
      </c>
      <c r="J561" t="s">
        <v>25</v>
      </c>
      <c r="K561">
        <v>0</v>
      </c>
      <c r="L561">
        <v>0</v>
      </c>
      <c r="M561" t="s">
        <v>25</v>
      </c>
      <c r="N561" t="s">
        <v>25</v>
      </c>
      <c r="O561" t="s">
        <v>26</v>
      </c>
      <c r="P561" t="s">
        <v>25</v>
      </c>
      <c r="Q561" t="s">
        <v>27</v>
      </c>
      <c r="R561" t="s">
        <v>28</v>
      </c>
    </row>
    <row r="562" spans="1:20">
      <c r="A562">
        <v>564</v>
      </c>
      <c r="B562" t="s">
        <v>671</v>
      </c>
      <c r="C562" t="s">
        <v>21</v>
      </c>
      <c r="D562" t="s">
        <v>22</v>
      </c>
      <c r="E562" t="s">
        <v>23</v>
      </c>
      <c r="F562">
        <v>520000</v>
      </c>
      <c r="G562">
        <v>19</v>
      </c>
      <c r="H562">
        <v>61880000</v>
      </c>
      <c r="I562" t="s">
        <v>24</v>
      </c>
      <c r="J562" t="s">
        <v>25</v>
      </c>
      <c r="K562">
        <v>0</v>
      </c>
      <c r="L562">
        <v>0</v>
      </c>
      <c r="M562" t="s">
        <v>25</v>
      </c>
      <c r="N562" t="s">
        <v>25</v>
      </c>
      <c r="O562" t="s">
        <v>26</v>
      </c>
      <c r="P562" t="s">
        <v>25</v>
      </c>
      <c r="Q562" t="s">
        <v>27</v>
      </c>
      <c r="R562" t="s">
        <v>28</v>
      </c>
    </row>
    <row r="563" spans="1:20">
      <c r="A563">
        <v>565</v>
      </c>
      <c r="B563" t="s">
        <v>672</v>
      </c>
      <c r="C563" t="s">
        <v>21</v>
      </c>
      <c r="D563" t="s">
        <v>22</v>
      </c>
      <c r="E563" t="s">
        <v>23</v>
      </c>
      <c r="F563">
        <v>520000</v>
      </c>
      <c r="G563">
        <v>19</v>
      </c>
      <c r="H563">
        <v>61880000</v>
      </c>
      <c r="I563" t="s">
        <v>24</v>
      </c>
      <c r="J563" t="s">
        <v>25</v>
      </c>
      <c r="K563">
        <v>0</v>
      </c>
      <c r="L563">
        <v>0</v>
      </c>
      <c r="M563" t="s">
        <v>25</v>
      </c>
      <c r="N563" t="s">
        <v>25</v>
      </c>
      <c r="O563" t="s">
        <v>26</v>
      </c>
      <c r="P563" t="s">
        <v>25</v>
      </c>
      <c r="Q563" t="s">
        <v>27</v>
      </c>
      <c r="R563" t="s">
        <v>28</v>
      </c>
    </row>
    <row r="564" spans="1:20">
      <c r="A564">
        <v>566</v>
      </c>
      <c r="B564" t="s">
        <v>673</v>
      </c>
      <c r="C564" t="s">
        <v>21</v>
      </c>
      <c r="D564" t="s">
        <v>22</v>
      </c>
      <c r="E564" t="s">
        <v>23</v>
      </c>
      <c r="F564">
        <v>520000</v>
      </c>
      <c r="G564">
        <v>19</v>
      </c>
      <c r="H564">
        <v>61880000</v>
      </c>
      <c r="I564" t="s">
        <v>24</v>
      </c>
      <c r="J564" t="s">
        <v>25</v>
      </c>
      <c r="K564">
        <v>0</v>
      </c>
      <c r="L564">
        <v>0</v>
      </c>
      <c r="M564" t="s">
        <v>25</v>
      </c>
      <c r="N564" t="s">
        <v>25</v>
      </c>
      <c r="O564" t="s">
        <v>26</v>
      </c>
      <c r="P564" t="s">
        <v>25</v>
      </c>
      <c r="Q564" t="s">
        <v>27</v>
      </c>
      <c r="R564" t="s">
        <v>28</v>
      </c>
    </row>
    <row r="565" spans="1:20">
      <c r="A565">
        <v>567</v>
      </c>
      <c r="B565" t="s">
        <v>674</v>
      </c>
      <c r="C565" t="s">
        <v>21</v>
      </c>
      <c r="D565" t="s">
        <v>22</v>
      </c>
      <c r="E565" t="s">
        <v>23</v>
      </c>
      <c r="F565">
        <v>520000</v>
      </c>
      <c r="G565">
        <v>19</v>
      </c>
      <c r="H565">
        <v>61880000</v>
      </c>
      <c r="I565" t="s">
        <v>24</v>
      </c>
      <c r="J565" t="s">
        <v>25</v>
      </c>
      <c r="K565">
        <v>0</v>
      </c>
      <c r="L565">
        <v>0</v>
      </c>
      <c r="M565" t="s">
        <v>25</v>
      </c>
      <c r="N565" t="s">
        <v>25</v>
      </c>
      <c r="O565" t="s">
        <v>26</v>
      </c>
      <c r="P565" t="s">
        <v>25</v>
      </c>
      <c r="Q565" t="s">
        <v>27</v>
      </c>
      <c r="R565" t="s">
        <v>28</v>
      </c>
    </row>
    <row r="566" spans="1:20">
      <c r="A566">
        <v>568</v>
      </c>
      <c r="B566" t="s">
        <v>675</v>
      </c>
      <c r="C566" t="s">
        <v>21</v>
      </c>
      <c r="D566" t="s">
        <v>22</v>
      </c>
      <c r="E566" t="s">
        <v>23</v>
      </c>
      <c r="F566">
        <v>69028</v>
      </c>
      <c r="G566">
        <v>19</v>
      </c>
      <c r="H566">
        <v>82143.320000000007</v>
      </c>
      <c r="I566" t="s">
        <v>24</v>
      </c>
      <c r="J566" t="s">
        <v>25</v>
      </c>
      <c r="K566">
        <v>0</v>
      </c>
      <c r="L566">
        <v>0</v>
      </c>
      <c r="M566" t="s">
        <v>25</v>
      </c>
      <c r="N566" t="s">
        <v>25</v>
      </c>
      <c r="O566" t="s">
        <v>26</v>
      </c>
      <c r="P566" t="s">
        <v>25</v>
      </c>
      <c r="Q566" t="s">
        <v>27</v>
      </c>
      <c r="R566" t="s">
        <v>28</v>
      </c>
      <c r="S566" t="s">
        <v>51</v>
      </c>
      <c r="T566" t="s">
        <v>676</v>
      </c>
    </row>
    <row r="567" spans="1:20">
      <c r="A567">
        <v>569</v>
      </c>
      <c r="B567" t="s">
        <v>677</v>
      </c>
      <c r="C567" t="s">
        <v>21</v>
      </c>
      <c r="D567" t="s">
        <v>22</v>
      </c>
      <c r="E567" t="s">
        <v>23</v>
      </c>
      <c r="F567">
        <v>160744</v>
      </c>
      <c r="G567">
        <v>19</v>
      </c>
      <c r="H567">
        <v>19128536</v>
      </c>
      <c r="I567" t="s">
        <v>24</v>
      </c>
      <c r="J567" t="s">
        <v>25</v>
      </c>
      <c r="K567">
        <v>0</v>
      </c>
      <c r="L567">
        <v>0</v>
      </c>
      <c r="M567" t="s">
        <v>25</v>
      </c>
      <c r="N567" t="s">
        <v>25</v>
      </c>
      <c r="O567" t="s">
        <v>26</v>
      </c>
      <c r="P567" t="s">
        <v>25</v>
      </c>
      <c r="Q567" t="s">
        <v>27</v>
      </c>
      <c r="R567" t="s">
        <v>28</v>
      </c>
      <c r="S567" t="s">
        <v>51</v>
      </c>
      <c r="T567" t="s">
        <v>678</v>
      </c>
    </row>
    <row r="568" spans="1:20">
      <c r="A568">
        <v>570</v>
      </c>
      <c r="B568" t="s">
        <v>679</v>
      </c>
      <c r="C568" t="s">
        <v>21</v>
      </c>
      <c r="D568" t="s">
        <v>22</v>
      </c>
      <c r="E568" t="s">
        <v>23</v>
      </c>
      <c r="F568">
        <v>158700</v>
      </c>
      <c r="G568">
        <v>19</v>
      </c>
      <c r="H568">
        <v>18885300</v>
      </c>
      <c r="I568" t="s">
        <v>24</v>
      </c>
      <c r="J568" t="s">
        <v>25</v>
      </c>
      <c r="K568">
        <v>0</v>
      </c>
      <c r="L568">
        <v>0</v>
      </c>
      <c r="M568" t="s">
        <v>25</v>
      </c>
      <c r="N568" t="s">
        <v>25</v>
      </c>
      <c r="O568" t="s">
        <v>26</v>
      </c>
      <c r="P568" t="s">
        <v>25</v>
      </c>
      <c r="Q568" t="s">
        <v>27</v>
      </c>
      <c r="R568" t="s">
        <v>28</v>
      </c>
      <c r="S568" t="s">
        <v>51</v>
      </c>
      <c r="T568" t="s">
        <v>680</v>
      </c>
    </row>
    <row r="569" spans="1:20">
      <c r="A569">
        <v>571</v>
      </c>
      <c r="B569" t="s">
        <v>681</v>
      </c>
      <c r="C569" t="s">
        <v>21</v>
      </c>
      <c r="D569" t="s">
        <v>22</v>
      </c>
      <c r="E569" t="s">
        <v>23</v>
      </c>
      <c r="F569">
        <v>364000</v>
      </c>
      <c r="G569">
        <v>19</v>
      </c>
      <c r="H569">
        <v>43316000</v>
      </c>
      <c r="I569" t="s">
        <v>24</v>
      </c>
      <c r="J569" t="s">
        <v>25</v>
      </c>
      <c r="K569">
        <v>0</v>
      </c>
      <c r="L569">
        <v>0</v>
      </c>
      <c r="M569" t="s">
        <v>25</v>
      </c>
      <c r="N569" t="s">
        <v>25</v>
      </c>
      <c r="O569" t="s">
        <v>26</v>
      </c>
      <c r="P569" t="s">
        <v>25</v>
      </c>
      <c r="Q569" t="s">
        <v>27</v>
      </c>
      <c r="R569" t="s">
        <v>28</v>
      </c>
      <c r="S569" t="s">
        <v>51</v>
      </c>
      <c r="T569" t="s">
        <v>680</v>
      </c>
    </row>
    <row r="570" spans="1:20">
      <c r="A570">
        <v>572</v>
      </c>
      <c r="B570" t="s">
        <v>682</v>
      </c>
      <c r="C570" t="s">
        <v>21</v>
      </c>
      <c r="D570" t="s">
        <v>22</v>
      </c>
      <c r="E570" t="s">
        <v>23</v>
      </c>
      <c r="F570">
        <v>479000</v>
      </c>
      <c r="G570">
        <v>19</v>
      </c>
      <c r="H570">
        <v>570010</v>
      </c>
      <c r="I570" t="s">
        <v>24</v>
      </c>
      <c r="J570" t="s">
        <v>25</v>
      </c>
      <c r="K570">
        <v>0</v>
      </c>
      <c r="L570">
        <v>0</v>
      </c>
      <c r="M570" t="s">
        <v>25</v>
      </c>
      <c r="N570" t="s">
        <v>25</v>
      </c>
      <c r="O570" t="s">
        <v>26</v>
      </c>
      <c r="P570" t="s">
        <v>25</v>
      </c>
      <c r="Q570" t="s">
        <v>27</v>
      </c>
      <c r="R570" t="s">
        <v>28</v>
      </c>
      <c r="S570" t="s">
        <v>51</v>
      </c>
      <c r="T570" t="s">
        <v>680</v>
      </c>
    </row>
    <row r="571" spans="1:20">
      <c r="A571">
        <v>573</v>
      </c>
      <c r="B571" t="s">
        <v>683</v>
      </c>
      <c r="C571" t="s">
        <v>21</v>
      </c>
      <c r="D571" t="s">
        <v>22</v>
      </c>
      <c r="E571" t="s">
        <v>23</v>
      </c>
      <c r="F571">
        <v>495000</v>
      </c>
      <c r="G571">
        <v>19</v>
      </c>
      <c r="H571">
        <v>58905000</v>
      </c>
      <c r="I571" t="s">
        <v>24</v>
      </c>
      <c r="J571" t="s">
        <v>25</v>
      </c>
      <c r="K571">
        <v>0</v>
      </c>
      <c r="L571">
        <v>0</v>
      </c>
      <c r="M571" t="s">
        <v>25</v>
      </c>
      <c r="N571" t="s">
        <v>25</v>
      </c>
      <c r="O571" t="s">
        <v>26</v>
      </c>
      <c r="P571" t="s">
        <v>25</v>
      </c>
      <c r="Q571" t="s">
        <v>27</v>
      </c>
      <c r="R571" t="s">
        <v>28</v>
      </c>
      <c r="S571" t="s">
        <v>51</v>
      </c>
      <c r="T571" t="s">
        <v>680</v>
      </c>
    </row>
    <row r="572" spans="1:20">
      <c r="A572">
        <v>574</v>
      </c>
      <c r="B572" t="s">
        <v>684</v>
      </c>
      <c r="C572" t="s">
        <v>21</v>
      </c>
      <c r="D572" t="s">
        <v>22</v>
      </c>
      <c r="E572" t="s">
        <v>23</v>
      </c>
      <c r="F572">
        <v>412000</v>
      </c>
      <c r="G572">
        <v>19</v>
      </c>
      <c r="H572">
        <v>490280</v>
      </c>
      <c r="I572" t="s">
        <v>24</v>
      </c>
      <c r="J572" t="s">
        <v>25</v>
      </c>
      <c r="K572">
        <v>0</v>
      </c>
      <c r="L572">
        <v>0</v>
      </c>
      <c r="M572" t="s">
        <v>25</v>
      </c>
      <c r="N572" t="s">
        <v>25</v>
      </c>
      <c r="O572" t="s">
        <v>26</v>
      </c>
      <c r="P572" t="s">
        <v>25</v>
      </c>
      <c r="Q572" t="s">
        <v>27</v>
      </c>
      <c r="R572" t="s">
        <v>28</v>
      </c>
      <c r="S572" t="s">
        <v>51</v>
      </c>
      <c r="T572" t="s">
        <v>680</v>
      </c>
    </row>
    <row r="573" spans="1:20">
      <c r="A573">
        <v>575</v>
      </c>
      <c r="B573" t="s">
        <v>685</v>
      </c>
      <c r="C573" t="s">
        <v>21</v>
      </c>
      <c r="D573" t="s">
        <v>22</v>
      </c>
      <c r="E573" t="s">
        <v>23</v>
      </c>
      <c r="F573">
        <v>412000</v>
      </c>
      <c r="G573">
        <v>19</v>
      </c>
      <c r="H573">
        <v>49028000</v>
      </c>
      <c r="I573" t="s">
        <v>24</v>
      </c>
      <c r="J573" t="s">
        <v>25</v>
      </c>
      <c r="K573">
        <v>0</v>
      </c>
      <c r="L573">
        <v>0</v>
      </c>
      <c r="M573" t="s">
        <v>25</v>
      </c>
      <c r="N573" t="s">
        <v>25</v>
      </c>
      <c r="O573" t="s">
        <v>26</v>
      </c>
      <c r="P573" t="s">
        <v>25</v>
      </c>
      <c r="Q573" t="s">
        <v>27</v>
      </c>
      <c r="R573" t="s">
        <v>28</v>
      </c>
      <c r="S573" t="s">
        <v>51</v>
      </c>
      <c r="T573" t="s">
        <v>680</v>
      </c>
    </row>
    <row r="574" spans="1:20">
      <c r="A574">
        <v>576</v>
      </c>
      <c r="B574" t="s">
        <v>686</v>
      </c>
      <c r="C574" t="s">
        <v>21</v>
      </c>
      <c r="D574" t="s">
        <v>22</v>
      </c>
      <c r="E574" t="s">
        <v>23</v>
      </c>
      <c r="F574">
        <v>412000</v>
      </c>
      <c r="G574">
        <v>19</v>
      </c>
      <c r="H574">
        <v>49028000</v>
      </c>
      <c r="I574" t="s">
        <v>24</v>
      </c>
      <c r="J574" t="s">
        <v>25</v>
      </c>
      <c r="K574">
        <v>0</v>
      </c>
      <c r="L574">
        <v>0</v>
      </c>
      <c r="M574" t="s">
        <v>25</v>
      </c>
      <c r="N574" t="s">
        <v>25</v>
      </c>
      <c r="O574" t="s">
        <v>26</v>
      </c>
      <c r="P574" t="s">
        <v>25</v>
      </c>
      <c r="Q574" t="s">
        <v>27</v>
      </c>
      <c r="R574" t="s">
        <v>28</v>
      </c>
      <c r="S574" t="s">
        <v>51</v>
      </c>
      <c r="T574" t="s">
        <v>680</v>
      </c>
    </row>
    <row r="575" spans="1:20">
      <c r="A575">
        <v>577</v>
      </c>
      <c r="B575" t="s">
        <v>687</v>
      </c>
      <c r="C575" t="s">
        <v>21</v>
      </c>
      <c r="D575" t="s">
        <v>22</v>
      </c>
      <c r="E575" t="s">
        <v>23</v>
      </c>
      <c r="F575">
        <v>412000</v>
      </c>
      <c r="G575">
        <v>19</v>
      </c>
      <c r="H575">
        <v>49028000</v>
      </c>
      <c r="I575" t="s">
        <v>24</v>
      </c>
      <c r="J575" t="s">
        <v>25</v>
      </c>
      <c r="K575">
        <v>0</v>
      </c>
      <c r="L575">
        <v>0</v>
      </c>
      <c r="M575" t="s">
        <v>25</v>
      </c>
      <c r="N575" t="s">
        <v>25</v>
      </c>
      <c r="O575" t="s">
        <v>26</v>
      </c>
      <c r="P575" t="s">
        <v>25</v>
      </c>
      <c r="Q575" t="s">
        <v>27</v>
      </c>
      <c r="R575" t="s">
        <v>28</v>
      </c>
      <c r="S575" t="s">
        <v>51</v>
      </c>
      <c r="T575" t="s">
        <v>680</v>
      </c>
    </row>
    <row r="576" spans="1:20">
      <c r="A576">
        <v>578</v>
      </c>
      <c r="B576" t="s">
        <v>688</v>
      </c>
      <c r="C576" t="s">
        <v>21</v>
      </c>
      <c r="D576" t="s">
        <v>22</v>
      </c>
      <c r="E576" t="s">
        <v>23</v>
      </c>
      <c r="F576">
        <v>472000</v>
      </c>
      <c r="G576">
        <v>19</v>
      </c>
      <c r="H576">
        <v>56168000</v>
      </c>
      <c r="I576" t="s">
        <v>24</v>
      </c>
      <c r="J576" t="s">
        <v>25</v>
      </c>
      <c r="K576">
        <v>0</v>
      </c>
      <c r="L576">
        <v>0</v>
      </c>
      <c r="M576" t="s">
        <v>25</v>
      </c>
      <c r="N576" t="s">
        <v>25</v>
      </c>
      <c r="O576" t="s">
        <v>26</v>
      </c>
      <c r="P576" t="s">
        <v>25</v>
      </c>
      <c r="Q576" t="s">
        <v>27</v>
      </c>
      <c r="R576" t="s">
        <v>28</v>
      </c>
      <c r="S576" t="s">
        <v>51</v>
      </c>
      <c r="T576" t="s">
        <v>680</v>
      </c>
    </row>
    <row r="577" spans="1:20">
      <c r="A577">
        <v>579</v>
      </c>
      <c r="B577" t="s">
        <v>689</v>
      </c>
      <c r="C577" t="s">
        <v>21</v>
      </c>
      <c r="D577" t="s">
        <v>22</v>
      </c>
      <c r="E577" t="s">
        <v>23</v>
      </c>
      <c r="F577">
        <v>411000</v>
      </c>
      <c r="G577">
        <v>19</v>
      </c>
      <c r="H577">
        <v>48909000</v>
      </c>
      <c r="I577" t="s">
        <v>24</v>
      </c>
      <c r="J577" t="s">
        <v>25</v>
      </c>
      <c r="K577">
        <v>0</v>
      </c>
      <c r="L577">
        <v>0</v>
      </c>
      <c r="M577" t="s">
        <v>25</v>
      </c>
      <c r="N577" t="s">
        <v>25</v>
      </c>
      <c r="O577" t="s">
        <v>26</v>
      </c>
      <c r="P577" t="s">
        <v>25</v>
      </c>
      <c r="Q577" t="s">
        <v>27</v>
      </c>
      <c r="R577" t="s">
        <v>28</v>
      </c>
      <c r="S577" t="s">
        <v>51</v>
      </c>
      <c r="T577" t="s">
        <v>680</v>
      </c>
    </row>
    <row r="578" spans="1:20">
      <c r="A578">
        <v>580</v>
      </c>
      <c r="B578" t="s">
        <v>690</v>
      </c>
      <c r="C578" t="s">
        <v>21</v>
      </c>
      <c r="D578" t="s">
        <v>22</v>
      </c>
      <c r="E578" t="s">
        <v>23</v>
      </c>
      <c r="F578">
        <v>438000</v>
      </c>
      <c r="G578">
        <v>19</v>
      </c>
      <c r="H578">
        <v>52122000</v>
      </c>
      <c r="I578" t="s">
        <v>24</v>
      </c>
      <c r="J578" t="s">
        <v>25</v>
      </c>
      <c r="K578">
        <v>0</v>
      </c>
      <c r="L578">
        <v>0</v>
      </c>
      <c r="M578" t="s">
        <v>25</v>
      </c>
      <c r="N578" t="s">
        <v>25</v>
      </c>
      <c r="O578" t="s">
        <v>26</v>
      </c>
      <c r="P578" t="s">
        <v>25</v>
      </c>
      <c r="Q578" t="s">
        <v>27</v>
      </c>
      <c r="R578" t="s">
        <v>28</v>
      </c>
      <c r="S578" t="s">
        <v>51</v>
      </c>
      <c r="T578" t="s">
        <v>680</v>
      </c>
    </row>
    <row r="579" spans="1:20">
      <c r="A579">
        <v>581</v>
      </c>
      <c r="B579" t="s">
        <v>691</v>
      </c>
      <c r="C579" t="s">
        <v>21</v>
      </c>
      <c r="D579" t="s">
        <v>22</v>
      </c>
      <c r="E579" t="s">
        <v>23</v>
      </c>
      <c r="F579">
        <v>299000</v>
      </c>
      <c r="G579">
        <v>19</v>
      </c>
      <c r="H579">
        <v>35581000</v>
      </c>
      <c r="I579" t="s">
        <v>24</v>
      </c>
      <c r="J579" t="s">
        <v>25</v>
      </c>
      <c r="K579">
        <v>0</v>
      </c>
      <c r="L579">
        <v>0</v>
      </c>
      <c r="M579" t="s">
        <v>25</v>
      </c>
      <c r="N579" t="s">
        <v>25</v>
      </c>
      <c r="O579" t="s">
        <v>26</v>
      </c>
      <c r="P579" t="s">
        <v>25</v>
      </c>
      <c r="Q579" t="s">
        <v>27</v>
      </c>
      <c r="R579" t="s">
        <v>28</v>
      </c>
      <c r="S579" t="s">
        <v>51</v>
      </c>
      <c r="T579" t="s">
        <v>680</v>
      </c>
    </row>
    <row r="580" spans="1:20">
      <c r="A580">
        <v>582</v>
      </c>
      <c r="B580" t="s">
        <v>692</v>
      </c>
      <c r="C580" t="s">
        <v>21</v>
      </c>
      <c r="D580" t="s">
        <v>22</v>
      </c>
      <c r="E580" t="s">
        <v>23</v>
      </c>
      <c r="F580">
        <v>494000</v>
      </c>
      <c r="G580">
        <v>19</v>
      </c>
      <c r="H580">
        <v>58786000</v>
      </c>
      <c r="I580" t="s">
        <v>24</v>
      </c>
      <c r="J580" t="s">
        <v>25</v>
      </c>
      <c r="K580">
        <v>0</v>
      </c>
      <c r="L580">
        <v>0</v>
      </c>
      <c r="M580" t="s">
        <v>25</v>
      </c>
      <c r="N580" t="s">
        <v>25</v>
      </c>
      <c r="O580" t="s">
        <v>26</v>
      </c>
      <c r="P580" t="s">
        <v>25</v>
      </c>
      <c r="Q580" t="s">
        <v>27</v>
      </c>
      <c r="R580" t="s">
        <v>28</v>
      </c>
      <c r="S580" t="s">
        <v>51</v>
      </c>
      <c r="T580" t="s">
        <v>680</v>
      </c>
    </row>
    <row r="581" spans="1:20">
      <c r="A581">
        <v>583</v>
      </c>
      <c r="B581" t="s">
        <v>693</v>
      </c>
      <c r="C581" t="s">
        <v>21</v>
      </c>
      <c r="D581" t="s">
        <v>22</v>
      </c>
      <c r="E581" t="s">
        <v>23</v>
      </c>
      <c r="F581">
        <v>682000</v>
      </c>
      <c r="G581">
        <v>19</v>
      </c>
      <c r="H581">
        <v>81158000</v>
      </c>
      <c r="I581" t="s">
        <v>24</v>
      </c>
      <c r="J581" t="s">
        <v>25</v>
      </c>
      <c r="K581">
        <v>0</v>
      </c>
      <c r="L581">
        <v>0</v>
      </c>
      <c r="M581" t="s">
        <v>25</v>
      </c>
      <c r="N581" t="s">
        <v>25</v>
      </c>
      <c r="O581" t="s">
        <v>26</v>
      </c>
      <c r="P581" t="s">
        <v>25</v>
      </c>
      <c r="Q581" t="s">
        <v>27</v>
      </c>
      <c r="R581" t="s">
        <v>28</v>
      </c>
      <c r="S581" t="s">
        <v>51</v>
      </c>
      <c r="T581" t="s">
        <v>680</v>
      </c>
    </row>
    <row r="582" spans="1:20">
      <c r="A582">
        <v>584</v>
      </c>
      <c r="B582" t="s">
        <v>694</v>
      </c>
      <c r="C582" t="s">
        <v>21</v>
      </c>
      <c r="D582" t="s">
        <v>22</v>
      </c>
      <c r="E582" t="s">
        <v>23</v>
      </c>
      <c r="F582">
        <v>2085000</v>
      </c>
      <c r="G582">
        <v>19</v>
      </c>
      <c r="H582">
        <v>248115000</v>
      </c>
      <c r="I582" t="s">
        <v>24</v>
      </c>
      <c r="J582" t="s">
        <v>25</v>
      </c>
      <c r="K582">
        <v>0</v>
      </c>
      <c r="L582">
        <v>0</v>
      </c>
      <c r="M582" t="s">
        <v>25</v>
      </c>
      <c r="N582" t="s">
        <v>25</v>
      </c>
      <c r="O582" t="s">
        <v>26</v>
      </c>
      <c r="P582" t="s">
        <v>25</v>
      </c>
      <c r="Q582" t="s">
        <v>27</v>
      </c>
      <c r="R582" t="s">
        <v>28</v>
      </c>
      <c r="S582" t="s">
        <v>51</v>
      </c>
      <c r="T582" t="s">
        <v>680</v>
      </c>
    </row>
    <row r="583" spans="1:20">
      <c r="A583">
        <v>585</v>
      </c>
      <c r="B583" t="s">
        <v>695</v>
      </c>
      <c r="C583" t="s">
        <v>21</v>
      </c>
      <c r="D583" t="s">
        <v>22</v>
      </c>
      <c r="E583" t="s">
        <v>23</v>
      </c>
      <c r="F583">
        <v>345000</v>
      </c>
      <c r="G583">
        <v>19</v>
      </c>
      <c r="H583">
        <v>41055000</v>
      </c>
      <c r="I583" t="s">
        <v>24</v>
      </c>
      <c r="J583" t="s">
        <v>25</v>
      </c>
      <c r="K583">
        <v>0</v>
      </c>
      <c r="L583">
        <v>0</v>
      </c>
      <c r="M583" t="s">
        <v>25</v>
      </c>
      <c r="N583" t="s">
        <v>25</v>
      </c>
      <c r="O583" t="s">
        <v>26</v>
      </c>
      <c r="P583" t="s">
        <v>25</v>
      </c>
      <c r="Q583" t="s">
        <v>27</v>
      </c>
      <c r="R583" t="s">
        <v>28</v>
      </c>
      <c r="S583" t="s">
        <v>51</v>
      </c>
      <c r="T583" t="s">
        <v>680</v>
      </c>
    </row>
    <row r="584" spans="1:20">
      <c r="A584">
        <v>586</v>
      </c>
      <c r="B584" t="s">
        <v>696</v>
      </c>
      <c r="C584" t="s">
        <v>21</v>
      </c>
      <c r="D584" t="s">
        <v>22</v>
      </c>
      <c r="E584" t="s">
        <v>23</v>
      </c>
      <c r="F584">
        <v>1867000</v>
      </c>
      <c r="G584">
        <v>19</v>
      </c>
      <c r="H584">
        <v>222173000</v>
      </c>
      <c r="I584" t="s">
        <v>24</v>
      </c>
      <c r="J584" t="s">
        <v>25</v>
      </c>
      <c r="K584">
        <v>0</v>
      </c>
      <c r="L584">
        <v>0</v>
      </c>
      <c r="M584" t="s">
        <v>25</v>
      </c>
      <c r="N584" t="s">
        <v>25</v>
      </c>
      <c r="O584" t="s">
        <v>26</v>
      </c>
      <c r="P584" t="s">
        <v>25</v>
      </c>
      <c r="Q584" t="s">
        <v>27</v>
      </c>
      <c r="R584" t="s">
        <v>28</v>
      </c>
      <c r="S584" t="s">
        <v>51</v>
      </c>
      <c r="T584" t="s">
        <v>680</v>
      </c>
    </row>
    <row r="585" spans="1:20">
      <c r="A585">
        <v>587</v>
      </c>
      <c r="B585" t="s">
        <v>697</v>
      </c>
      <c r="C585" t="s">
        <v>21</v>
      </c>
      <c r="D585" t="s">
        <v>22</v>
      </c>
      <c r="E585" t="s">
        <v>23</v>
      </c>
      <c r="F585">
        <v>2085000</v>
      </c>
      <c r="G585">
        <v>19</v>
      </c>
      <c r="H585">
        <v>248115000</v>
      </c>
      <c r="I585" t="s">
        <v>24</v>
      </c>
      <c r="J585" t="s">
        <v>25</v>
      </c>
      <c r="K585">
        <v>0</v>
      </c>
      <c r="L585">
        <v>0</v>
      </c>
      <c r="M585" t="s">
        <v>25</v>
      </c>
      <c r="N585" t="s">
        <v>25</v>
      </c>
      <c r="O585" t="s">
        <v>26</v>
      </c>
      <c r="P585" t="s">
        <v>25</v>
      </c>
      <c r="Q585" t="s">
        <v>27</v>
      </c>
      <c r="R585" t="s">
        <v>28</v>
      </c>
      <c r="S585" t="s">
        <v>51</v>
      </c>
      <c r="T585" t="s">
        <v>680</v>
      </c>
    </row>
    <row r="586" spans="1:20">
      <c r="A586">
        <v>588</v>
      </c>
      <c r="B586" t="s">
        <v>698</v>
      </c>
      <c r="C586" t="s">
        <v>21</v>
      </c>
      <c r="D586" t="s">
        <v>22</v>
      </c>
      <c r="E586" t="s">
        <v>23</v>
      </c>
      <c r="F586">
        <v>1362000</v>
      </c>
      <c r="G586">
        <v>19</v>
      </c>
      <c r="H586">
        <v>162078000</v>
      </c>
      <c r="I586" t="s">
        <v>24</v>
      </c>
      <c r="J586" t="s">
        <v>25</v>
      </c>
      <c r="K586">
        <v>0</v>
      </c>
      <c r="L586">
        <v>0</v>
      </c>
      <c r="M586" t="s">
        <v>25</v>
      </c>
      <c r="N586" t="s">
        <v>25</v>
      </c>
      <c r="O586" t="s">
        <v>26</v>
      </c>
      <c r="P586" t="s">
        <v>25</v>
      </c>
      <c r="Q586" t="s">
        <v>27</v>
      </c>
      <c r="R586" t="s">
        <v>28</v>
      </c>
      <c r="S586" t="s">
        <v>51</v>
      </c>
      <c r="T586" t="s">
        <v>680</v>
      </c>
    </row>
    <row r="587" spans="1:20">
      <c r="A587">
        <v>589</v>
      </c>
      <c r="B587" t="s">
        <v>699</v>
      </c>
      <c r="C587" t="s">
        <v>21</v>
      </c>
      <c r="D587" t="s">
        <v>22</v>
      </c>
      <c r="E587" t="s">
        <v>23</v>
      </c>
      <c r="F587">
        <v>1656000</v>
      </c>
      <c r="G587">
        <v>19</v>
      </c>
      <c r="H587">
        <v>197064000</v>
      </c>
      <c r="I587" t="s">
        <v>24</v>
      </c>
      <c r="J587" t="s">
        <v>25</v>
      </c>
      <c r="K587">
        <v>0</v>
      </c>
      <c r="L587">
        <v>0</v>
      </c>
      <c r="M587" t="s">
        <v>25</v>
      </c>
      <c r="N587" t="s">
        <v>25</v>
      </c>
      <c r="O587" t="s">
        <v>26</v>
      </c>
      <c r="P587" t="s">
        <v>25</v>
      </c>
      <c r="Q587" t="s">
        <v>27</v>
      </c>
      <c r="R587" t="s">
        <v>28</v>
      </c>
      <c r="S587" t="s">
        <v>51</v>
      </c>
      <c r="T587" t="s">
        <v>680</v>
      </c>
    </row>
    <row r="588" spans="1:20">
      <c r="A588">
        <v>590</v>
      </c>
      <c r="B588" t="s">
        <v>700</v>
      </c>
      <c r="C588" t="s">
        <v>21</v>
      </c>
      <c r="D588" t="s">
        <v>22</v>
      </c>
      <c r="E588" t="s">
        <v>23</v>
      </c>
      <c r="F588">
        <v>1685000</v>
      </c>
      <c r="G588">
        <v>19</v>
      </c>
      <c r="H588">
        <v>200515000</v>
      </c>
      <c r="I588" t="s">
        <v>24</v>
      </c>
      <c r="J588" t="s">
        <v>25</v>
      </c>
      <c r="K588">
        <v>0</v>
      </c>
      <c r="L588">
        <v>0</v>
      </c>
      <c r="M588" t="s">
        <v>25</v>
      </c>
      <c r="N588" t="s">
        <v>25</v>
      </c>
      <c r="O588" t="s">
        <v>26</v>
      </c>
      <c r="P588" t="s">
        <v>25</v>
      </c>
      <c r="Q588" t="s">
        <v>27</v>
      </c>
      <c r="R588" t="s">
        <v>28</v>
      </c>
      <c r="S588" t="s">
        <v>51</v>
      </c>
      <c r="T588" t="s">
        <v>680</v>
      </c>
    </row>
    <row r="589" spans="1:20">
      <c r="A589">
        <v>591</v>
      </c>
      <c r="B589" t="s">
        <v>701</v>
      </c>
      <c r="C589" t="s">
        <v>21</v>
      </c>
      <c r="D589" t="s">
        <v>22</v>
      </c>
      <c r="E589" t="s">
        <v>23</v>
      </c>
      <c r="F589">
        <v>438000</v>
      </c>
      <c r="G589">
        <v>19</v>
      </c>
      <c r="H589">
        <v>52122000</v>
      </c>
      <c r="I589" t="s">
        <v>24</v>
      </c>
      <c r="J589" t="s">
        <v>25</v>
      </c>
      <c r="K589">
        <v>0</v>
      </c>
      <c r="L589">
        <v>0</v>
      </c>
      <c r="M589" t="s">
        <v>25</v>
      </c>
      <c r="N589" t="s">
        <v>25</v>
      </c>
      <c r="O589" t="s">
        <v>26</v>
      </c>
      <c r="P589" t="s">
        <v>25</v>
      </c>
      <c r="Q589" t="s">
        <v>27</v>
      </c>
      <c r="R589" t="s">
        <v>28</v>
      </c>
      <c r="S589" t="s">
        <v>51</v>
      </c>
      <c r="T589" t="s">
        <v>680</v>
      </c>
    </row>
    <row r="590" spans="1:20">
      <c r="A590">
        <v>592</v>
      </c>
      <c r="B590" t="s">
        <v>702</v>
      </c>
      <c r="C590" t="s">
        <v>21</v>
      </c>
      <c r="D590" t="s">
        <v>22</v>
      </c>
      <c r="E590" t="s">
        <v>23</v>
      </c>
      <c r="F590">
        <v>438000</v>
      </c>
      <c r="G590">
        <v>19</v>
      </c>
      <c r="H590">
        <v>52122000</v>
      </c>
      <c r="I590" t="s">
        <v>24</v>
      </c>
      <c r="J590" t="s">
        <v>25</v>
      </c>
      <c r="K590">
        <v>0</v>
      </c>
      <c r="L590">
        <v>0</v>
      </c>
      <c r="M590" t="s">
        <v>25</v>
      </c>
      <c r="N590" t="s">
        <v>25</v>
      </c>
      <c r="O590" t="s">
        <v>26</v>
      </c>
      <c r="P590" t="s">
        <v>25</v>
      </c>
      <c r="Q590" t="s">
        <v>27</v>
      </c>
      <c r="R590" t="s">
        <v>28</v>
      </c>
      <c r="S590" t="s">
        <v>51</v>
      </c>
      <c r="T590" t="s">
        <v>680</v>
      </c>
    </row>
    <row r="591" spans="1:20">
      <c r="A591">
        <v>593</v>
      </c>
      <c r="B591" t="s">
        <v>703</v>
      </c>
      <c r="C591" t="s">
        <v>21</v>
      </c>
      <c r="D591" t="s">
        <v>22</v>
      </c>
      <c r="E591" t="s">
        <v>23</v>
      </c>
      <c r="F591">
        <v>147908</v>
      </c>
      <c r="G591">
        <v>19</v>
      </c>
      <c r="H591">
        <v>176010.52</v>
      </c>
      <c r="I591" t="s">
        <v>24</v>
      </c>
      <c r="J591" t="s">
        <v>25</v>
      </c>
      <c r="K591">
        <v>0</v>
      </c>
      <c r="L591">
        <v>0</v>
      </c>
      <c r="M591" t="s">
        <v>25</v>
      </c>
      <c r="N591" t="s">
        <v>25</v>
      </c>
      <c r="O591" t="s">
        <v>26</v>
      </c>
      <c r="P591" t="s">
        <v>25</v>
      </c>
      <c r="Q591" t="s">
        <v>27</v>
      </c>
      <c r="R591" t="s">
        <v>28</v>
      </c>
      <c r="S591" t="s">
        <v>48</v>
      </c>
      <c r="T591" t="s">
        <v>704</v>
      </c>
    </row>
    <row r="592" spans="1:20">
      <c r="A592">
        <v>594</v>
      </c>
      <c r="B592" t="s">
        <v>705</v>
      </c>
      <c r="C592" t="s">
        <v>21</v>
      </c>
      <c r="D592" t="s">
        <v>22</v>
      </c>
      <c r="E592" t="s">
        <v>23</v>
      </c>
      <c r="F592">
        <v>163000</v>
      </c>
      <c r="G592">
        <v>19</v>
      </c>
      <c r="H592">
        <v>19397000</v>
      </c>
      <c r="I592" t="s">
        <v>24</v>
      </c>
      <c r="J592" t="s">
        <v>25</v>
      </c>
      <c r="K592">
        <v>0</v>
      </c>
      <c r="L592">
        <v>0</v>
      </c>
      <c r="M592" t="s">
        <v>25</v>
      </c>
      <c r="N592" t="s">
        <v>25</v>
      </c>
      <c r="O592" t="s">
        <v>26</v>
      </c>
      <c r="P592" t="s">
        <v>25</v>
      </c>
      <c r="Q592" t="s">
        <v>27</v>
      </c>
      <c r="R592" t="s">
        <v>28</v>
      </c>
      <c r="S592" t="s">
        <v>51</v>
      </c>
      <c r="T592" t="s">
        <v>678</v>
      </c>
    </row>
    <row r="593" spans="1:20">
      <c r="A593">
        <v>595</v>
      </c>
      <c r="B593" t="s">
        <v>706</v>
      </c>
      <c r="C593" t="s">
        <v>21</v>
      </c>
      <c r="D593" t="s">
        <v>22</v>
      </c>
      <c r="E593" t="s">
        <v>23</v>
      </c>
      <c r="F593">
        <v>267020</v>
      </c>
      <c r="G593">
        <v>19</v>
      </c>
      <c r="H593">
        <v>317753.8</v>
      </c>
      <c r="I593" t="s">
        <v>24</v>
      </c>
      <c r="J593" t="s">
        <v>25</v>
      </c>
      <c r="K593">
        <v>0</v>
      </c>
      <c r="L593">
        <v>0</v>
      </c>
      <c r="M593" t="s">
        <v>25</v>
      </c>
      <c r="N593" t="s">
        <v>25</v>
      </c>
      <c r="O593" t="s">
        <v>26</v>
      </c>
      <c r="P593" t="s">
        <v>25</v>
      </c>
      <c r="Q593" t="s">
        <v>27</v>
      </c>
      <c r="R593" t="s">
        <v>28</v>
      </c>
      <c r="S593" t="s">
        <v>51</v>
      </c>
      <c r="T593" t="s">
        <v>707</v>
      </c>
    </row>
    <row r="594" spans="1:20">
      <c r="A594">
        <v>596</v>
      </c>
      <c r="B594" t="s">
        <v>708</v>
      </c>
      <c r="C594" t="s">
        <v>21</v>
      </c>
      <c r="D594" t="s">
        <v>22</v>
      </c>
      <c r="E594" t="s">
        <v>23</v>
      </c>
      <c r="F594">
        <v>163000</v>
      </c>
      <c r="G594">
        <v>19</v>
      </c>
      <c r="H594">
        <v>19397000</v>
      </c>
      <c r="I594" t="s">
        <v>24</v>
      </c>
      <c r="J594" t="s">
        <v>25</v>
      </c>
      <c r="K594">
        <v>0</v>
      </c>
      <c r="L594">
        <v>0</v>
      </c>
      <c r="M594" t="s">
        <v>25</v>
      </c>
      <c r="N594" t="s">
        <v>25</v>
      </c>
      <c r="O594" t="s">
        <v>26</v>
      </c>
      <c r="P594" t="s">
        <v>25</v>
      </c>
      <c r="Q594" t="s">
        <v>27</v>
      </c>
      <c r="R594" t="s">
        <v>28</v>
      </c>
      <c r="S594" t="s">
        <v>51</v>
      </c>
      <c r="T594" t="s">
        <v>680</v>
      </c>
    </row>
    <row r="595" spans="1:20">
      <c r="A595">
        <v>597</v>
      </c>
      <c r="B595" t="s">
        <v>709</v>
      </c>
      <c r="C595" t="s">
        <v>21</v>
      </c>
      <c r="D595" t="s">
        <v>22</v>
      </c>
      <c r="E595" t="s">
        <v>23</v>
      </c>
      <c r="F595">
        <v>178000</v>
      </c>
      <c r="G595">
        <v>19</v>
      </c>
      <c r="H595">
        <v>21182000</v>
      </c>
      <c r="I595" t="s">
        <v>24</v>
      </c>
      <c r="J595" t="s">
        <v>25</v>
      </c>
      <c r="K595">
        <v>0</v>
      </c>
      <c r="L595">
        <v>0</v>
      </c>
      <c r="M595" t="s">
        <v>25</v>
      </c>
      <c r="N595" t="s">
        <v>25</v>
      </c>
      <c r="O595" t="s">
        <v>26</v>
      </c>
      <c r="P595" t="s">
        <v>25</v>
      </c>
      <c r="Q595" t="s">
        <v>27</v>
      </c>
      <c r="R595" t="s">
        <v>28</v>
      </c>
      <c r="S595" t="s">
        <v>51</v>
      </c>
      <c r="T595" t="s">
        <v>680</v>
      </c>
    </row>
    <row r="596" spans="1:20">
      <c r="A596">
        <v>598</v>
      </c>
      <c r="B596" t="s">
        <v>710</v>
      </c>
      <c r="C596" t="s">
        <v>21</v>
      </c>
      <c r="D596" t="s">
        <v>22</v>
      </c>
      <c r="E596" t="s">
        <v>23</v>
      </c>
      <c r="F596">
        <v>178000</v>
      </c>
      <c r="G596">
        <v>19</v>
      </c>
      <c r="H596">
        <v>21182000</v>
      </c>
      <c r="I596" t="s">
        <v>24</v>
      </c>
      <c r="J596" t="s">
        <v>25</v>
      </c>
      <c r="K596">
        <v>0</v>
      </c>
      <c r="L596">
        <v>0</v>
      </c>
      <c r="M596" t="s">
        <v>25</v>
      </c>
      <c r="N596" t="s">
        <v>25</v>
      </c>
      <c r="O596" t="s">
        <v>26</v>
      </c>
      <c r="P596" t="s">
        <v>25</v>
      </c>
      <c r="Q596" t="s">
        <v>27</v>
      </c>
      <c r="R596" t="s">
        <v>28</v>
      </c>
      <c r="S596" t="s">
        <v>51</v>
      </c>
      <c r="T596" t="s">
        <v>678</v>
      </c>
    </row>
    <row r="597" spans="1:20">
      <c r="A597">
        <v>599</v>
      </c>
      <c r="B597" t="s">
        <v>711</v>
      </c>
      <c r="C597" t="s">
        <v>21</v>
      </c>
      <c r="D597" t="s">
        <v>22</v>
      </c>
      <c r="E597" t="s">
        <v>23</v>
      </c>
      <c r="F597">
        <v>286000</v>
      </c>
      <c r="G597">
        <v>19</v>
      </c>
      <c r="H597">
        <v>34034000</v>
      </c>
      <c r="I597" t="s">
        <v>24</v>
      </c>
      <c r="J597" t="s">
        <v>25</v>
      </c>
      <c r="K597">
        <v>0</v>
      </c>
      <c r="L597">
        <v>0</v>
      </c>
      <c r="M597" t="s">
        <v>25</v>
      </c>
      <c r="N597" t="s">
        <v>25</v>
      </c>
      <c r="O597" t="s">
        <v>26</v>
      </c>
      <c r="P597" t="s">
        <v>25</v>
      </c>
      <c r="Q597" t="s">
        <v>27</v>
      </c>
      <c r="R597" t="s">
        <v>28</v>
      </c>
      <c r="S597" t="s">
        <v>51</v>
      </c>
      <c r="T597" t="s">
        <v>680</v>
      </c>
    </row>
    <row r="598" spans="1:20">
      <c r="A598">
        <v>600</v>
      </c>
      <c r="B598" t="s">
        <v>712</v>
      </c>
      <c r="C598" t="s">
        <v>21</v>
      </c>
      <c r="D598" t="s">
        <v>22</v>
      </c>
      <c r="E598" t="s">
        <v>23</v>
      </c>
      <c r="F598">
        <v>286000</v>
      </c>
      <c r="G598">
        <v>19</v>
      </c>
      <c r="H598">
        <v>34034000</v>
      </c>
      <c r="I598" t="s">
        <v>24</v>
      </c>
      <c r="J598" t="s">
        <v>25</v>
      </c>
      <c r="K598">
        <v>0</v>
      </c>
      <c r="L598">
        <v>0</v>
      </c>
      <c r="M598" t="s">
        <v>25</v>
      </c>
      <c r="N598" t="s">
        <v>25</v>
      </c>
      <c r="O598" t="s">
        <v>26</v>
      </c>
      <c r="P598" t="s">
        <v>25</v>
      </c>
      <c r="Q598" t="s">
        <v>27</v>
      </c>
      <c r="R598" t="s">
        <v>28</v>
      </c>
      <c r="S598" t="s">
        <v>51</v>
      </c>
      <c r="T598" t="s">
        <v>680</v>
      </c>
    </row>
    <row r="599" spans="1:20">
      <c r="A599">
        <v>601</v>
      </c>
      <c r="B599" t="s">
        <v>713</v>
      </c>
      <c r="C599" t="s">
        <v>21</v>
      </c>
      <c r="D599" t="s">
        <v>22</v>
      </c>
      <c r="E599" t="s">
        <v>23</v>
      </c>
      <c r="F599">
        <v>286000</v>
      </c>
      <c r="G599">
        <v>19</v>
      </c>
      <c r="H599">
        <v>34034000</v>
      </c>
      <c r="I599" t="s">
        <v>24</v>
      </c>
      <c r="J599" t="s">
        <v>25</v>
      </c>
      <c r="K599">
        <v>0</v>
      </c>
      <c r="L599">
        <v>0</v>
      </c>
      <c r="M599" t="s">
        <v>25</v>
      </c>
      <c r="N599" t="s">
        <v>25</v>
      </c>
      <c r="O599" t="s">
        <v>26</v>
      </c>
      <c r="P599" t="s">
        <v>25</v>
      </c>
      <c r="Q599" t="s">
        <v>27</v>
      </c>
      <c r="R599" t="s">
        <v>28</v>
      </c>
      <c r="S599" t="s">
        <v>51</v>
      </c>
      <c r="T599" t="s">
        <v>680</v>
      </c>
    </row>
    <row r="600" spans="1:20">
      <c r="A600">
        <v>602</v>
      </c>
      <c r="B600" t="s">
        <v>714</v>
      </c>
      <c r="C600" t="s">
        <v>21</v>
      </c>
      <c r="D600" t="s">
        <v>22</v>
      </c>
      <c r="E600" t="s">
        <v>23</v>
      </c>
      <c r="F600">
        <v>160744</v>
      </c>
      <c r="G600">
        <v>19</v>
      </c>
      <c r="H600">
        <v>191285.36</v>
      </c>
      <c r="I600" t="s">
        <v>24</v>
      </c>
      <c r="J600" t="s">
        <v>25</v>
      </c>
      <c r="K600">
        <v>0</v>
      </c>
      <c r="L600">
        <v>0</v>
      </c>
      <c r="M600" t="s">
        <v>25</v>
      </c>
      <c r="N600" t="s">
        <v>25</v>
      </c>
      <c r="O600" t="s">
        <v>26</v>
      </c>
      <c r="P600" t="s">
        <v>25</v>
      </c>
      <c r="Q600" t="s">
        <v>27</v>
      </c>
      <c r="R600" t="s">
        <v>28</v>
      </c>
      <c r="S600" t="s">
        <v>51</v>
      </c>
      <c r="T600" t="s">
        <v>678</v>
      </c>
    </row>
    <row r="601" spans="1:20">
      <c r="A601">
        <v>603</v>
      </c>
      <c r="B601" t="s">
        <v>715</v>
      </c>
      <c r="C601" t="s">
        <v>21</v>
      </c>
      <c r="D601" t="s">
        <v>22</v>
      </c>
      <c r="E601" t="s">
        <v>23</v>
      </c>
      <c r="F601">
        <v>286000</v>
      </c>
      <c r="G601">
        <v>19</v>
      </c>
      <c r="H601">
        <v>34034000</v>
      </c>
      <c r="I601" t="s">
        <v>24</v>
      </c>
      <c r="J601" t="s">
        <v>25</v>
      </c>
      <c r="K601">
        <v>0</v>
      </c>
      <c r="L601">
        <v>0</v>
      </c>
      <c r="M601" t="s">
        <v>25</v>
      </c>
      <c r="N601" t="s">
        <v>25</v>
      </c>
      <c r="O601" t="s">
        <v>26</v>
      </c>
      <c r="P601" t="s">
        <v>25</v>
      </c>
      <c r="Q601" t="s">
        <v>27</v>
      </c>
      <c r="R601" t="s">
        <v>28</v>
      </c>
      <c r="S601" t="s">
        <v>51</v>
      </c>
      <c r="T601" t="s">
        <v>680</v>
      </c>
    </row>
    <row r="602" spans="1:20">
      <c r="A602">
        <v>604</v>
      </c>
      <c r="B602" t="s">
        <v>716</v>
      </c>
      <c r="C602" t="s">
        <v>21</v>
      </c>
      <c r="D602" t="s">
        <v>22</v>
      </c>
      <c r="E602" t="s">
        <v>23</v>
      </c>
      <c r="F602">
        <v>160744</v>
      </c>
      <c r="G602">
        <v>19</v>
      </c>
      <c r="H602">
        <v>191285.36</v>
      </c>
      <c r="I602" t="s">
        <v>24</v>
      </c>
      <c r="J602" t="s">
        <v>25</v>
      </c>
      <c r="K602">
        <v>0</v>
      </c>
      <c r="L602">
        <v>0</v>
      </c>
      <c r="M602" t="s">
        <v>25</v>
      </c>
      <c r="N602" t="s">
        <v>25</v>
      </c>
      <c r="O602" t="s">
        <v>26</v>
      </c>
      <c r="P602" t="s">
        <v>25</v>
      </c>
      <c r="Q602" t="s">
        <v>27</v>
      </c>
      <c r="R602" t="s">
        <v>28</v>
      </c>
      <c r="S602" t="s">
        <v>51</v>
      </c>
      <c r="T602" t="s">
        <v>678</v>
      </c>
    </row>
    <row r="603" spans="1:20">
      <c r="A603">
        <v>605</v>
      </c>
      <c r="B603" t="s">
        <v>717</v>
      </c>
      <c r="C603" t="s">
        <v>21</v>
      </c>
      <c r="D603" t="s">
        <v>22</v>
      </c>
      <c r="E603" t="s">
        <v>23</v>
      </c>
      <c r="F603">
        <v>160744</v>
      </c>
      <c r="G603">
        <v>19</v>
      </c>
      <c r="H603">
        <v>191285.36</v>
      </c>
      <c r="I603" t="s">
        <v>24</v>
      </c>
      <c r="J603" t="s">
        <v>25</v>
      </c>
      <c r="K603">
        <v>0</v>
      </c>
      <c r="L603">
        <v>0</v>
      </c>
      <c r="M603" t="s">
        <v>25</v>
      </c>
      <c r="N603" t="s">
        <v>25</v>
      </c>
      <c r="O603" t="s">
        <v>26</v>
      </c>
      <c r="P603" t="s">
        <v>25</v>
      </c>
      <c r="Q603" t="s">
        <v>27</v>
      </c>
      <c r="R603" t="s">
        <v>28</v>
      </c>
      <c r="S603" t="s">
        <v>51</v>
      </c>
      <c r="T603" t="s">
        <v>678</v>
      </c>
    </row>
    <row r="604" spans="1:20">
      <c r="A604">
        <v>606</v>
      </c>
      <c r="B604" t="s">
        <v>718</v>
      </c>
      <c r="C604" t="s">
        <v>21</v>
      </c>
      <c r="D604" t="s">
        <v>22</v>
      </c>
      <c r="E604" t="s">
        <v>23</v>
      </c>
      <c r="F604">
        <v>286000</v>
      </c>
      <c r="G604">
        <v>19</v>
      </c>
      <c r="H604">
        <v>34034000</v>
      </c>
      <c r="I604" t="s">
        <v>24</v>
      </c>
      <c r="J604" t="s">
        <v>25</v>
      </c>
      <c r="K604">
        <v>0</v>
      </c>
      <c r="L604">
        <v>0</v>
      </c>
      <c r="M604" t="s">
        <v>25</v>
      </c>
      <c r="N604" t="s">
        <v>25</v>
      </c>
      <c r="O604" t="s">
        <v>26</v>
      </c>
      <c r="P604" t="s">
        <v>25</v>
      </c>
      <c r="Q604" t="s">
        <v>27</v>
      </c>
      <c r="R604" t="s">
        <v>28</v>
      </c>
      <c r="S604" t="s">
        <v>51</v>
      </c>
      <c r="T604" t="s">
        <v>680</v>
      </c>
    </row>
    <row r="605" spans="1:20">
      <c r="A605">
        <v>607</v>
      </c>
      <c r="B605" t="s">
        <v>719</v>
      </c>
      <c r="C605" t="s">
        <v>21</v>
      </c>
      <c r="D605" t="s">
        <v>22</v>
      </c>
      <c r="E605" t="s">
        <v>23</v>
      </c>
      <c r="F605">
        <v>302840</v>
      </c>
      <c r="G605">
        <v>19</v>
      </c>
      <c r="H605">
        <v>36037960</v>
      </c>
      <c r="I605" t="s">
        <v>24</v>
      </c>
      <c r="J605" t="s">
        <v>25</v>
      </c>
      <c r="K605">
        <v>0</v>
      </c>
      <c r="L605">
        <v>0</v>
      </c>
      <c r="M605" t="s">
        <v>25</v>
      </c>
      <c r="N605" t="s">
        <v>25</v>
      </c>
      <c r="O605" t="s">
        <v>26</v>
      </c>
      <c r="P605" t="s">
        <v>25</v>
      </c>
      <c r="Q605" t="s">
        <v>27</v>
      </c>
      <c r="R605" t="s">
        <v>28</v>
      </c>
      <c r="S605" t="s">
        <v>51</v>
      </c>
      <c r="T605" t="s">
        <v>680</v>
      </c>
    </row>
    <row r="606" spans="1:20">
      <c r="A606">
        <v>608</v>
      </c>
      <c r="B606" t="s">
        <v>720</v>
      </c>
      <c r="C606" t="s">
        <v>21</v>
      </c>
      <c r="D606" t="s">
        <v>22</v>
      </c>
      <c r="E606" t="s">
        <v>23</v>
      </c>
      <c r="F606">
        <v>432000</v>
      </c>
      <c r="G606">
        <v>19</v>
      </c>
      <c r="H606">
        <v>51408000</v>
      </c>
      <c r="I606" t="s">
        <v>24</v>
      </c>
      <c r="J606" t="s">
        <v>25</v>
      </c>
      <c r="K606">
        <v>0</v>
      </c>
      <c r="L606">
        <v>0</v>
      </c>
      <c r="M606" t="s">
        <v>25</v>
      </c>
      <c r="N606" t="s">
        <v>25</v>
      </c>
      <c r="O606" t="s">
        <v>26</v>
      </c>
      <c r="P606" t="s">
        <v>25</v>
      </c>
      <c r="Q606" t="s">
        <v>27</v>
      </c>
      <c r="R606" t="s">
        <v>28</v>
      </c>
      <c r="S606" t="s">
        <v>51</v>
      </c>
      <c r="T606" t="s">
        <v>680</v>
      </c>
    </row>
    <row r="607" spans="1:20">
      <c r="A607">
        <v>609</v>
      </c>
      <c r="B607" t="s">
        <v>721</v>
      </c>
      <c r="C607" t="s">
        <v>21</v>
      </c>
      <c r="D607" t="s">
        <v>22</v>
      </c>
      <c r="E607" t="s">
        <v>23</v>
      </c>
      <c r="F607">
        <v>440523</v>
      </c>
      <c r="G607">
        <v>19</v>
      </c>
      <c r="H607">
        <v>52422237</v>
      </c>
      <c r="I607" t="s">
        <v>24</v>
      </c>
      <c r="J607" t="s">
        <v>25</v>
      </c>
      <c r="K607">
        <v>0</v>
      </c>
      <c r="L607">
        <v>0</v>
      </c>
      <c r="M607" t="s">
        <v>25</v>
      </c>
      <c r="N607" t="s">
        <v>25</v>
      </c>
      <c r="O607" t="s">
        <v>26</v>
      </c>
      <c r="P607" t="s">
        <v>25</v>
      </c>
      <c r="Q607" t="s">
        <v>27</v>
      </c>
      <c r="R607" t="s">
        <v>28</v>
      </c>
      <c r="S607" t="s">
        <v>51</v>
      </c>
      <c r="T607" t="s">
        <v>680</v>
      </c>
    </row>
    <row r="608" spans="1:20">
      <c r="A608">
        <v>610</v>
      </c>
      <c r="B608" t="s">
        <v>722</v>
      </c>
      <c r="C608" t="s">
        <v>21</v>
      </c>
      <c r="D608" t="s">
        <v>22</v>
      </c>
      <c r="E608" t="s">
        <v>23</v>
      </c>
      <c r="F608">
        <v>59160</v>
      </c>
      <c r="G608">
        <v>19</v>
      </c>
      <c r="H608">
        <v>70400.399999999994</v>
      </c>
      <c r="I608" t="s">
        <v>24</v>
      </c>
      <c r="J608" t="s">
        <v>25</v>
      </c>
      <c r="K608">
        <v>0</v>
      </c>
      <c r="L608">
        <v>0</v>
      </c>
      <c r="M608" t="s">
        <v>25</v>
      </c>
      <c r="N608" t="s">
        <v>25</v>
      </c>
      <c r="O608" t="s">
        <v>26</v>
      </c>
      <c r="P608" t="s">
        <v>25</v>
      </c>
      <c r="Q608" t="s">
        <v>27</v>
      </c>
      <c r="R608" t="s">
        <v>28</v>
      </c>
      <c r="S608" t="s">
        <v>51</v>
      </c>
      <c r="T608" t="s">
        <v>723</v>
      </c>
    </row>
    <row r="609" spans="1:20">
      <c r="A609">
        <v>611</v>
      </c>
      <c r="B609" t="s">
        <v>724</v>
      </c>
      <c r="C609" t="s">
        <v>21</v>
      </c>
      <c r="D609" t="s">
        <v>22</v>
      </c>
      <c r="E609" t="s">
        <v>23</v>
      </c>
      <c r="F609">
        <v>159691</v>
      </c>
      <c r="G609">
        <v>19</v>
      </c>
      <c r="H609">
        <v>19003229</v>
      </c>
      <c r="I609" t="s">
        <v>24</v>
      </c>
      <c r="J609" t="s">
        <v>25</v>
      </c>
      <c r="K609">
        <v>0</v>
      </c>
      <c r="L609">
        <v>0</v>
      </c>
      <c r="M609" t="s">
        <v>25</v>
      </c>
      <c r="N609" t="s">
        <v>25</v>
      </c>
      <c r="O609" t="s">
        <v>26</v>
      </c>
      <c r="P609" t="s">
        <v>25</v>
      </c>
      <c r="Q609" t="s">
        <v>27</v>
      </c>
      <c r="R609" t="s">
        <v>28</v>
      </c>
      <c r="S609" t="s">
        <v>51</v>
      </c>
      <c r="T609" t="s">
        <v>680</v>
      </c>
    </row>
    <row r="610" spans="1:20">
      <c r="A610">
        <v>612</v>
      </c>
      <c r="B610" t="s">
        <v>725</v>
      </c>
      <c r="C610" t="s">
        <v>21</v>
      </c>
      <c r="D610" t="s">
        <v>22</v>
      </c>
      <c r="E610" t="s">
        <v>23</v>
      </c>
      <c r="F610">
        <v>508167</v>
      </c>
      <c r="G610">
        <v>19</v>
      </c>
      <c r="H610">
        <v>60471873</v>
      </c>
      <c r="I610" t="s">
        <v>24</v>
      </c>
      <c r="J610" t="s">
        <v>25</v>
      </c>
      <c r="K610">
        <v>0</v>
      </c>
      <c r="L610">
        <v>0</v>
      </c>
      <c r="M610" t="s">
        <v>25</v>
      </c>
      <c r="N610" t="s">
        <v>25</v>
      </c>
      <c r="O610" t="s">
        <v>26</v>
      </c>
      <c r="P610" t="s">
        <v>25</v>
      </c>
      <c r="Q610" t="s">
        <v>27</v>
      </c>
      <c r="R610" t="s">
        <v>28</v>
      </c>
      <c r="S610" t="s">
        <v>51</v>
      </c>
      <c r="T610" t="s">
        <v>680</v>
      </c>
    </row>
    <row r="611" spans="1:20">
      <c r="A611">
        <v>613</v>
      </c>
      <c r="B611" t="s">
        <v>726</v>
      </c>
      <c r="C611" t="s">
        <v>21</v>
      </c>
      <c r="D611" t="s">
        <v>22</v>
      </c>
      <c r="E611" t="s">
        <v>23</v>
      </c>
      <c r="F611">
        <v>134460</v>
      </c>
      <c r="G611">
        <v>19</v>
      </c>
      <c r="H611">
        <v>160007.4</v>
      </c>
      <c r="I611" t="s">
        <v>24</v>
      </c>
      <c r="J611" t="s">
        <v>25</v>
      </c>
      <c r="K611">
        <v>0</v>
      </c>
      <c r="L611">
        <v>0</v>
      </c>
      <c r="M611" t="s">
        <v>25</v>
      </c>
      <c r="N611" t="s">
        <v>25</v>
      </c>
      <c r="O611" t="s">
        <v>26</v>
      </c>
      <c r="P611" t="s">
        <v>25</v>
      </c>
      <c r="Q611" t="s">
        <v>27</v>
      </c>
      <c r="R611" t="s">
        <v>28</v>
      </c>
      <c r="S611" t="s">
        <v>51</v>
      </c>
      <c r="T611" t="s">
        <v>680</v>
      </c>
    </row>
    <row r="612" spans="1:20">
      <c r="A612">
        <v>614</v>
      </c>
      <c r="B612" t="s">
        <v>727</v>
      </c>
      <c r="C612" t="s">
        <v>21</v>
      </c>
      <c r="D612" t="s">
        <v>22</v>
      </c>
      <c r="E612" t="s">
        <v>23</v>
      </c>
      <c r="F612">
        <v>134460</v>
      </c>
      <c r="G612">
        <v>19</v>
      </c>
      <c r="H612">
        <v>160007.4</v>
      </c>
      <c r="I612" t="s">
        <v>24</v>
      </c>
      <c r="J612" t="s">
        <v>25</v>
      </c>
      <c r="K612">
        <v>0</v>
      </c>
      <c r="L612">
        <v>0</v>
      </c>
      <c r="M612" t="s">
        <v>25</v>
      </c>
      <c r="N612" t="s">
        <v>25</v>
      </c>
      <c r="O612" t="s">
        <v>26</v>
      </c>
      <c r="P612" t="s">
        <v>25</v>
      </c>
      <c r="Q612" t="s">
        <v>27</v>
      </c>
      <c r="R612" t="s">
        <v>28</v>
      </c>
      <c r="S612" t="s">
        <v>51</v>
      </c>
      <c r="T612" t="s">
        <v>680</v>
      </c>
    </row>
    <row r="613" spans="1:20">
      <c r="A613">
        <v>615</v>
      </c>
      <c r="B613" t="s">
        <v>728</v>
      </c>
      <c r="C613" t="s">
        <v>21</v>
      </c>
      <c r="D613" t="s">
        <v>22</v>
      </c>
      <c r="E613" t="s">
        <v>23</v>
      </c>
      <c r="F613">
        <v>147908</v>
      </c>
      <c r="G613">
        <v>19</v>
      </c>
      <c r="H613">
        <v>176010.52</v>
      </c>
      <c r="I613" t="s">
        <v>24</v>
      </c>
      <c r="J613" t="s">
        <v>25</v>
      </c>
      <c r="K613">
        <v>0</v>
      </c>
      <c r="L613">
        <v>0</v>
      </c>
      <c r="M613" t="s">
        <v>25</v>
      </c>
      <c r="N613" t="s">
        <v>25</v>
      </c>
      <c r="O613" t="s">
        <v>26</v>
      </c>
      <c r="P613" t="s">
        <v>25</v>
      </c>
      <c r="Q613" t="s">
        <v>27</v>
      </c>
      <c r="R613" t="s">
        <v>28</v>
      </c>
      <c r="S613" t="s">
        <v>51</v>
      </c>
      <c r="T613" t="s">
        <v>729</v>
      </c>
    </row>
    <row r="614" spans="1:20">
      <c r="A614">
        <v>616</v>
      </c>
      <c r="B614" t="s">
        <v>730</v>
      </c>
      <c r="C614" t="s">
        <v>21</v>
      </c>
      <c r="D614" t="s">
        <v>22</v>
      </c>
      <c r="E614" t="s">
        <v>23</v>
      </c>
      <c r="F614">
        <v>147908</v>
      </c>
      <c r="G614">
        <v>19</v>
      </c>
      <c r="H614">
        <v>176010.52</v>
      </c>
      <c r="I614" t="s">
        <v>24</v>
      </c>
      <c r="J614" t="s">
        <v>25</v>
      </c>
      <c r="K614">
        <v>0</v>
      </c>
      <c r="L614">
        <v>0</v>
      </c>
      <c r="M614" t="s">
        <v>25</v>
      </c>
      <c r="N614" t="s">
        <v>25</v>
      </c>
      <c r="O614" t="s">
        <v>26</v>
      </c>
      <c r="P614" t="s">
        <v>25</v>
      </c>
      <c r="Q614" t="s">
        <v>27</v>
      </c>
      <c r="R614" t="s">
        <v>28</v>
      </c>
      <c r="S614" t="s">
        <v>51</v>
      </c>
      <c r="T614" t="s">
        <v>731</v>
      </c>
    </row>
    <row r="615" spans="1:20">
      <c r="A615">
        <v>617</v>
      </c>
      <c r="B615" t="s">
        <v>732</v>
      </c>
      <c r="C615" t="s">
        <v>21</v>
      </c>
      <c r="D615" t="s">
        <v>22</v>
      </c>
      <c r="E615" t="s">
        <v>23</v>
      </c>
      <c r="F615">
        <v>0</v>
      </c>
      <c r="G615">
        <v>19</v>
      </c>
      <c r="H615">
        <v>0</v>
      </c>
      <c r="I615" t="s">
        <v>24</v>
      </c>
      <c r="J615" t="s">
        <v>25</v>
      </c>
      <c r="K615">
        <v>0</v>
      </c>
      <c r="L615">
        <v>0</v>
      </c>
      <c r="M615" t="s">
        <v>25</v>
      </c>
      <c r="N615" t="s">
        <v>25</v>
      </c>
      <c r="O615" t="s">
        <v>26</v>
      </c>
      <c r="P615" t="s">
        <v>25</v>
      </c>
      <c r="Q615" t="s">
        <v>27</v>
      </c>
      <c r="R615" t="s">
        <v>28</v>
      </c>
    </row>
    <row r="616" spans="1:20">
      <c r="A616">
        <v>618</v>
      </c>
      <c r="B616" t="s">
        <v>733</v>
      </c>
      <c r="C616" t="s">
        <v>21</v>
      </c>
      <c r="D616" t="s">
        <v>22</v>
      </c>
      <c r="E616" t="s">
        <v>23</v>
      </c>
      <c r="F616">
        <v>0</v>
      </c>
      <c r="G616">
        <v>19</v>
      </c>
      <c r="H616">
        <v>0</v>
      </c>
      <c r="I616" t="s">
        <v>24</v>
      </c>
      <c r="J616" t="s">
        <v>25</v>
      </c>
      <c r="K616">
        <v>0</v>
      </c>
      <c r="L616">
        <v>0</v>
      </c>
      <c r="M616" t="s">
        <v>25</v>
      </c>
      <c r="N616" t="s">
        <v>25</v>
      </c>
      <c r="O616" t="s">
        <v>26</v>
      </c>
      <c r="P616" t="s">
        <v>25</v>
      </c>
      <c r="Q616" t="s">
        <v>27</v>
      </c>
      <c r="R616" t="s">
        <v>28</v>
      </c>
    </row>
    <row r="617" spans="1:20">
      <c r="A617">
        <v>619</v>
      </c>
      <c r="B617" t="s">
        <v>734</v>
      </c>
      <c r="C617" t="s">
        <v>21</v>
      </c>
      <c r="D617" t="s">
        <v>22</v>
      </c>
      <c r="E617" t="s">
        <v>23</v>
      </c>
      <c r="F617">
        <v>0</v>
      </c>
      <c r="G617">
        <v>19</v>
      </c>
      <c r="H617">
        <v>0</v>
      </c>
      <c r="I617" t="s">
        <v>24</v>
      </c>
      <c r="J617" t="s">
        <v>25</v>
      </c>
      <c r="K617">
        <v>0</v>
      </c>
      <c r="L617">
        <v>0</v>
      </c>
      <c r="M617" t="s">
        <v>25</v>
      </c>
      <c r="N617" t="s">
        <v>25</v>
      </c>
      <c r="O617" t="s">
        <v>26</v>
      </c>
      <c r="P617" t="s">
        <v>25</v>
      </c>
      <c r="Q617" t="s">
        <v>27</v>
      </c>
      <c r="R617" t="s">
        <v>28</v>
      </c>
      <c r="S617" t="s">
        <v>51</v>
      </c>
      <c r="T617" t="s">
        <v>680</v>
      </c>
    </row>
    <row r="618" spans="1:20">
      <c r="A618">
        <v>620</v>
      </c>
      <c r="B618" t="s">
        <v>735</v>
      </c>
      <c r="C618" t="s">
        <v>21</v>
      </c>
      <c r="D618" t="s">
        <v>22</v>
      </c>
      <c r="E618" t="s">
        <v>23</v>
      </c>
      <c r="F618">
        <v>984000</v>
      </c>
      <c r="G618">
        <v>19</v>
      </c>
      <c r="H618">
        <v>1170960</v>
      </c>
      <c r="I618" t="s">
        <v>24</v>
      </c>
      <c r="J618" t="s">
        <v>25</v>
      </c>
      <c r="K618">
        <v>0</v>
      </c>
      <c r="L618">
        <v>0</v>
      </c>
      <c r="M618" t="s">
        <v>25</v>
      </c>
      <c r="N618" t="s">
        <v>25</v>
      </c>
      <c r="O618" t="s">
        <v>26</v>
      </c>
      <c r="P618" t="s">
        <v>25</v>
      </c>
      <c r="Q618" t="s">
        <v>27</v>
      </c>
      <c r="R618" t="s">
        <v>28</v>
      </c>
      <c r="S618" t="s">
        <v>51</v>
      </c>
      <c r="T618" t="s">
        <v>680</v>
      </c>
    </row>
    <row r="619" spans="1:20">
      <c r="A619">
        <v>621</v>
      </c>
      <c r="B619" t="s">
        <v>736</v>
      </c>
      <c r="C619" t="s">
        <v>21</v>
      </c>
      <c r="D619" t="s">
        <v>22</v>
      </c>
      <c r="E619" t="s">
        <v>23</v>
      </c>
      <c r="F619">
        <v>0</v>
      </c>
      <c r="G619">
        <v>19</v>
      </c>
      <c r="H619">
        <v>0</v>
      </c>
      <c r="I619" t="s">
        <v>24</v>
      </c>
      <c r="J619" t="s">
        <v>25</v>
      </c>
      <c r="K619">
        <v>0</v>
      </c>
      <c r="L619">
        <v>0</v>
      </c>
      <c r="M619" t="s">
        <v>25</v>
      </c>
      <c r="N619" t="s">
        <v>25</v>
      </c>
      <c r="O619" t="s">
        <v>26</v>
      </c>
      <c r="P619" t="s">
        <v>25</v>
      </c>
      <c r="Q619" t="s">
        <v>27</v>
      </c>
      <c r="R619" t="s">
        <v>28</v>
      </c>
      <c r="S619" t="s">
        <v>51</v>
      </c>
      <c r="T619" t="s">
        <v>680</v>
      </c>
    </row>
    <row r="620" spans="1:20">
      <c r="A620">
        <v>622</v>
      </c>
      <c r="B620" t="s">
        <v>737</v>
      </c>
      <c r="C620" t="s">
        <v>21</v>
      </c>
      <c r="D620" t="s">
        <v>22</v>
      </c>
      <c r="E620" t="s">
        <v>23</v>
      </c>
      <c r="F620">
        <v>0</v>
      </c>
      <c r="G620">
        <v>19</v>
      </c>
      <c r="H620">
        <v>0</v>
      </c>
      <c r="I620" t="s">
        <v>24</v>
      </c>
      <c r="J620" t="s">
        <v>25</v>
      </c>
      <c r="K620">
        <v>0</v>
      </c>
      <c r="L620">
        <v>0</v>
      </c>
      <c r="M620" t="s">
        <v>25</v>
      </c>
      <c r="N620" t="s">
        <v>25</v>
      </c>
      <c r="O620" t="s">
        <v>26</v>
      </c>
      <c r="P620" t="s">
        <v>25</v>
      </c>
      <c r="Q620" t="s">
        <v>27</v>
      </c>
      <c r="R620" t="s">
        <v>28</v>
      </c>
      <c r="S620" t="s">
        <v>51</v>
      </c>
      <c r="T620" t="s">
        <v>678</v>
      </c>
    </row>
    <row r="621" spans="1:20">
      <c r="A621">
        <v>623</v>
      </c>
      <c r="B621" t="s">
        <v>738</v>
      </c>
      <c r="C621" t="s">
        <v>21</v>
      </c>
      <c r="D621" t="s">
        <v>22</v>
      </c>
      <c r="E621" t="s">
        <v>23</v>
      </c>
      <c r="F621">
        <v>0</v>
      </c>
      <c r="G621">
        <v>19</v>
      </c>
      <c r="H621">
        <v>0</v>
      </c>
      <c r="I621" t="s">
        <v>24</v>
      </c>
      <c r="J621" t="s">
        <v>25</v>
      </c>
      <c r="K621">
        <v>0</v>
      </c>
      <c r="L621">
        <v>0</v>
      </c>
      <c r="M621" t="s">
        <v>25</v>
      </c>
      <c r="N621" t="s">
        <v>25</v>
      </c>
      <c r="O621" t="s">
        <v>26</v>
      </c>
      <c r="P621" t="s">
        <v>25</v>
      </c>
      <c r="Q621" t="s">
        <v>27</v>
      </c>
      <c r="R621" t="s">
        <v>28</v>
      </c>
      <c r="S621" t="s">
        <v>51</v>
      </c>
      <c r="T621" t="s">
        <v>680</v>
      </c>
    </row>
    <row r="622" spans="1:20">
      <c r="A622">
        <v>624</v>
      </c>
      <c r="B622" t="s">
        <v>739</v>
      </c>
      <c r="C622" t="s">
        <v>21</v>
      </c>
      <c r="D622" t="s">
        <v>22</v>
      </c>
      <c r="E622" t="s">
        <v>23</v>
      </c>
      <c r="F622">
        <v>0</v>
      </c>
      <c r="G622">
        <v>19</v>
      </c>
      <c r="H622">
        <v>0</v>
      </c>
      <c r="I622" t="s">
        <v>24</v>
      </c>
      <c r="J622" t="s">
        <v>25</v>
      </c>
      <c r="K622">
        <v>0</v>
      </c>
      <c r="L622">
        <v>0</v>
      </c>
      <c r="M622" t="s">
        <v>25</v>
      </c>
      <c r="N622" t="s">
        <v>25</v>
      </c>
      <c r="O622" t="s">
        <v>26</v>
      </c>
      <c r="P622" t="s">
        <v>25</v>
      </c>
      <c r="Q622" t="s">
        <v>27</v>
      </c>
      <c r="R622" t="s">
        <v>28</v>
      </c>
      <c r="S622" t="s">
        <v>51</v>
      </c>
      <c r="T622" t="s">
        <v>678</v>
      </c>
    </row>
    <row r="623" spans="1:20">
      <c r="A623">
        <v>625</v>
      </c>
      <c r="B623" t="s">
        <v>740</v>
      </c>
      <c r="C623" t="s">
        <v>21</v>
      </c>
      <c r="D623" t="s">
        <v>22</v>
      </c>
      <c r="E623" t="s">
        <v>23</v>
      </c>
      <c r="F623">
        <v>0</v>
      </c>
      <c r="G623">
        <v>19</v>
      </c>
      <c r="H623">
        <v>0</v>
      </c>
      <c r="I623" t="s">
        <v>24</v>
      </c>
      <c r="J623" t="s">
        <v>25</v>
      </c>
      <c r="K623">
        <v>0</v>
      </c>
      <c r="L623">
        <v>0</v>
      </c>
      <c r="M623" t="s">
        <v>25</v>
      </c>
      <c r="N623" t="s">
        <v>25</v>
      </c>
      <c r="O623" t="s">
        <v>26</v>
      </c>
      <c r="P623" t="s">
        <v>25</v>
      </c>
      <c r="Q623" t="s">
        <v>27</v>
      </c>
      <c r="R623" t="s">
        <v>28</v>
      </c>
      <c r="S623" t="s">
        <v>51</v>
      </c>
      <c r="T623" t="s">
        <v>680</v>
      </c>
    </row>
    <row r="624" spans="1:20">
      <c r="A624">
        <v>626</v>
      </c>
      <c r="B624" t="s">
        <v>741</v>
      </c>
      <c r="C624" t="s">
        <v>21</v>
      </c>
      <c r="D624" t="s">
        <v>22</v>
      </c>
      <c r="E624" t="s">
        <v>23</v>
      </c>
      <c r="F624">
        <v>840000</v>
      </c>
      <c r="G624">
        <v>19</v>
      </c>
      <c r="H624">
        <v>999600</v>
      </c>
      <c r="I624" t="s">
        <v>24</v>
      </c>
      <c r="J624" t="s">
        <v>25</v>
      </c>
      <c r="K624">
        <v>0</v>
      </c>
      <c r="L624">
        <v>0</v>
      </c>
      <c r="M624" t="s">
        <v>25</v>
      </c>
      <c r="N624" t="s">
        <v>25</v>
      </c>
      <c r="O624" t="s">
        <v>26</v>
      </c>
      <c r="P624" t="s">
        <v>25</v>
      </c>
      <c r="Q624" t="s">
        <v>27</v>
      </c>
      <c r="R624" t="s">
        <v>28</v>
      </c>
      <c r="S624" t="s">
        <v>51</v>
      </c>
      <c r="T624" t="s">
        <v>680</v>
      </c>
    </row>
    <row r="625" spans="1:20">
      <c r="A625">
        <v>627</v>
      </c>
      <c r="B625" t="s">
        <v>742</v>
      </c>
      <c r="C625" t="s">
        <v>21</v>
      </c>
      <c r="D625" t="s">
        <v>22</v>
      </c>
      <c r="E625" t="s">
        <v>23</v>
      </c>
      <c r="F625">
        <v>134460</v>
      </c>
      <c r="G625">
        <v>19</v>
      </c>
      <c r="H625">
        <v>160007.4</v>
      </c>
      <c r="I625" t="s">
        <v>24</v>
      </c>
      <c r="J625" t="s">
        <v>25</v>
      </c>
      <c r="K625">
        <v>0</v>
      </c>
      <c r="L625">
        <v>0</v>
      </c>
      <c r="M625" t="s">
        <v>25</v>
      </c>
      <c r="N625" t="s">
        <v>25</v>
      </c>
      <c r="O625" t="s">
        <v>26</v>
      </c>
      <c r="P625" t="s">
        <v>25</v>
      </c>
      <c r="Q625" t="s">
        <v>27</v>
      </c>
      <c r="R625" t="s">
        <v>28</v>
      </c>
      <c r="S625" t="s">
        <v>51</v>
      </c>
      <c r="T625" t="s">
        <v>676</v>
      </c>
    </row>
    <row r="626" spans="1:20">
      <c r="A626">
        <v>628</v>
      </c>
      <c r="B626" t="s">
        <v>743</v>
      </c>
      <c r="C626" t="s">
        <v>21</v>
      </c>
      <c r="D626" t="s">
        <v>22</v>
      </c>
      <c r="E626" t="s">
        <v>23</v>
      </c>
      <c r="F626">
        <v>134460</v>
      </c>
      <c r="G626">
        <v>19</v>
      </c>
      <c r="H626">
        <v>160007.4</v>
      </c>
      <c r="I626" t="s">
        <v>24</v>
      </c>
      <c r="J626" t="s">
        <v>25</v>
      </c>
      <c r="K626">
        <v>0</v>
      </c>
      <c r="L626">
        <v>0</v>
      </c>
      <c r="M626" t="s">
        <v>25</v>
      </c>
      <c r="N626" t="s">
        <v>25</v>
      </c>
      <c r="O626" t="s">
        <v>26</v>
      </c>
      <c r="P626" t="s">
        <v>25</v>
      </c>
      <c r="Q626" t="s">
        <v>27</v>
      </c>
      <c r="R626" t="s">
        <v>28</v>
      </c>
      <c r="S626" t="s">
        <v>51</v>
      </c>
      <c r="T626" t="s">
        <v>676</v>
      </c>
    </row>
    <row r="627" spans="1:20">
      <c r="A627">
        <v>629</v>
      </c>
      <c r="B627" t="s">
        <v>744</v>
      </c>
      <c r="C627" t="s">
        <v>21</v>
      </c>
      <c r="D627" t="s">
        <v>22</v>
      </c>
      <c r="E627" t="s">
        <v>23</v>
      </c>
      <c r="F627">
        <v>134460</v>
      </c>
      <c r="G627">
        <v>19</v>
      </c>
      <c r="H627">
        <v>160007.4</v>
      </c>
      <c r="I627" t="s">
        <v>24</v>
      </c>
      <c r="J627" t="s">
        <v>25</v>
      </c>
      <c r="K627">
        <v>0</v>
      </c>
      <c r="L627">
        <v>0</v>
      </c>
      <c r="M627" t="s">
        <v>25</v>
      </c>
      <c r="N627" t="s">
        <v>25</v>
      </c>
      <c r="O627" t="s">
        <v>26</v>
      </c>
      <c r="P627" t="s">
        <v>25</v>
      </c>
      <c r="Q627" t="s">
        <v>27</v>
      </c>
      <c r="R627" t="s">
        <v>28</v>
      </c>
      <c r="S627" t="s">
        <v>51</v>
      </c>
      <c r="T627" t="s">
        <v>676</v>
      </c>
    </row>
    <row r="628" spans="1:20">
      <c r="A628">
        <v>630</v>
      </c>
      <c r="B628" t="s">
        <v>745</v>
      </c>
      <c r="C628" t="s">
        <v>21</v>
      </c>
      <c r="D628" t="s">
        <v>22</v>
      </c>
      <c r="E628" t="s">
        <v>23</v>
      </c>
      <c r="F628">
        <v>134460</v>
      </c>
      <c r="G628">
        <v>19</v>
      </c>
      <c r="H628">
        <v>160007.4</v>
      </c>
      <c r="I628" t="s">
        <v>24</v>
      </c>
      <c r="J628" t="s">
        <v>25</v>
      </c>
      <c r="K628">
        <v>0</v>
      </c>
      <c r="L628">
        <v>0</v>
      </c>
      <c r="M628" t="s">
        <v>25</v>
      </c>
      <c r="N628" t="s">
        <v>25</v>
      </c>
      <c r="O628" t="s">
        <v>26</v>
      </c>
      <c r="P628" t="s">
        <v>25</v>
      </c>
      <c r="Q628" t="s">
        <v>27</v>
      </c>
      <c r="R628" t="s">
        <v>28</v>
      </c>
      <c r="S628" t="s">
        <v>51</v>
      </c>
      <c r="T628" t="s">
        <v>676</v>
      </c>
    </row>
    <row r="629" spans="1:20">
      <c r="A629">
        <v>631</v>
      </c>
      <c r="B629" t="s">
        <v>746</v>
      </c>
      <c r="C629" t="s">
        <v>21</v>
      </c>
      <c r="D629" t="s">
        <v>22</v>
      </c>
      <c r="E629" t="s">
        <v>23</v>
      </c>
      <c r="F629">
        <v>134460</v>
      </c>
      <c r="G629">
        <v>19</v>
      </c>
      <c r="H629">
        <v>160007.4</v>
      </c>
      <c r="I629" t="s">
        <v>24</v>
      </c>
      <c r="J629" t="s">
        <v>25</v>
      </c>
      <c r="K629">
        <v>0</v>
      </c>
      <c r="L629">
        <v>0</v>
      </c>
      <c r="M629" t="s">
        <v>25</v>
      </c>
      <c r="N629" t="s">
        <v>25</v>
      </c>
      <c r="O629" t="s">
        <v>26</v>
      </c>
      <c r="P629" t="s">
        <v>25</v>
      </c>
      <c r="Q629" t="s">
        <v>27</v>
      </c>
      <c r="R629" t="s">
        <v>28</v>
      </c>
      <c r="S629" t="s">
        <v>51</v>
      </c>
      <c r="T629" t="s">
        <v>676</v>
      </c>
    </row>
    <row r="630" spans="1:20">
      <c r="A630">
        <v>632</v>
      </c>
      <c r="B630" t="s">
        <v>747</v>
      </c>
      <c r="C630" t="s">
        <v>21</v>
      </c>
      <c r="D630" t="s">
        <v>22</v>
      </c>
      <c r="E630" t="s">
        <v>23</v>
      </c>
      <c r="F630">
        <v>134460</v>
      </c>
      <c r="G630">
        <v>19</v>
      </c>
      <c r="H630">
        <v>160007.4</v>
      </c>
      <c r="I630" t="s">
        <v>24</v>
      </c>
      <c r="J630" t="s">
        <v>25</v>
      </c>
      <c r="K630">
        <v>0</v>
      </c>
      <c r="L630">
        <v>0</v>
      </c>
      <c r="M630" t="s">
        <v>25</v>
      </c>
      <c r="N630" t="s">
        <v>25</v>
      </c>
      <c r="O630" t="s">
        <v>26</v>
      </c>
      <c r="P630" t="s">
        <v>25</v>
      </c>
      <c r="Q630" t="s">
        <v>27</v>
      </c>
      <c r="R630" t="s">
        <v>28</v>
      </c>
      <c r="S630" t="s">
        <v>51</v>
      </c>
      <c r="T630" t="s">
        <v>676</v>
      </c>
    </row>
    <row r="631" spans="1:20">
      <c r="A631">
        <v>633</v>
      </c>
      <c r="B631" t="s">
        <v>748</v>
      </c>
      <c r="C631" t="s">
        <v>21</v>
      </c>
      <c r="D631" t="s">
        <v>22</v>
      </c>
      <c r="E631" t="s">
        <v>23</v>
      </c>
      <c r="F631">
        <v>134460</v>
      </c>
      <c r="G631">
        <v>19</v>
      </c>
      <c r="H631">
        <v>160007.4</v>
      </c>
      <c r="I631" t="s">
        <v>24</v>
      </c>
      <c r="J631" t="s">
        <v>25</v>
      </c>
      <c r="K631">
        <v>0</v>
      </c>
      <c r="L631">
        <v>0</v>
      </c>
      <c r="M631" t="s">
        <v>25</v>
      </c>
      <c r="N631" t="s">
        <v>25</v>
      </c>
      <c r="O631" t="s">
        <v>26</v>
      </c>
      <c r="P631" t="s">
        <v>25</v>
      </c>
      <c r="Q631" t="s">
        <v>27</v>
      </c>
      <c r="R631" t="s">
        <v>28</v>
      </c>
      <c r="S631" t="s">
        <v>51</v>
      </c>
      <c r="T631" t="s">
        <v>676</v>
      </c>
    </row>
    <row r="632" spans="1:20">
      <c r="A632">
        <v>634</v>
      </c>
      <c r="B632" t="s">
        <v>749</v>
      </c>
      <c r="C632" t="s">
        <v>21</v>
      </c>
      <c r="D632" t="s">
        <v>22</v>
      </c>
      <c r="E632" t="s">
        <v>23</v>
      </c>
      <c r="F632">
        <v>134460</v>
      </c>
      <c r="G632">
        <v>19</v>
      </c>
      <c r="H632">
        <v>160007.4</v>
      </c>
      <c r="I632" t="s">
        <v>24</v>
      </c>
      <c r="J632" t="s">
        <v>25</v>
      </c>
      <c r="K632">
        <v>0</v>
      </c>
      <c r="L632">
        <v>0</v>
      </c>
      <c r="M632" t="s">
        <v>25</v>
      </c>
      <c r="N632" t="s">
        <v>25</v>
      </c>
      <c r="O632" t="s">
        <v>26</v>
      </c>
      <c r="P632" t="s">
        <v>25</v>
      </c>
      <c r="Q632" t="s">
        <v>27</v>
      </c>
      <c r="R632" t="s">
        <v>28</v>
      </c>
      <c r="S632" t="s">
        <v>51</v>
      </c>
      <c r="T632" t="s">
        <v>676</v>
      </c>
    </row>
    <row r="633" spans="1:20">
      <c r="A633">
        <v>635</v>
      </c>
      <c r="B633" t="s">
        <v>750</v>
      </c>
      <c r="C633" t="s">
        <v>21</v>
      </c>
      <c r="D633" t="s">
        <v>22</v>
      </c>
      <c r="E633" t="s">
        <v>23</v>
      </c>
      <c r="F633">
        <v>134460</v>
      </c>
      <c r="G633">
        <v>19</v>
      </c>
      <c r="H633">
        <v>160007.4</v>
      </c>
      <c r="I633" t="s">
        <v>24</v>
      </c>
      <c r="J633" t="s">
        <v>25</v>
      </c>
      <c r="K633">
        <v>0</v>
      </c>
      <c r="L633">
        <v>0</v>
      </c>
      <c r="M633" t="s">
        <v>25</v>
      </c>
      <c r="N633" t="s">
        <v>25</v>
      </c>
      <c r="O633" t="s">
        <v>26</v>
      </c>
      <c r="P633" t="s">
        <v>25</v>
      </c>
      <c r="Q633" t="s">
        <v>27</v>
      </c>
      <c r="R633" t="s">
        <v>28</v>
      </c>
      <c r="S633" t="s">
        <v>51</v>
      </c>
      <c r="T633" t="s">
        <v>751</v>
      </c>
    </row>
    <row r="634" spans="1:20">
      <c r="A634">
        <v>636</v>
      </c>
      <c r="B634" t="s">
        <v>752</v>
      </c>
      <c r="C634" t="s">
        <v>21</v>
      </c>
      <c r="D634" t="s">
        <v>22</v>
      </c>
      <c r="E634" t="s">
        <v>23</v>
      </c>
      <c r="F634">
        <v>134460</v>
      </c>
      <c r="G634">
        <v>19</v>
      </c>
      <c r="H634">
        <v>160007.4</v>
      </c>
      <c r="I634" t="s">
        <v>24</v>
      </c>
      <c r="J634" t="s">
        <v>25</v>
      </c>
      <c r="K634">
        <v>0</v>
      </c>
      <c r="L634">
        <v>0</v>
      </c>
      <c r="M634" t="s">
        <v>25</v>
      </c>
      <c r="N634" t="s">
        <v>25</v>
      </c>
      <c r="O634" t="s">
        <v>26</v>
      </c>
      <c r="P634" t="s">
        <v>25</v>
      </c>
      <c r="Q634" t="s">
        <v>27</v>
      </c>
      <c r="R634" t="s">
        <v>28</v>
      </c>
      <c r="S634" t="s">
        <v>51</v>
      </c>
      <c r="T634" t="s">
        <v>676</v>
      </c>
    </row>
    <row r="635" spans="1:20">
      <c r="A635">
        <v>637</v>
      </c>
      <c r="B635" t="s">
        <v>753</v>
      </c>
      <c r="C635" t="s">
        <v>21</v>
      </c>
      <c r="D635" t="s">
        <v>22</v>
      </c>
      <c r="E635" t="s">
        <v>23</v>
      </c>
      <c r="F635">
        <v>134460</v>
      </c>
      <c r="G635">
        <v>19</v>
      </c>
      <c r="H635">
        <v>160007.4</v>
      </c>
      <c r="I635" t="s">
        <v>24</v>
      </c>
      <c r="J635" t="s">
        <v>25</v>
      </c>
      <c r="K635">
        <v>0</v>
      </c>
      <c r="L635">
        <v>0</v>
      </c>
      <c r="M635" t="s">
        <v>25</v>
      </c>
      <c r="N635" t="s">
        <v>25</v>
      </c>
      <c r="O635" t="s">
        <v>26</v>
      </c>
      <c r="P635" t="s">
        <v>25</v>
      </c>
      <c r="Q635" t="s">
        <v>27</v>
      </c>
      <c r="R635" t="s">
        <v>28</v>
      </c>
      <c r="S635" t="s">
        <v>51</v>
      </c>
      <c r="T635" t="s">
        <v>751</v>
      </c>
    </row>
    <row r="636" spans="1:20">
      <c r="A636">
        <v>638</v>
      </c>
      <c r="B636" t="s">
        <v>754</v>
      </c>
      <c r="C636" t="s">
        <v>21</v>
      </c>
      <c r="D636" t="s">
        <v>22</v>
      </c>
      <c r="E636" t="s">
        <v>23</v>
      </c>
      <c r="F636">
        <v>134460</v>
      </c>
      <c r="G636">
        <v>19</v>
      </c>
      <c r="H636">
        <v>160007.4</v>
      </c>
      <c r="I636" t="s">
        <v>24</v>
      </c>
      <c r="J636" t="s">
        <v>25</v>
      </c>
      <c r="K636">
        <v>0</v>
      </c>
      <c r="L636">
        <v>0</v>
      </c>
      <c r="M636" t="s">
        <v>25</v>
      </c>
      <c r="N636" t="s">
        <v>25</v>
      </c>
      <c r="O636" t="s">
        <v>26</v>
      </c>
      <c r="P636" t="s">
        <v>25</v>
      </c>
      <c r="Q636" t="s">
        <v>27</v>
      </c>
      <c r="R636" t="s">
        <v>28</v>
      </c>
      <c r="S636" t="s">
        <v>51</v>
      </c>
      <c r="T636" t="s">
        <v>751</v>
      </c>
    </row>
    <row r="637" spans="1:20">
      <c r="A637">
        <v>639</v>
      </c>
      <c r="B637" t="s">
        <v>755</v>
      </c>
      <c r="C637" t="s">
        <v>21</v>
      </c>
      <c r="D637" t="s">
        <v>22</v>
      </c>
      <c r="E637" t="s">
        <v>23</v>
      </c>
      <c r="F637">
        <v>134460</v>
      </c>
      <c r="G637">
        <v>19</v>
      </c>
      <c r="H637">
        <v>160007.4</v>
      </c>
      <c r="I637" t="s">
        <v>24</v>
      </c>
      <c r="J637" t="s">
        <v>25</v>
      </c>
      <c r="K637">
        <v>0</v>
      </c>
      <c r="L637">
        <v>0</v>
      </c>
      <c r="M637" t="s">
        <v>25</v>
      </c>
      <c r="N637" t="s">
        <v>25</v>
      </c>
      <c r="O637" t="s">
        <v>26</v>
      </c>
      <c r="P637" t="s">
        <v>25</v>
      </c>
      <c r="Q637" t="s">
        <v>27</v>
      </c>
      <c r="R637" t="s">
        <v>28</v>
      </c>
      <c r="S637" t="s">
        <v>51</v>
      </c>
      <c r="T637" t="s">
        <v>751</v>
      </c>
    </row>
    <row r="638" spans="1:20">
      <c r="A638">
        <v>640</v>
      </c>
      <c r="B638" t="s">
        <v>756</v>
      </c>
      <c r="C638" t="s">
        <v>21</v>
      </c>
      <c r="D638" t="s">
        <v>22</v>
      </c>
      <c r="E638" t="s">
        <v>23</v>
      </c>
      <c r="F638">
        <v>134460</v>
      </c>
      <c r="G638">
        <v>19</v>
      </c>
      <c r="H638">
        <v>160007.4</v>
      </c>
      <c r="I638" t="s">
        <v>24</v>
      </c>
      <c r="J638" t="s">
        <v>25</v>
      </c>
      <c r="K638">
        <v>0</v>
      </c>
      <c r="L638">
        <v>0</v>
      </c>
      <c r="M638" t="s">
        <v>25</v>
      </c>
      <c r="N638" t="s">
        <v>25</v>
      </c>
      <c r="O638" t="s">
        <v>26</v>
      </c>
      <c r="P638" t="s">
        <v>25</v>
      </c>
      <c r="Q638" t="s">
        <v>27</v>
      </c>
      <c r="R638" t="s">
        <v>28</v>
      </c>
      <c r="S638" t="s">
        <v>51</v>
      </c>
      <c r="T638" t="s">
        <v>751</v>
      </c>
    </row>
    <row r="639" spans="1:20">
      <c r="A639">
        <v>641</v>
      </c>
      <c r="B639" t="s">
        <v>757</v>
      </c>
      <c r="C639" t="s">
        <v>21</v>
      </c>
      <c r="D639" t="s">
        <v>22</v>
      </c>
      <c r="E639" t="s">
        <v>23</v>
      </c>
      <c r="F639">
        <v>134460</v>
      </c>
      <c r="G639">
        <v>19</v>
      </c>
      <c r="H639">
        <v>160007.4</v>
      </c>
      <c r="I639" t="s">
        <v>24</v>
      </c>
      <c r="J639" t="s">
        <v>25</v>
      </c>
      <c r="K639">
        <v>0</v>
      </c>
      <c r="L639">
        <v>0</v>
      </c>
      <c r="M639" t="s">
        <v>25</v>
      </c>
      <c r="N639" t="s">
        <v>25</v>
      </c>
      <c r="O639" t="s">
        <v>26</v>
      </c>
      <c r="P639" t="s">
        <v>25</v>
      </c>
      <c r="Q639" t="s">
        <v>27</v>
      </c>
      <c r="R639" t="s">
        <v>28</v>
      </c>
      <c r="S639" t="s">
        <v>51</v>
      </c>
      <c r="T639" t="s">
        <v>751</v>
      </c>
    </row>
    <row r="640" spans="1:20">
      <c r="A640">
        <v>642</v>
      </c>
      <c r="B640" t="s">
        <v>758</v>
      </c>
      <c r="C640" t="s">
        <v>21</v>
      </c>
      <c r="D640" t="s">
        <v>22</v>
      </c>
      <c r="E640" t="s">
        <v>23</v>
      </c>
      <c r="F640">
        <v>134460</v>
      </c>
      <c r="G640">
        <v>19</v>
      </c>
      <c r="H640">
        <v>160007.4</v>
      </c>
      <c r="I640" t="s">
        <v>24</v>
      </c>
      <c r="J640" t="s">
        <v>25</v>
      </c>
      <c r="K640">
        <v>0</v>
      </c>
      <c r="L640">
        <v>0</v>
      </c>
      <c r="M640" t="s">
        <v>25</v>
      </c>
      <c r="N640" t="s">
        <v>25</v>
      </c>
      <c r="O640" t="s">
        <v>26</v>
      </c>
      <c r="P640" t="s">
        <v>25</v>
      </c>
      <c r="Q640" t="s">
        <v>27</v>
      </c>
      <c r="R640" t="s">
        <v>28</v>
      </c>
      <c r="S640" t="s">
        <v>51</v>
      </c>
      <c r="T640" t="s">
        <v>751</v>
      </c>
    </row>
    <row r="641" spans="1:20">
      <c r="A641">
        <v>643</v>
      </c>
      <c r="B641" t="s">
        <v>759</v>
      </c>
      <c r="C641" t="s">
        <v>21</v>
      </c>
      <c r="D641" t="s">
        <v>22</v>
      </c>
      <c r="E641" t="s">
        <v>23</v>
      </c>
      <c r="F641">
        <v>134460</v>
      </c>
      <c r="G641">
        <v>19</v>
      </c>
      <c r="H641">
        <v>160007.4</v>
      </c>
      <c r="I641" t="s">
        <v>24</v>
      </c>
      <c r="J641" t="s">
        <v>25</v>
      </c>
      <c r="K641">
        <v>0</v>
      </c>
      <c r="L641">
        <v>0</v>
      </c>
      <c r="M641" t="s">
        <v>25</v>
      </c>
      <c r="N641" t="s">
        <v>25</v>
      </c>
      <c r="O641" t="s">
        <v>26</v>
      </c>
      <c r="P641" t="s">
        <v>25</v>
      </c>
      <c r="Q641" t="s">
        <v>27</v>
      </c>
      <c r="R641" t="s">
        <v>28</v>
      </c>
      <c r="S641" t="s">
        <v>51</v>
      </c>
      <c r="T641" t="s">
        <v>751</v>
      </c>
    </row>
    <row r="642" spans="1:20">
      <c r="A642">
        <v>644</v>
      </c>
      <c r="B642" t="s">
        <v>760</v>
      </c>
      <c r="C642" t="s">
        <v>21</v>
      </c>
      <c r="D642" t="s">
        <v>22</v>
      </c>
      <c r="E642" t="s">
        <v>23</v>
      </c>
      <c r="F642">
        <v>134460</v>
      </c>
      <c r="G642">
        <v>19</v>
      </c>
      <c r="H642">
        <v>160007.4</v>
      </c>
      <c r="I642" t="s">
        <v>24</v>
      </c>
      <c r="J642" t="s">
        <v>25</v>
      </c>
      <c r="K642">
        <v>0</v>
      </c>
      <c r="L642">
        <v>0</v>
      </c>
      <c r="M642" t="s">
        <v>25</v>
      </c>
      <c r="N642" t="s">
        <v>25</v>
      </c>
      <c r="O642" t="s">
        <v>26</v>
      </c>
      <c r="P642" t="s">
        <v>25</v>
      </c>
      <c r="Q642" t="s">
        <v>27</v>
      </c>
      <c r="R642" t="s">
        <v>28</v>
      </c>
      <c r="S642" t="s">
        <v>51</v>
      </c>
      <c r="T642" t="s">
        <v>751</v>
      </c>
    </row>
    <row r="643" spans="1:20">
      <c r="A643">
        <v>645</v>
      </c>
      <c r="B643" t="s">
        <v>761</v>
      </c>
      <c r="C643" t="s">
        <v>21</v>
      </c>
      <c r="D643" t="s">
        <v>22</v>
      </c>
      <c r="E643" t="s">
        <v>23</v>
      </c>
      <c r="F643">
        <v>134460</v>
      </c>
      <c r="G643">
        <v>19</v>
      </c>
      <c r="H643">
        <v>160007.4</v>
      </c>
      <c r="I643" t="s">
        <v>24</v>
      </c>
      <c r="J643" t="s">
        <v>25</v>
      </c>
      <c r="K643">
        <v>0</v>
      </c>
      <c r="L643">
        <v>0</v>
      </c>
      <c r="M643" t="s">
        <v>25</v>
      </c>
      <c r="N643" t="s">
        <v>25</v>
      </c>
      <c r="O643" t="s">
        <v>26</v>
      </c>
      <c r="P643" t="s">
        <v>25</v>
      </c>
      <c r="Q643" t="s">
        <v>27</v>
      </c>
      <c r="R643" t="s">
        <v>28</v>
      </c>
      <c r="S643" t="s">
        <v>51</v>
      </c>
      <c r="T643" t="s">
        <v>751</v>
      </c>
    </row>
    <row r="644" spans="1:20">
      <c r="A644">
        <v>646</v>
      </c>
      <c r="B644" t="s">
        <v>762</v>
      </c>
      <c r="C644" t="s">
        <v>21</v>
      </c>
      <c r="D644" t="s">
        <v>22</v>
      </c>
      <c r="E644" t="s">
        <v>23</v>
      </c>
      <c r="F644">
        <v>134460</v>
      </c>
      <c r="G644">
        <v>19</v>
      </c>
      <c r="H644">
        <v>160007.4</v>
      </c>
      <c r="I644" t="s">
        <v>24</v>
      </c>
      <c r="J644" t="s">
        <v>25</v>
      </c>
      <c r="K644">
        <v>0</v>
      </c>
      <c r="L644">
        <v>0</v>
      </c>
      <c r="M644" t="s">
        <v>25</v>
      </c>
      <c r="N644" t="s">
        <v>25</v>
      </c>
      <c r="O644" t="s">
        <v>26</v>
      </c>
      <c r="P644" t="s">
        <v>25</v>
      </c>
      <c r="Q644" t="s">
        <v>27</v>
      </c>
      <c r="R644" t="s">
        <v>28</v>
      </c>
      <c r="S644" t="s">
        <v>51</v>
      </c>
      <c r="T644" t="s">
        <v>751</v>
      </c>
    </row>
    <row r="645" spans="1:20">
      <c r="A645">
        <v>647</v>
      </c>
      <c r="B645" t="s">
        <v>763</v>
      </c>
      <c r="C645" t="s">
        <v>21</v>
      </c>
      <c r="D645" t="s">
        <v>22</v>
      </c>
      <c r="E645" t="s">
        <v>23</v>
      </c>
      <c r="F645">
        <v>134460</v>
      </c>
      <c r="G645">
        <v>19</v>
      </c>
      <c r="H645">
        <v>160007.4</v>
      </c>
      <c r="I645" t="s">
        <v>24</v>
      </c>
      <c r="J645" t="s">
        <v>25</v>
      </c>
      <c r="K645">
        <v>0</v>
      </c>
      <c r="L645">
        <v>0</v>
      </c>
      <c r="M645" t="s">
        <v>25</v>
      </c>
      <c r="N645" t="s">
        <v>25</v>
      </c>
      <c r="O645" t="s">
        <v>26</v>
      </c>
      <c r="P645" t="s">
        <v>25</v>
      </c>
      <c r="Q645" t="s">
        <v>27</v>
      </c>
      <c r="R645" t="s">
        <v>28</v>
      </c>
      <c r="S645" t="s">
        <v>51</v>
      </c>
      <c r="T645" t="s">
        <v>751</v>
      </c>
    </row>
    <row r="646" spans="1:20">
      <c r="A646">
        <v>648</v>
      </c>
      <c r="B646" t="s">
        <v>764</v>
      </c>
      <c r="C646" t="s">
        <v>21</v>
      </c>
      <c r="D646" t="s">
        <v>22</v>
      </c>
      <c r="E646" t="s">
        <v>23</v>
      </c>
      <c r="F646">
        <v>134460</v>
      </c>
      <c r="G646">
        <v>19</v>
      </c>
      <c r="H646">
        <v>160007.4</v>
      </c>
      <c r="I646" t="s">
        <v>24</v>
      </c>
      <c r="J646" t="s">
        <v>25</v>
      </c>
      <c r="K646">
        <v>0</v>
      </c>
      <c r="L646">
        <v>0</v>
      </c>
      <c r="M646" t="s">
        <v>25</v>
      </c>
      <c r="N646" t="s">
        <v>25</v>
      </c>
      <c r="O646" t="s">
        <v>26</v>
      </c>
      <c r="P646" t="s">
        <v>25</v>
      </c>
      <c r="Q646" t="s">
        <v>27</v>
      </c>
      <c r="R646" t="s">
        <v>28</v>
      </c>
      <c r="S646" t="s">
        <v>51</v>
      </c>
      <c r="T646" t="s">
        <v>751</v>
      </c>
    </row>
    <row r="647" spans="1:20">
      <c r="A647">
        <v>649</v>
      </c>
      <c r="B647" t="s">
        <v>765</v>
      </c>
      <c r="C647" t="s">
        <v>21</v>
      </c>
      <c r="D647" t="s">
        <v>22</v>
      </c>
      <c r="E647" t="s">
        <v>23</v>
      </c>
      <c r="F647">
        <v>134460</v>
      </c>
      <c r="G647">
        <v>19</v>
      </c>
      <c r="H647">
        <v>160007.4</v>
      </c>
      <c r="I647" t="s">
        <v>24</v>
      </c>
      <c r="J647" t="s">
        <v>25</v>
      </c>
      <c r="K647">
        <v>0</v>
      </c>
      <c r="L647">
        <v>0</v>
      </c>
      <c r="M647" t="s">
        <v>25</v>
      </c>
      <c r="N647" t="s">
        <v>25</v>
      </c>
      <c r="O647" t="s">
        <v>26</v>
      </c>
      <c r="P647" t="s">
        <v>25</v>
      </c>
      <c r="Q647" t="s">
        <v>27</v>
      </c>
      <c r="R647" t="s">
        <v>28</v>
      </c>
      <c r="S647" t="s">
        <v>51</v>
      </c>
      <c r="T647" t="s">
        <v>751</v>
      </c>
    </row>
    <row r="648" spans="1:20">
      <c r="A648">
        <v>650</v>
      </c>
      <c r="B648" t="s">
        <v>766</v>
      </c>
      <c r="C648" t="s">
        <v>21</v>
      </c>
      <c r="D648" t="s">
        <v>22</v>
      </c>
      <c r="E648" t="s">
        <v>23</v>
      </c>
      <c r="F648">
        <v>134460</v>
      </c>
      <c r="G648">
        <v>19</v>
      </c>
      <c r="H648">
        <v>160007.4</v>
      </c>
      <c r="I648" t="s">
        <v>24</v>
      </c>
      <c r="J648" t="s">
        <v>25</v>
      </c>
      <c r="K648">
        <v>0</v>
      </c>
      <c r="L648">
        <v>0</v>
      </c>
      <c r="M648" t="s">
        <v>25</v>
      </c>
      <c r="N648" t="s">
        <v>25</v>
      </c>
      <c r="O648" t="s">
        <v>26</v>
      </c>
      <c r="P648" t="s">
        <v>25</v>
      </c>
      <c r="Q648" t="s">
        <v>27</v>
      </c>
      <c r="R648" t="s">
        <v>28</v>
      </c>
      <c r="S648" t="s">
        <v>51</v>
      </c>
      <c r="T648" t="s">
        <v>751</v>
      </c>
    </row>
    <row r="649" spans="1:20">
      <c r="A649">
        <v>651</v>
      </c>
      <c r="B649" t="s">
        <v>767</v>
      </c>
      <c r="C649" t="s">
        <v>21</v>
      </c>
      <c r="D649" t="s">
        <v>22</v>
      </c>
      <c r="E649" t="s">
        <v>23</v>
      </c>
      <c r="F649">
        <v>134460</v>
      </c>
      <c r="G649">
        <v>19</v>
      </c>
      <c r="H649">
        <v>160007.4</v>
      </c>
      <c r="I649" t="s">
        <v>24</v>
      </c>
      <c r="J649" t="s">
        <v>25</v>
      </c>
      <c r="K649">
        <v>0</v>
      </c>
      <c r="L649">
        <v>0</v>
      </c>
      <c r="M649" t="s">
        <v>25</v>
      </c>
      <c r="N649" t="s">
        <v>25</v>
      </c>
      <c r="O649" t="s">
        <v>26</v>
      </c>
      <c r="P649" t="s">
        <v>25</v>
      </c>
      <c r="Q649" t="s">
        <v>27</v>
      </c>
      <c r="R649" t="s">
        <v>28</v>
      </c>
      <c r="S649" t="s">
        <v>51</v>
      </c>
      <c r="T649" t="s">
        <v>751</v>
      </c>
    </row>
    <row r="650" spans="1:20">
      <c r="A650">
        <v>652</v>
      </c>
      <c r="B650" t="s">
        <v>768</v>
      </c>
      <c r="C650" t="s">
        <v>21</v>
      </c>
      <c r="D650" t="s">
        <v>22</v>
      </c>
      <c r="E650" t="s">
        <v>23</v>
      </c>
      <c r="F650">
        <v>134460</v>
      </c>
      <c r="G650">
        <v>19</v>
      </c>
      <c r="H650">
        <v>160007.4</v>
      </c>
      <c r="I650" t="s">
        <v>24</v>
      </c>
      <c r="J650" t="s">
        <v>25</v>
      </c>
      <c r="K650">
        <v>0</v>
      </c>
      <c r="L650">
        <v>0</v>
      </c>
      <c r="M650" t="s">
        <v>25</v>
      </c>
      <c r="N650" t="s">
        <v>25</v>
      </c>
      <c r="O650" t="s">
        <v>26</v>
      </c>
      <c r="P650" t="s">
        <v>25</v>
      </c>
      <c r="Q650" t="s">
        <v>27</v>
      </c>
      <c r="R650" t="s">
        <v>28</v>
      </c>
      <c r="S650" t="s">
        <v>51</v>
      </c>
      <c r="T650" t="s">
        <v>751</v>
      </c>
    </row>
    <row r="651" spans="1:20">
      <c r="A651">
        <v>653</v>
      </c>
      <c r="B651" t="s">
        <v>769</v>
      </c>
      <c r="C651" t="s">
        <v>21</v>
      </c>
      <c r="D651" t="s">
        <v>22</v>
      </c>
      <c r="E651" t="s">
        <v>23</v>
      </c>
      <c r="F651">
        <v>134460</v>
      </c>
      <c r="G651">
        <v>19</v>
      </c>
      <c r="H651">
        <v>160007.4</v>
      </c>
      <c r="I651" t="s">
        <v>24</v>
      </c>
      <c r="J651" t="s">
        <v>25</v>
      </c>
      <c r="K651">
        <v>0</v>
      </c>
      <c r="L651">
        <v>0</v>
      </c>
      <c r="M651" t="s">
        <v>25</v>
      </c>
      <c r="N651" t="s">
        <v>25</v>
      </c>
      <c r="O651" t="s">
        <v>26</v>
      </c>
      <c r="P651" t="s">
        <v>25</v>
      </c>
      <c r="Q651" t="s">
        <v>27</v>
      </c>
      <c r="R651" t="s">
        <v>28</v>
      </c>
      <c r="S651" t="s">
        <v>51</v>
      </c>
      <c r="T651" t="s">
        <v>751</v>
      </c>
    </row>
    <row r="652" spans="1:20">
      <c r="A652">
        <v>654</v>
      </c>
      <c r="B652" t="s">
        <v>770</v>
      </c>
      <c r="C652" t="s">
        <v>21</v>
      </c>
      <c r="D652" t="s">
        <v>22</v>
      </c>
      <c r="E652" t="s">
        <v>23</v>
      </c>
      <c r="F652">
        <v>134460</v>
      </c>
      <c r="G652">
        <v>19</v>
      </c>
      <c r="H652">
        <v>160007.4</v>
      </c>
      <c r="I652" t="s">
        <v>24</v>
      </c>
      <c r="J652" t="s">
        <v>25</v>
      </c>
      <c r="K652">
        <v>0</v>
      </c>
      <c r="L652">
        <v>0</v>
      </c>
      <c r="M652" t="s">
        <v>25</v>
      </c>
      <c r="N652" t="s">
        <v>25</v>
      </c>
      <c r="O652" t="s">
        <v>26</v>
      </c>
      <c r="P652" t="s">
        <v>25</v>
      </c>
      <c r="Q652" t="s">
        <v>27</v>
      </c>
      <c r="R652" t="s">
        <v>28</v>
      </c>
      <c r="S652" t="s">
        <v>51</v>
      </c>
      <c r="T652" t="s">
        <v>751</v>
      </c>
    </row>
    <row r="653" spans="1:20">
      <c r="A653">
        <v>655</v>
      </c>
      <c r="B653" t="s">
        <v>771</v>
      </c>
      <c r="C653" t="s">
        <v>21</v>
      </c>
      <c r="D653" t="s">
        <v>22</v>
      </c>
      <c r="E653" t="s">
        <v>23</v>
      </c>
      <c r="F653">
        <v>134460</v>
      </c>
      <c r="G653">
        <v>19</v>
      </c>
      <c r="H653">
        <v>160007.4</v>
      </c>
      <c r="I653" t="s">
        <v>24</v>
      </c>
      <c r="J653" t="s">
        <v>25</v>
      </c>
      <c r="K653">
        <v>0</v>
      </c>
      <c r="L653">
        <v>0</v>
      </c>
      <c r="M653" t="s">
        <v>25</v>
      </c>
      <c r="N653" t="s">
        <v>25</v>
      </c>
      <c r="O653" t="s">
        <v>26</v>
      </c>
      <c r="P653" t="s">
        <v>25</v>
      </c>
      <c r="Q653" t="s">
        <v>27</v>
      </c>
      <c r="R653" t="s">
        <v>28</v>
      </c>
      <c r="S653" t="s">
        <v>51</v>
      </c>
      <c r="T653" t="s">
        <v>751</v>
      </c>
    </row>
    <row r="654" spans="1:20">
      <c r="A654">
        <v>656</v>
      </c>
      <c r="B654" t="s">
        <v>772</v>
      </c>
      <c r="C654" t="s">
        <v>21</v>
      </c>
      <c r="D654" t="s">
        <v>22</v>
      </c>
      <c r="E654" t="s">
        <v>23</v>
      </c>
      <c r="F654">
        <v>134460</v>
      </c>
      <c r="G654">
        <v>19</v>
      </c>
      <c r="H654">
        <v>160007.4</v>
      </c>
      <c r="I654" t="s">
        <v>24</v>
      </c>
      <c r="J654" t="s">
        <v>25</v>
      </c>
      <c r="K654">
        <v>0</v>
      </c>
      <c r="L654">
        <v>0</v>
      </c>
      <c r="M654" t="s">
        <v>25</v>
      </c>
      <c r="N654" t="s">
        <v>25</v>
      </c>
      <c r="O654" t="s">
        <v>26</v>
      </c>
      <c r="P654" t="s">
        <v>25</v>
      </c>
      <c r="Q654" t="s">
        <v>27</v>
      </c>
      <c r="R654" t="s">
        <v>28</v>
      </c>
      <c r="S654" t="s">
        <v>51</v>
      </c>
      <c r="T654" t="s">
        <v>751</v>
      </c>
    </row>
    <row r="655" spans="1:20">
      <c r="A655">
        <v>657</v>
      </c>
      <c r="B655" t="s">
        <v>773</v>
      </c>
      <c r="C655" t="s">
        <v>21</v>
      </c>
      <c r="D655" t="s">
        <v>22</v>
      </c>
      <c r="E655" t="s">
        <v>23</v>
      </c>
      <c r="F655">
        <v>134460</v>
      </c>
      <c r="G655">
        <v>19</v>
      </c>
      <c r="H655">
        <v>160007.4</v>
      </c>
      <c r="I655" t="s">
        <v>24</v>
      </c>
      <c r="J655" t="s">
        <v>25</v>
      </c>
      <c r="K655">
        <v>0</v>
      </c>
      <c r="L655">
        <v>0</v>
      </c>
      <c r="M655" t="s">
        <v>25</v>
      </c>
      <c r="N655" t="s">
        <v>25</v>
      </c>
      <c r="O655" t="s">
        <v>26</v>
      </c>
      <c r="P655" t="s">
        <v>25</v>
      </c>
      <c r="Q655" t="s">
        <v>27</v>
      </c>
      <c r="R655" t="s">
        <v>28</v>
      </c>
      <c r="S655" t="s">
        <v>51</v>
      </c>
      <c r="T655" t="s">
        <v>751</v>
      </c>
    </row>
    <row r="656" spans="1:20">
      <c r="A656">
        <v>658</v>
      </c>
      <c r="B656" t="s">
        <v>774</v>
      </c>
      <c r="C656" t="s">
        <v>21</v>
      </c>
      <c r="D656" t="s">
        <v>22</v>
      </c>
      <c r="E656" t="s">
        <v>23</v>
      </c>
      <c r="F656">
        <v>134460</v>
      </c>
      <c r="G656">
        <v>19</v>
      </c>
      <c r="H656">
        <v>160007.4</v>
      </c>
      <c r="I656" t="s">
        <v>24</v>
      </c>
      <c r="J656" t="s">
        <v>25</v>
      </c>
      <c r="K656">
        <v>0</v>
      </c>
      <c r="L656">
        <v>0</v>
      </c>
      <c r="M656" t="s">
        <v>25</v>
      </c>
      <c r="N656" t="s">
        <v>25</v>
      </c>
      <c r="O656" t="s">
        <v>26</v>
      </c>
      <c r="P656" t="s">
        <v>25</v>
      </c>
      <c r="Q656" t="s">
        <v>27</v>
      </c>
      <c r="R656" t="s">
        <v>28</v>
      </c>
      <c r="S656" t="s">
        <v>51</v>
      </c>
      <c r="T656" t="s">
        <v>751</v>
      </c>
    </row>
    <row r="657" spans="1:20">
      <c r="A657">
        <v>659</v>
      </c>
      <c r="B657" t="s">
        <v>775</v>
      </c>
      <c r="C657" t="s">
        <v>21</v>
      </c>
      <c r="D657" t="s">
        <v>22</v>
      </c>
      <c r="E657" t="s">
        <v>23</v>
      </c>
      <c r="F657">
        <v>160000</v>
      </c>
      <c r="G657">
        <v>19</v>
      </c>
      <c r="H657">
        <v>190400</v>
      </c>
      <c r="I657" t="s">
        <v>24</v>
      </c>
      <c r="J657" t="s">
        <v>25</v>
      </c>
      <c r="K657">
        <v>0</v>
      </c>
      <c r="L657">
        <v>0</v>
      </c>
      <c r="M657" t="s">
        <v>25</v>
      </c>
      <c r="N657" t="s">
        <v>25</v>
      </c>
      <c r="O657" t="s">
        <v>26</v>
      </c>
      <c r="P657" t="s">
        <v>25</v>
      </c>
      <c r="Q657" t="s">
        <v>27</v>
      </c>
      <c r="R657" t="s">
        <v>28</v>
      </c>
      <c r="S657" t="s">
        <v>51</v>
      </c>
      <c r="T657" t="s">
        <v>776</v>
      </c>
    </row>
    <row r="658" spans="1:20">
      <c r="A658">
        <v>660</v>
      </c>
      <c r="B658" t="s">
        <v>777</v>
      </c>
      <c r="C658" t="s">
        <v>21</v>
      </c>
      <c r="D658" t="s">
        <v>22</v>
      </c>
      <c r="E658" t="s">
        <v>23</v>
      </c>
      <c r="F658">
        <v>0</v>
      </c>
      <c r="G658">
        <v>19</v>
      </c>
      <c r="H658">
        <v>0</v>
      </c>
      <c r="I658" t="s">
        <v>24</v>
      </c>
      <c r="J658" t="s">
        <v>25</v>
      </c>
      <c r="K658">
        <v>0</v>
      </c>
      <c r="L658">
        <v>0</v>
      </c>
      <c r="M658" t="s">
        <v>25</v>
      </c>
      <c r="N658" t="s">
        <v>25</v>
      </c>
      <c r="O658" t="s">
        <v>26</v>
      </c>
      <c r="P658" t="s">
        <v>25</v>
      </c>
      <c r="Q658" t="s">
        <v>27</v>
      </c>
      <c r="R658" t="s">
        <v>28</v>
      </c>
      <c r="S658" t="s">
        <v>51</v>
      </c>
      <c r="T658" t="s">
        <v>680</v>
      </c>
    </row>
    <row r="659" spans="1:20">
      <c r="A659">
        <v>661</v>
      </c>
      <c r="B659" t="s">
        <v>778</v>
      </c>
      <c r="C659" t="s">
        <v>21</v>
      </c>
      <c r="D659" t="s">
        <v>22</v>
      </c>
      <c r="E659" t="s">
        <v>23</v>
      </c>
      <c r="F659">
        <v>0</v>
      </c>
      <c r="G659">
        <v>19</v>
      </c>
      <c r="H659">
        <v>0</v>
      </c>
      <c r="I659" t="s">
        <v>24</v>
      </c>
      <c r="J659" t="s">
        <v>25</v>
      </c>
      <c r="K659">
        <v>0</v>
      </c>
      <c r="L659">
        <v>0</v>
      </c>
      <c r="M659" t="s">
        <v>25</v>
      </c>
      <c r="N659" t="s">
        <v>25</v>
      </c>
      <c r="O659" t="s">
        <v>26</v>
      </c>
      <c r="P659" t="s">
        <v>25</v>
      </c>
      <c r="Q659" t="s">
        <v>27</v>
      </c>
      <c r="R659" t="s">
        <v>28</v>
      </c>
      <c r="S659" t="s">
        <v>51</v>
      </c>
      <c r="T659" t="s">
        <v>680</v>
      </c>
    </row>
    <row r="660" spans="1:20">
      <c r="A660">
        <v>662</v>
      </c>
      <c r="B660" t="s">
        <v>779</v>
      </c>
      <c r="C660" t="s">
        <v>21</v>
      </c>
      <c r="D660" t="s">
        <v>22</v>
      </c>
      <c r="E660" t="s">
        <v>23</v>
      </c>
      <c r="F660">
        <v>0</v>
      </c>
      <c r="G660">
        <v>19</v>
      </c>
      <c r="H660">
        <v>0</v>
      </c>
      <c r="I660" t="s">
        <v>24</v>
      </c>
      <c r="J660" t="s">
        <v>25</v>
      </c>
      <c r="K660">
        <v>0</v>
      </c>
      <c r="L660">
        <v>0</v>
      </c>
      <c r="M660" t="s">
        <v>25</v>
      </c>
      <c r="N660" t="s">
        <v>25</v>
      </c>
      <c r="O660" t="s">
        <v>26</v>
      </c>
      <c r="P660" t="s">
        <v>25</v>
      </c>
      <c r="Q660" t="s">
        <v>27</v>
      </c>
      <c r="R660" t="s">
        <v>28</v>
      </c>
      <c r="S660" t="s">
        <v>51</v>
      </c>
      <c r="T660" t="s">
        <v>680</v>
      </c>
    </row>
    <row r="661" spans="1:20">
      <c r="A661">
        <v>663</v>
      </c>
      <c r="B661" t="s">
        <v>780</v>
      </c>
      <c r="C661" t="s">
        <v>21</v>
      </c>
      <c r="D661" t="s">
        <v>22</v>
      </c>
      <c r="E661" t="s">
        <v>23</v>
      </c>
      <c r="F661">
        <v>0</v>
      </c>
      <c r="G661">
        <v>19</v>
      </c>
      <c r="H661">
        <v>0</v>
      </c>
      <c r="I661" t="s">
        <v>24</v>
      </c>
      <c r="J661" t="s">
        <v>25</v>
      </c>
      <c r="K661">
        <v>0</v>
      </c>
      <c r="L661">
        <v>0</v>
      </c>
      <c r="M661" t="s">
        <v>25</v>
      </c>
      <c r="N661" t="s">
        <v>25</v>
      </c>
      <c r="O661" t="s">
        <v>26</v>
      </c>
      <c r="P661" t="s">
        <v>25</v>
      </c>
      <c r="Q661" t="s">
        <v>27</v>
      </c>
      <c r="R661" t="s">
        <v>28</v>
      </c>
      <c r="S661" t="s">
        <v>51</v>
      </c>
      <c r="T661" t="s">
        <v>680</v>
      </c>
    </row>
    <row r="662" spans="1:20">
      <c r="A662">
        <v>664</v>
      </c>
      <c r="B662" t="s">
        <v>781</v>
      </c>
      <c r="C662" t="s">
        <v>21</v>
      </c>
      <c r="D662" t="s">
        <v>22</v>
      </c>
      <c r="E662" t="s">
        <v>23</v>
      </c>
      <c r="F662">
        <v>160744</v>
      </c>
      <c r="G662">
        <v>19</v>
      </c>
      <c r="H662">
        <v>191285.36</v>
      </c>
      <c r="I662" t="s">
        <v>24</v>
      </c>
      <c r="J662" t="s">
        <v>25</v>
      </c>
      <c r="K662">
        <v>0</v>
      </c>
      <c r="L662">
        <v>0</v>
      </c>
      <c r="M662" t="s">
        <v>25</v>
      </c>
      <c r="N662" t="s">
        <v>25</v>
      </c>
      <c r="O662" t="s">
        <v>26</v>
      </c>
      <c r="P662" t="s">
        <v>25</v>
      </c>
      <c r="Q662" t="s">
        <v>27</v>
      </c>
      <c r="R662" t="s">
        <v>28</v>
      </c>
      <c r="S662" t="s">
        <v>51</v>
      </c>
      <c r="T662" t="s">
        <v>678</v>
      </c>
    </row>
    <row r="663" spans="1:20">
      <c r="A663">
        <v>665</v>
      </c>
      <c r="B663" t="s">
        <v>782</v>
      </c>
      <c r="C663" t="s">
        <v>21</v>
      </c>
      <c r="D663" t="s">
        <v>22</v>
      </c>
      <c r="E663" t="s">
        <v>23</v>
      </c>
      <c r="F663">
        <v>160744</v>
      </c>
      <c r="G663">
        <v>19</v>
      </c>
      <c r="H663">
        <v>191285.36</v>
      </c>
      <c r="I663" t="s">
        <v>24</v>
      </c>
      <c r="J663" t="s">
        <v>25</v>
      </c>
      <c r="K663">
        <v>0</v>
      </c>
      <c r="L663">
        <v>0</v>
      </c>
      <c r="M663" t="s">
        <v>25</v>
      </c>
      <c r="N663" t="s">
        <v>25</v>
      </c>
      <c r="O663" t="s">
        <v>26</v>
      </c>
      <c r="P663" t="s">
        <v>25</v>
      </c>
      <c r="Q663" t="s">
        <v>27</v>
      </c>
      <c r="R663" t="s">
        <v>28</v>
      </c>
      <c r="S663" t="s">
        <v>51</v>
      </c>
      <c r="T663" t="s">
        <v>678</v>
      </c>
    </row>
    <row r="664" spans="1:20">
      <c r="A664">
        <v>666</v>
      </c>
      <c r="B664" t="s">
        <v>783</v>
      </c>
      <c r="C664" t="s">
        <v>21</v>
      </c>
      <c r="D664" t="s">
        <v>22</v>
      </c>
      <c r="E664" t="s">
        <v>23</v>
      </c>
      <c r="F664">
        <v>160744</v>
      </c>
      <c r="G664">
        <v>19</v>
      </c>
      <c r="H664">
        <v>191285.36</v>
      </c>
      <c r="I664" t="s">
        <v>24</v>
      </c>
      <c r="J664" t="s">
        <v>25</v>
      </c>
      <c r="K664">
        <v>0</v>
      </c>
      <c r="L664">
        <v>0</v>
      </c>
      <c r="M664" t="s">
        <v>25</v>
      </c>
      <c r="N664" t="s">
        <v>25</v>
      </c>
      <c r="O664" t="s">
        <v>26</v>
      </c>
      <c r="P664" t="s">
        <v>25</v>
      </c>
      <c r="Q664" t="s">
        <v>27</v>
      </c>
      <c r="R664" t="s">
        <v>28</v>
      </c>
      <c r="S664" t="s">
        <v>51</v>
      </c>
      <c r="T664" t="s">
        <v>678</v>
      </c>
    </row>
    <row r="665" spans="1:20">
      <c r="A665">
        <v>667</v>
      </c>
      <c r="B665" t="s">
        <v>784</v>
      </c>
      <c r="C665" t="s">
        <v>21</v>
      </c>
      <c r="D665" t="s">
        <v>22</v>
      </c>
      <c r="E665" t="s">
        <v>23</v>
      </c>
      <c r="F665">
        <v>134460</v>
      </c>
      <c r="G665">
        <v>19</v>
      </c>
      <c r="H665">
        <v>160007.4</v>
      </c>
      <c r="I665" t="s">
        <v>24</v>
      </c>
      <c r="J665" t="s">
        <v>25</v>
      </c>
      <c r="K665">
        <v>0</v>
      </c>
      <c r="L665">
        <v>0</v>
      </c>
      <c r="M665" t="s">
        <v>25</v>
      </c>
      <c r="N665" t="s">
        <v>25</v>
      </c>
      <c r="O665" t="s">
        <v>26</v>
      </c>
      <c r="P665" t="s">
        <v>25</v>
      </c>
      <c r="Q665" t="s">
        <v>27</v>
      </c>
      <c r="R665" t="s">
        <v>28</v>
      </c>
      <c r="S665" t="s">
        <v>51</v>
      </c>
      <c r="T665" t="s">
        <v>676</v>
      </c>
    </row>
    <row r="666" spans="1:20">
      <c r="A666">
        <v>668</v>
      </c>
      <c r="B666" t="s">
        <v>785</v>
      </c>
      <c r="C666" t="s">
        <v>21</v>
      </c>
      <c r="D666" t="s">
        <v>22</v>
      </c>
      <c r="E666" t="s">
        <v>23</v>
      </c>
      <c r="F666">
        <v>134460</v>
      </c>
      <c r="G666">
        <v>19</v>
      </c>
      <c r="H666">
        <v>160007.4</v>
      </c>
      <c r="I666" t="s">
        <v>24</v>
      </c>
      <c r="J666" t="s">
        <v>25</v>
      </c>
      <c r="K666">
        <v>0</v>
      </c>
      <c r="L666">
        <v>0</v>
      </c>
      <c r="M666" t="s">
        <v>25</v>
      </c>
      <c r="N666" t="s">
        <v>25</v>
      </c>
      <c r="O666" t="s">
        <v>26</v>
      </c>
      <c r="P666" t="s">
        <v>25</v>
      </c>
      <c r="Q666" t="s">
        <v>27</v>
      </c>
      <c r="R666" t="s">
        <v>28</v>
      </c>
      <c r="S666" t="s">
        <v>48</v>
      </c>
      <c r="T666" t="s">
        <v>704</v>
      </c>
    </row>
    <row r="667" spans="1:20">
      <c r="A667">
        <v>669</v>
      </c>
      <c r="B667" t="s">
        <v>786</v>
      </c>
      <c r="C667" t="s">
        <v>21</v>
      </c>
      <c r="D667" t="s">
        <v>22</v>
      </c>
      <c r="E667" t="s">
        <v>23</v>
      </c>
      <c r="F667">
        <v>0</v>
      </c>
      <c r="G667">
        <v>19</v>
      </c>
      <c r="H667">
        <v>0</v>
      </c>
      <c r="I667" t="s">
        <v>24</v>
      </c>
      <c r="J667" t="s">
        <v>25</v>
      </c>
      <c r="K667">
        <v>0</v>
      </c>
      <c r="L667">
        <v>0</v>
      </c>
      <c r="M667" t="s">
        <v>25</v>
      </c>
      <c r="N667" t="s">
        <v>25</v>
      </c>
      <c r="O667" t="s">
        <v>26</v>
      </c>
      <c r="P667" t="s">
        <v>25</v>
      </c>
      <c r="Q667" t="s">
        <v>27</v>
      </c>
      <c r="R667" t="s">
        <v>28</v>
      </c>
      <c r="S667" t="s">
        <v>51</v>
      </c>
      <c r="T667" t="s">
        <v>680</v>
      </c>
    </row>
    <row r="668" spans="1:20">
      <c r="A668">
        <v>670</v>
      </c>
      <c r="B668" t="s">
        <v>787</v>
      </c>
      <c r="C668" t="s">
        <v>21</v>
      </c>
      <c r="D668" t="s">
        <v>22</v>
      </c>
      <c r="E668" t="s">
        <v>23</v>
      </c>
      <c r="F668">
        <v>140822</v>
      </c>
      <c r="G668">
        <v>19</v>
      </c>
      <c r="H668">
        <v>167578.18</v>
      </c>
      <c r="I668" t="s">
        <v>24</v>
      </c>
      <c r="J668" t="s">
        <v>25</v>
      </c>
      <c r="K668">
        <v>0</v>
      </c>
      <c r="L668">
        <v>0</v>
      </c>
      <c r="M668" t="s">
        <v>25</v>
      </c>
      <c r="N668" t="s">
        <v>25</v>
      </c>
      <c r="O668" t="s">
        <v>26</v>
      </c>
      <c r="P668" t="s">
        <v>25</v>
      </c>
      <c r="Q668" t="s">
        <v>27</v>
      </c>
      <c r="R668" t="s">
        <v>28</v>
      </c>
      <c r="S668" t="s">
        <v>51</v>
      </c>
      <c r="T668" t="s">
        <v>788</v>
      </c>
    </row>
    <row r="669" spans="1:20">
      <c r="A669">
        <v>671</v>
      </c>
      <c r="B669" t="s">
        <v>789</v>
      </c>
      <c r="C669" t="s">
        <v>21</v>
      </c>
      <c r="D669" t="s">
        <v>22</v>
      </c>
      <c r="E669" t="s">
        <v>23</v>
      </c>
      <c r="F669">
        <v>140822</v>
      </c>
      <c r="G669">
        <v>19</v>
      </c>
      <c r="H669">
        <v>167578.18</v>
      </c>
      <c r="I669" t="s">
        <v>24</v>
      </c>
      <c r="J669" t="s">
        <v>25</v>
      </c>
      <c r="K669">
        <v>0</v>
      </c>
      <c r="L669">
        <v>0</v>
      </c>
      <c r="M669" t="s">
        <v>25</v>
      </c>
      <c r="N669" t="s">
        <v>25</v>
      </c>
      <c r="O669" t="s">
        <v>26</v>
      </c>
      <c r="P669" t="s">
        <v>25</v>
      </c>
      <c r="Q669" t="s">
        <v>27</v>
      </c>
      <c r="R669" t="s">
        <v>28</v>
      </c>
      <c r="S669" t="s">
        <v>51</v>
      </c>
      <c r="T669" t="s">
        <v>788</v>
      </c>
    </row>
    <row r="670" spans="1:20">
      <c r="A670">
        <v>672</v>
      </c>
      <c r="B670" t="s">
        <v>790</v>
      </c>
      <c r="C670" t="s">
        <v>21</v>
      </c>
      <c r="D670" t="s">
        <v>22</v>
      </c>
      <c r="E670" t="s">
        <v>23</v>
      </c>
      <c r="F670">
        <v>140822</v>
      </c>
      <c r="G670">
        <v>19</v>
      </c>
      <c r="H670">
        <v>167578.18</v>
      </c>
      <c r="I670" t="s">
        <v>24</v>
      </c>
      <c r="J670" t="s">
        <v>25</v>
      </c>
      <c r="K670">
        <v>0</v>
      </c>
      <c r="L670">
        <v>0</v>
      </c>
      <c r="M670" t="s">
        <v>25</v>
      </c>
      <c r="N670" t="s">
        <v>25</v>
      </c>
      <c r="O670" t="s">
        <v>26</v>
      </c>
      <c r="P670" t="s">
        <v>25</v>
      </c>
      <c r="Q670" t="s">
        <v>27</v>
      </c>
      <c r="R670" t="s">
        <v>28</v>
      </c>
      <c r="S670" t="s">
        <v>51</v>
      </c>
      <c r="T670" t="s">
        <v>788</v>
      </c>
    </row>
    <row r="671" spans="1:20">
      <c r="A671">
        <v>673</v>
      </c>
      <c r="B671" t="s">
        <v>791</v>
      </c>
      <c r="C671" t="s">
        <v>21</v>
      </c>
      <c r="D671" t="s">
        <v>22</v>
      </c>
      <c r="E671" t="s">
        <v>23</v>
      </c>
      <c r="F671">
        <v>140822</v>
      </c>
      <c r="G671">
        <v>19</v>
      </c>
      <c r="H671">
        <v>167578.18</v>
      </c>
      <c r="I671" t="s">
        <v>24</v>
      </c>
      <c r="J671" t="s">
        <v>25</v>
      </c>
      <c r="K671">
        <v>0</v>
      </c>
      <c r="L671">
        <v>0</v>
      </c>
      <c r="M671" t="s">
        <v>25</v>
      </c>
      <c r="N671" t="s">
        <v>25</v>
      </c>
      <c r="O671" t="s">
        <v>26</v>
      </c>
      <c r="P671" t="s">
        <v>25</v>
      </c>
      <c r="Q671" t="s">
        <v>27</v>
      </c>
      <c r="R671" t="s">
        <v>28</v>
      </c>
      <c r="S671" t="s">
        <v>51</v>
      </c>
      <c r="T671" t="s">
        <v>792</v>
      </c>
    </row>
    <row r="672" spans="1:20">
      <c r="A672">
        <v>674</v>
      </c>
      <c r="B672" t="s">
        <v>793</v>
      </c>
      <c r="C672" t="s">
        <v>21</v>
      </c>
      <c r="D672" t="s">
        <v>22</v>
      </c>
      <c r="E672" t="s">
        <v>23</v>
      </c>
      <c r="F672">
        <v>140822</v>
      </c>
      <c r="G672">
        <v>19</v>
      </c>
      <c r="H672">
        <v>167578.18</v>
      </c>
      <c r="I672" t="s">
        <v>24</v>
      </c>
      <c r="J672" t="s">
        <v>25</v>
      </c>
      <c r="K672">
        <v>0</v>
      </c>
      <c r="L672">
        <v>0</v>
      </c>
      <c r="M672" t="s">
        <v>25</v>
      </c>
      <c r="N672" t="s">
        <v>25</v>
      </c>
      <c r="O672" t="s">
        <v>26</v>
      </c>
      <c r="P672" t="s">
        <v>25</v>
      </c>
      <c r="Q672" t="s">
        <v>27</v>
      </c>
      <c r="R672" t="s">
        <v>28</v>
      </c>
      <c r="S672" t="s">
        <v>51</v>
      </c>
      <c r="T672" t="s">
        <v>788</v>
      </c>
    </row>
    <row r="673" spans="1:20">
      <c r="A673">
        <v>675</v>
      </c>
      <c r="B673" t="s">
        <v>794</v>
      </c>
      <c r="C673" t="s">
        <v>21</v>
      </c>
      <c r="D673" t="s">
        <v>22</v>
      </c>
      <c r="E673" t="s">
        <v>23</v>
      </c>
      <c r="F673">
        <v>134460</v>
      </c>
      <c r="G673">
        <v>19</v>
      </c>
      <c r="H673">
        <v>160007.4</v>
      </c>
      <c r="I673" t="s">
        <v>24</v>
      </c>
      <c r="J673" t="s">
        <v>25</v>
      </c>
      <c r="K673">
        <v>0</v>
      </c>
      <c r="L673">
        <v>0</v>
      </c>
      <c r="M673" t="s">
        <v>25</v>
      </c>
      <c r="N673" t="s">
        <v>25</v>
      </c>
      <c r="O673" t="s">
        <v>26</v>
      </c>
      <c r="P673" t="s">
        <v>25</v>
      </c>
      <c r="Q673" t="s">
        <v>27</v>
      </c>
      <c r="R673" t="s">
        <v>28</v>
      </c>
      <c r="S673" t="s">
        <v>51</v>
      </c>
      <c r="T673" t="s">
        <v>676</v>
      </c>
    </row>
    <row r="674" spans="1:20">
      <c r="A674">
        <v>676</v>
      </c>
      <c r="B674" t="s">
        <v>795</v>
      </c>
      <c r="C674" t="s">
        <v>21</v>
      </c>
      <c r="D674" t="s">
        <v>22</v>
      </c>
      <c r="E674" t="s">
        <v>23</v>
      </c>
      <c r="F674">
        <v>134460</v>
      </c>
      <c r="G674">
        <v>19</v>
      </c>
      <c r="H674">
        <v>160007.4</v>
      </c>
      <c r="I674" t="s">
        <v>24</v>
      </c>
      <c r="J674" t="s">
        <v>25</v>
      </c>
      <c r="K674">
        <v>0</v>
      </c>
      <c r="L674">
        <v>0</v>
      </c>
      <c r="M674" t="s">
        <v>25</v>
      </c>
      <c r="N674" t="s">
        <v>25</v>
      </c>
      <c r="O674" t="s">
        <v>26</v>
      </c>
      <c r="P674" t="s">
        <v>25</v>
      </c>
      <c r="Q674" t="s">
        <v>27</v>
      </c>
      <c r="R674" t="s">
        <v>28</v>
      </c>
      <c r="S674" t="s">
        <v>51</v>
      </c>
      <c r="T674" t="s">
        <v>676</v>
      </c>
    </row>
    <row r="675" spans="1:20">
      <c r="A675">
        <v>677</v>
      </c>
      <c r="B675" t="s">
        <v>796</v>
      </c>
      <c r="C675" t="s">
        <v>21</v>
      </c>
      <c r="D675" t="s">
        <v>22</v>
      </c>
      <c r="E675" t="s">
        <v>23</v>
      </c>
      <c r="F675">
        <v>134460</v>
      </c>
      <c r="G675">
        <v>19</v>
      </c>
      <c r="H675">
        <v>160007.4</v>
      </c>
      <c r="I675" t="s">
        <v>24</v>
      </c>
      <c r="J675" t="s">
        <v>25</v>
      </c>
      <c r="K675">
        <v>0</v>
      </c>
      <c r="L675">
        <v>0</v>
      </c>
      <c r="M675" t="s">
        <v>25</v>
      </c>
      <c r="N675" t="s">
        <v>25</v>
      </c>
      <c r="O675" t="s">
        <v>26</v>
      </c>
      <c r="P675" t="s">
        <v>25</v>
      </c>
      <c r="Q675" t="s">
        <v>27</v>
      </c>
      <c r="R675" t="s">
        <v>28</v>
      </c>
      <c r="S675" t="s">
        <v>51</v>
      </c>
      <c r="T675" t="s">
        <v>676</v>
      </c>
    </row>
    <row r="676" spans="1:20">
      <c r="A676">
        <v>678</v>
      </c>
      <c r="B676" t="s">
        <v>797</v>
      </c>
      <c r="C676" t="s">
        <v>21</v>
      </c>
      <c r="D676" t="s">
        <v>22</v>
      </c>
      <c r="E676" t="s">
        <v>23</v>
      </c>
      <c r="F676">
        <v>134460</v>
      </c>
      <c r="G676">
        <v>19</v>
      </c>
      <c r="H676">
        <v>160007.4</v>
      </c>
      <c r="I676" t="s">
        <v>24</v>
      </c>
      <c r="J676" t="s">
        <v>25</v>
      </c>
      <c r="K676">
        <v>0</v>
      </c>
      <c r="L676">
        <v>0</v>
      </c>
      <c r="M676" t="s">
        <v>25</v>
      </c>
      <c r="N676" t="s">
        <v>25</v>
      </c>
      <c r="O676" t="s">
        <v>26</v>
      </c>
      <c r="P676" t="s">
        <v>25</v>
      </c>
      <c r="Q676" t="s">
        <v>27</v>
      </c>
      <c r="R676" t="s">
        <v>28</v>
      </c>
      <c r="S676" t="s">
        <v>51</v>
      </c>
      <c r="T676" t="s">
        <v>676</v>
      </c>
    </row>
    <row r="677" spans="1:20">
      <c r="A677">
        <v>679</v>
      </c>
      <c r="B677" t="s">
        <v>798</v>
      </c>
      <c r="C677" t="s">
        <v>21</v>
      </c>
      <c r="D677" t="s">
        <v>22</v>
      </c>
      <c r="E677" t="s">
        <v>23</v>
      </c>
      <c r="F677">
        <v>134460</v>
      </c>
      <c r="G677">
        <v>19</v>
      </c>
      <c r="H677">
        <v>160007.4</v>
      </c>
      <c r="I677" t="s">
        <v>24</v>
      </c>
      <c r="J677" t="s">
        <v>25</v>
      </c>
      <c r="K677">
        <v>0</v>
      </c>
      <c r="L677">
        <v>0</v>
      </c>
      <c r="M677" t="s">
        <v>25</v>
      </c>
      <c r="N677" t="s">
        <v>25</v>
      </c>
      <c r="O677" t="s">
        <v>26</v>
      </c>
      <c r="P677" t="s">
        <v>25</v>
      </c>
      <c r="Q677" t="s">
        <v>27</v>
      </c>
      <c r="R677" t="s">
        <v>28</v>
      </c>
      <c r="S677" t="s">
        <v>51</v>
      </c>
      <c r="T677" t="s">
        <v>376</v>
      </c>
    </row>
    <row r="678" spans="1:20">
      <c r="A678">
        <v>680</v>
      </c>
      <c r="B678" t="s">
        <v>799</v>
      </c>
      <c r="C678" t="s">
        <v>21</v>
      </c>
      <c r="D678" t="s">
        <v>22</v>
      </c>
      <c r="E678" t="s">
        <v>23</v>
      </c>
      <c r="F678">
        <v>134460</v>
      </c>
      <c r="G678">
        <v>19</v>
      </c>
      <c r="H678">
        <v>160007.4</v>
      </c>
      <c r="I678" t="s">
        <v>24</v>
      </c>
      <c r="J678" t="s">
        <v>25</v>
      </c>
      <c r="K678">
        <v>0</v>
      </c>
      <c r="L678">
        <v>0</v>
      </c>
      <c r="M678" t="s">
        <v>25</v>
      </c>
      <c r="N678" t="s">
        <v>25</v>
      </c>
      <c r="O678" t="s">
        <v>26</v>
      </c>
      <c r="P678" t="s">
        <v>25</v>
      </c>
      <c r="Q678" t="s">
        <v>27</v>
      </c>
      <c r="R678" t="s">
        <v>28</v>
      </c>
      <c r="S678" t="s">
        <v>51</v>
      </c>
      <c r="T678" t="s">
        <v>376</v>
      </c>
    </row>
    <row r="679" spans="1:20">
      <c r="A679">
        <v>681</v>
      </c>
      <c r="B679" t="s">
        <v>800</v>
      </c>
      <c r="C679" t="s">
        <v>21</v>
      </c>
      <c r="D679" t="s">
        <v>22</v>
      </c>
      <c r="E679" t="s">
        <v>23</v>
      </c>
      <c r="F679">
        <v>134460</v>
      </c>
      <c r="G679">
        <v>19</v>
      </c>
      <c r="H679">
        <v>160007.4</v>
      </c>
      <c r="I679" t="s">
        <v>24</v>
      </c>
      <c r="J679" t="s">
        <v>25</v>
      </c>
      <c r="K679">
        <v>0</v>
      </c>
      <c r="L679">
        <v>0</v>
      </c>
      <c r="M679" t="s">
        <v>25</v>
      </c>
      <c r="N679" t="s">
        <v>25</v>
      </c>
      <c r="O679" t="s">
        <v>26</v>
      </c>
      <c r="P679" t="s">
        <v>25</v>
      </c>
      <c r="Q679" t="s">
        <v>27</v>
      </c>
      <c r="R679" t="s">
        <v>28</v>
      </c>
      <c r="S679" t="s">
        <v>51</v>
      </c>
      <c r="T679" t="s">
        <v>376</v>
      </c>
    </row>
    <row r="680" spans="1:20">
      <c r="A680">
        <v>682</v>
      </c>
      <c r="B680" t="s">
        <v>801</v>
      </c>
      <c r="C680" t="s">
        <v>21</v>
      </c>
      <c r="D680" t="s">
        <v>22</v>
      </c>
      <c r="E680" t="s">
        <v>23</v>
      </c>
      <c r="F680">
        <v>0</v>
      </c>
      <c r="G680">
        <v>19</v>
      </c>
      <c r="H680">
        <v>0</v>
      </c>
      <c r="I680" t="s">
        <v>24</v>
      </c>
      <c r="J680" t="s">
        <v>25</v>
      </c>
      <c r="K680">
        <v>0</v>
      </c>
      <c r="L680">
        <v>0</v>
      </c>
      <c r="M680" t="s">
        <v>25</v>
      </c>
      <c r="N680" t="s">
        <v>25</v>
      </c>
      <c r="O680" t="s">
        <v>26</v>
      </c>
      <c r="P680" t="s">
        <v>25</v>
      </c>
      <c r="Q680" t="s">
        <v>27</v>
      </c>
      <c r="R680" t="s">
        <v>28</v>
      </c>
      <c r="S680" t="s">
        <v>51</v>
      </c>
      <c r="T680" t="s">
        <v>680</v>
      </c>
    </row>
    <row r="681" spans="1:20">
      <c r="A681">
        <v>683</v>
      </c>
      <c r="B681" t="s">
        <v>802</v>
      </c>
      <c r="C681" t="s">
        <v>21</v>
      </c>
      <c r="D681" t="s">
        <v>22</v>
      </c>
      <c r="E681" t="s">
        <v>23</v>
      </c>
      <c r="F681">
        <v>0</v>
      </c>
      <c r="G681">
        <v>19</v>
      </c>
      <c r="H681">
        <v>0</v>
      </c>
      <c r="I681" t="s">
        <v>24</v>
      </c>
      <c r="J681" t="s">
        <v>25</v>
      </c>
      <c r="K681">
        <v>0</v>
      </c>
      <c r="L681">
        <v>0</v>
      </c>
      <c r="M681" t="s">
        <v>25</v>
      </c>
      <c r="N681" t="s">
        <v>25</v>
      </c>
      <c r="O681" t="s">
        <v>26</v>
      </c>
      <c r="P681" t="s">
        <v>25</v>
      </c>
      <c r="Q681" t="s">
        <v>27</v>
      </c>
      <c r="R681" t="s">
        <v>28</v>
      </c>
      <c r="S681" t="s">
        <v>51</v>
      </c>
      <c r="T681" t="s">
        <v>680</v>
      </c>
    </row>
    <row r="682" spans="1:20">
      <c r="A682">
        <v>684</v>
      </c>
      <c r="B682" t="s">
        <v>803</v>
      </c>
      <c r="C682" t="s">
        <v>21</v>
      </c>
      <c r="D682" t="s">
        <v>22</v>
      </c>
      <c r="E682" t="s">
        <v>23</v>
      </c>
      <c r="F682">
        <v>139495</v>
      </c>
      <c r="G682">
        <v>19</v>
      </c>
      <c r="H682">
        <v>165999.04999999999</v>
      </c>
      <c r="I682" t="s">
        <v>24</v>
      </c>
      <c r="J682" t="s">
        <v>25</v>
      </c>
      <c r="K682">
        <v>0</v>
      </c>
      <c r="L682">
        <v>0</v>
      </c>
      <c r="M682" t="s">
        <v>25</v>
      </c>
      <c r="N682" t="s">
        <v>25</v>
      </c>
      <c r="O682" t="s">
        <v>26</v>
      </c>
      <c r="P682" t="s">
        <v>25</v>
      </c>
      <c r="Q682" t="s">
        <v>27</v>
      </c>
      <c r="R682" t="s">
        <v>28</v>
      </c>
      <c r="S682" t="s">
        <v>51</v>
      </c>
      <c r="T682" t="s">
        <v>804</v>
      </c>
    </row>
    <row r="683" spans="1:20">
      <c r="A683">
        <v>685</v>
      </c>
      <c r="B683" t="s">
        <v>805</v>
      </c>
      <c r="C683" t="s">
        <v>21</v>
      </c>
      <c r="D683" t="s">
        <v>22</v>
      </c>
      <c r="E683" t="s">
        <v>23</v>
      </c>
      <c r="F683">
        <v>0</v>
      </c>
      <c r="G683">
        <v>19</v>
      </c>
      <c r="H683">
        <v>0</v>
      </c>
      <c r="I683" t="s">
        <v>24</v>
      </c>
      <c r="J683" t="s">
        <v>25</v>
      </c>
      <c r="K683">
        <v>0</v>
      </c>
      <c r="L683">
        <v>0</v>
      </c>
      <c r="M683" t="s">
        <v>25</v>
      </c>
      <c r="N683" t="s">
        <v>25</v>
      </c>
      <c r="O683" t="s">
        <v>26</v>
      </c>
      <c r="P683" t="s">
        <v>25</v>
      </c>
      <c r="Q683" t="s">
        <v>27</v>
      </c>
      <c r="R683" t="s">
        <v>28</v>
      </c>
    </row>
    <row r="684" spans="1:20">
      <c r="A684">
        <v>686</v>
      </c>
      <c r="B684" t="s">
        <v>806</v>
      </c>
      <c r="C684" t="s">
        <v>36</v>
      </c>
      <c r="D684" t="s">
        <v>22</v>
      </c>
      <c r="E684" t="s">
        <v>37</v>
      </c>
      <c r="F684">
        <v>0</v>
      </c>
      <c r="G684">
        <v>19</v>
      </c>
      <c r="H684">
        <v>0</v>
      </c>
      <c r="I684" t="s">
        <v>24</v>
      </c>
      <c r="J684" t="s">
        <v>25</v>
      </c>
      <c r="K684">
        <v>0</v>
      </c>
      <c r="L684">
        <v>0</v>
      </c>
      <c r="M684" t="s">
        <v>25</v>
      </c>
      <c r="N684" t="s">
        <v>25</v>
      </c>
      <c r="O684" t="s">
        <v>26</v>
      </c>
      <c r="P684" t="s">
        <v>25</v>
      </c>
      <c r="Q684" t="s">
        <v>27</v>
      </c>
      <c r="R684" t="s">
        <v>28</v>
      </c>
    </row>
    <row r="685" spans="1:20">
      <c r="A685">
        <v>687</v>
      </c>
      <c r="B685" t="s">
        <v>807</v>
      </c>
      <c r="C685" t="s">
        <v>21</v>
      </c>
      <c r="D685" t="s">
        <v>22</v>
      </c>
      <c r="E685" t="s">
        <v>23</v>
      </c>
      <c r="F685">
        <v>300000</v>
      </c>
      <c r="G685">
        <v>19</v>
      </c>
      <c r="H685">
        <v>35700000</v>
      </c>
      <c r="I685" t="s">
        <v>24</v>
      </c>
      <c r="J685" t="s">
        <v>25</v>
      </c>
      <c r="K685">
        <v>0</v>
      </c>
      <c r="L685">
        <v>0</v>
      </c>
      <c r="M685" t="s">
        <v>25</v>
      </c>
      <c r="N685" t="s">
        <v>25</v>
      </c>
      <c r="O685" t="s">
        <v>26</v>
      </c>
      <c r="P685" t="s">
        <v>25</v>
      </c>
      <c r="Q685" t="s">
        <v>27</v>
      </c>
      <c r="R685" t="s">
        <v>28</v>
      </c>
    </row>
    <row r="686" spans="1:20">
      <c r="A686">
        <v>688</v>
      </c>
      <c r="B686" t="s">
        <v>808</v>
      </c>
      <c r="C686" t="s">
        <v>21</v>
      </c>
      <c r="D686" t="s">
        <v>22</v>
      </c>
      <c r="E686" t="s">
        <v>23</v>
      </c>
      <c r="F686">
        <v>0</v>
      </c>
      <c r="G686">
        <v>19</v>
      </c>
      <c r="H686">
        <v>0</v>
      </c>
      <c r="I686" t="s">
        <v>24</v>
      </c>
      <c r="J686" t="s">
        <v>25</v>
      </c>
      <c r="K686">
        <v>0</v>
      </c>
      <c r="L686">
        <v>0</v>
      </c>
      <c r="M686" t="s">
        <v>25</v>
      </c>
      <c r="N686" t="s">
        <v>25</v>
      </c>
      <c r="O686" t="s">
        <v>26</v>
      </c>
      <c r="P686" t="s">
        <v>25</v>
      </c>
      <c r="Q686" t="s">
        <v>27</v>
      </c>
      <c r="R686" t="s">
        <v>28</v>
      </c>
      <c r="S686" t="s">
        <v>51</v>
      </c>
      <c r="T686" t="s">
        <v>809</v>
      </c>
    </row>
    <row r="687" spans="1:20">
      <c r="A687">
        <v>689</v>
      </c>
      <c r="B687" t="s">
        <v>810</v>
      </c>
      <c r="C687" t="s">
        <v>21</v>
      </c>
      <c r="D687" t="s">
        <v>22</v>
      </c>
      <c r="E687" t="s">
        <v>23</v>
      </c>
      <c r="F687">
        <v>31207</v>
      </c>
      <c r="G687">
        <v>19</v>
      </c>
      <c r="H687">
        <v>37136.33</v>
      </c>
      <c r="I687" t="s">
        <v>24</v>
      </c>
      <c r="J687" t="s">
        <v>25</v>
      </c>
      <c r="K687">
        <v>0</v>
      </c>
      <c r="L687">
        <v>0</v>
      </c>
      <c r="M687" t="s">
        <v>25</v>
      </c>
      <c r="N687" t="s">
        <v>25</v>
      </c>
      <c r="O687" t="s">
        <v>26</v>
      </c>
      <c r="P687" t="s">
        <v>25</v>
      </c>
      <c r="Q687" t="s">
        <v>27</v>
      </c>
      <c r="R687" t="s">
        <v>28</v>
      </c>
      <c r="S687" t="s">
        <v>51</v>
      </c>
      <c r="T687" t="s">
        <v>809</v>
      </c>
    </row>
    <row r="688" spans="1:20">
      <c r="A688">
        <v>690</v>
      </c>
      <c r="B688" t="s">
        <v>811</v>
      </c>
      <c r="C688" t="s">
        <v>21</v>
      </c>
      <c r="D688" t="s">
        <v>22</v>
      </c>
      <c r="E688" t="s">
        <v>23</v>
      </c>
      <c r="F688">
        <v>80720</v>
      </c>
      <c r="G688">
        <v>19</v>
      </c>
      <c r="H688">
        <v>96056.8</v>
      </c>
      <c r="I688" t="s">
        <v>24</v>
      </c>
      <c r="J688" t="s">
        <v>25</v>
      </c>
      <c r="K688">
        <v>0</v>
      </c>
      <c r="L688">
        <v>0</v>
      </c>
      <c r="M688" t="s">
        <v>25</v>
      </c>
      <c r="N688" t="s">
        <v>25</v>
      </c>
      <c r="O688" t="s">
        <v>26</v>
      </c>
      <c r="P688" t="s">
        <v>25</v>
      </c>
      <c r="Q688" t="s">
        <v>27</v>
      </c>
      <c r="R688" t="s">
        <v>28</v>
      </c>
      <c r="S688" t="s">
        <v>51</v>
      </c>
      <c r="T688" t="s">
        <v>809</v>
      </c>
    </row>
    <row r="689" spans="1:20">
      <c r="A689">
        <v>691</v>
      </c>
      <c r="B689" t="s">
        <v>812</v>
      </c>
      <c r="C689" t="s">
        <v>21</v>
      </c>
      <c r="D689" t="s">
        <v>22</v>
      </c>
      <c r="E689" t="s">
        <v>23</v>
      </c>
      <c r="F689">
        <v>394589</v>
      </c>
      <c r="G689">
        <v>19</v>
      </c>
      <c r="H689">
        <v>469560.91</v>
      </c>
      <c r="I689" t="s">
        <v>24</v>
      </c>
      <c r="J689" t="s">
        <v>25</v>
      </c>
      <c r="K689">
        <v>0</v>
      </c>
      <c r="L689">
        <v>0</v>
      </c>
      <c r="M689" t="s">
        <v>25</v>
      </c>
      <c r="N689" t="s">
        <v>25</v>
      </c>
      <c r="O689" t="s">
        <v>26</v>
      </c>
      <c r="P689" t="s">
        <v>25</v>
      </c>
      <c r="Q689" t="s">
        <v>27</v>
      </c>
      <c r="R689" t="s">
        <v>28</v>
      </c>
      <c r="S689" t="s">
        <v>51</v>
      </c>
      <c r="T689" t="s">
        <v>809</v>
      </c>
    </row>
    <row r="690" spans="1:20">
      <c r="A690">
        <v>692</v>
      </c>
      <c r="B690" t="s">
        <v>813</v>
      </c>
      <c r="C690" t="s">
        <v>36</v>
      </c>
      <c r="D690" t="s">
        <v>814</v>
      </c>
      <c r="E690" t="s">
        <v>37</v>
      </c>
      <c r="F690">
        <v>0</v>
      </c>
      <c r="G690">
        <v>19</v>
      </c>
      <c r="H690">
        <v>0</v>
      </c>
      <c r="I690" t="s">
        <v>24</v>
      </c>
      <c r="J690" t="s">
        <v>25</v>
      </c>
      <c r="K690">
        <v>0</v>
      </c>
      <c r="L690">
        <v>0</v>
      </c>
      <c r="M690" t="s">
        <v>25</v>
      </c>
      <c r="N690" t="s">
        <v>25</v>
      </c>
      <c r="O690" t="s">
        <v>26</v>
      </c>
      <c r="P690" t="s">
        <v>25</v>
      </c>
      <c r="Q690" t="s">
        <v>27</v>
      </c>
      <c r="R690" t="s">
        <v>28</v>
      </c>
    </row>
    <row r="691" spans="1:20">
      <c r="A691">
        <v>693</v>
      </c>
      <c r="B691" t="s">
        <v>815</v>
      </c>
      <c r="C691" t="s">
        <v>21</v>
      </c>
      <c r="D691" t="s">
        <v>22</v>
      </c>
      <c r="E691" t="s">
        <v>23</v>
      </c>
      <c r="F691">
        <v>1050000</v>
      </c>
      <c r="G691">
        <v>19</v>
      </c>
      <c r="H691">
        <v>124950000</v>
      </c>
      <c r="I691" t="s">
        <v>24</v>
      </c>
      <c r="J691" t="s">
        <v>25</v>
      </c>
      <c r="K691">
        <v>0</v>
      </c>
      <c r="L691">
        <v>0</v>
      </c>
      <c r="M691" t="s">
        <v>25</v>
      </c>
      <c r="N691" t="s">
        <v>25</v>
      </c>
      <c r="O691" t="s">
        <v>26</v>
      </c>
      <c r="P691" t="s">
        <v>25</v>
      </c>
      <c r="Q691" t="s">
        <v>27</v>
      </c>
      <c r="R691" t="s">
        <v>28</v>
      </c>
    </row>
    <row r="692" spans="1:20">
      <c r="A692">
        <v>694</v>
      </c>
      <c r="B692" t="s">
        <v>816</v>
      </c>
      <c r="C692" t="s">
        <v>21</v>
      </c>
      <c r="D692" t="s">
        <v>22</v>
      </c>
      <c r="E692" t="s">
        <v>23</v>
      </c>
      <c r="F692">
        <v>3300</v>
      </c>
      <c r="G692">
        <v>19</v>
      </c>
      <c r="H692">
        <v>392700</v>
      </c>
      <c r="I692" t="s">
        <v>24</v>
      </c>
      <c r="J692" t="s">
        <v>25</v>
      </c>
      <c r="K692">
        <v>0</v>
      </c>
      <c r="L692">
        <v>0</v>
      </c>
      <c r="M692" t="s">
        <v>25</v>
      </c>
      <c r="N692" t="s">
        <v>25</v>
      </c>
      <c r="O692" t="s">
        <v>26</v>
      </c>
      <c r="P692" t="s">
        <v>25</v>
      </c>
      <c r="Q692" t="s">
        <v>27</v>
      </c>
      <c r="R692" t="s">
        <v>28</v>
      </c>
    </row>
    <row r="693" spans="1:20">
      <c r="A693">
        <v>695</v>
      </c>
      <c r="B693" t="s">
        <v>817</v>
      </c>
      <c r="C693" t="s">
        <v>21</v>
      </c>
      <c r="D693" t="s">
        <v>22</v>
      </c>
      <c r="E693" t="s">
        <v>23</v>
      </c>
      <c r="F693">
        <v>3300</v>
      </c>
      <c r="G693">
        <v>19</v>
      </c>
      <c r="H693">
        <v>392700</v>
      </c>
      <c r="I693" t="s">
        <v>24</v>
      </c>
      <c r="J693" t="s">
        <v>25</v>
      </c>
      <c r="K693">
        <v>0</v>
      </c>
      <c r="L693">
        <v>0</v>
      </c>
      <c r="M693" t="s">
        <v>25</v>
      </c>
      <c r="N693" t="s">
        <v>25</v>
      </c>
      <c r="O693" t="s">
        <v>26</v>
      </c>
      <c r="P693" t="s">
        <v>25</v>
      </c>
      <c r="Q693" t="s">
        <v>27</v>
      </c>
      <c r="R693" t="s">
        <v>28</v>
      </c>
    </row>
    <row r="694" spans="1:20">
      <c r="A694">
        <v>696</v>
      </c>
      <c r="B694" t="s">
        <v>818</v>
      </c>
      <c r="C694" t="s">
        <v>21</v>
      </c>
      <c r="D694" t="s">
        <v>22</v>
      </c>
      <c r="E694" t="s">
        <v>23</v>
      </c>
      <c r="F694">
        <v>1283</v>
      </c>
      <c r="G694">
        <v>19</v>
      </c>
      <c r="H694">
        <v>152677</v>
      </c>
      <c r="I694" t="s">
        <v>24</v>
      </c>
      <c r="J694" t="s">
        <v>25</v>
      </c>
      <c r="K694">
        <v>0</v>
      </c>
      <c r="L694">
        <v>0</v>
      </c>
      <c r="M694" t="s">
        <v>25</v>
      </c>
      <c r="N694" t="s">
        <v>25</v>
      </c>
      <c r="O694" t="s">
        <v>26</v>
      </c>
      <c r="P694" t="s">
        <v>25</v>
      </c>
      <c r="Q694" t="s">
        <v>27</v>
      </c>
      <c r="R694" t="s">
        <v>28</v>
      </c>
    </row>
    <row r="695" spans="1:20">
      <c r="A695">
        <v>697</v>
      </c>
      <c r="B695" t="s">
        <v>819</v>
      </c>
      <c r="C695" t="s">
        <v>21</v>
      </c>
      <c r="D695" t="s">
        <v>22</v>
      </c>
      <c r="E695" t="s">
        <v>23</v>
      </c>
      <c r="F695">
        <v>345000</v>
      </c>
      <c r="G695">
        <v>19</v>
      </c>
      <c r="H695">
        <v>410550</v>
      </c>
      <c r="I695" t="s">
        <v>24</v>
      </c>
      <c r="J695" t="s">
        <v>25</v>
      </c>
      <c r="K695">
        <v>0</v>
      </c>
      <c r="L695">
        <v>0</v>
      </c>
      <c r="M695" t="s">
        <v>25</v>
      </c>
      <c r="N695" t="s">
        <v>25</v>
      </c>
      <c r="O695" t="s">
        <v>26</v>
      </c>
      <c r="P695" t="s">
        <v>25</v>
      </c>
      <c r="Q695" t="s">
        <v>27</v>
      </c>
      <c r="R695" t="s">
        <v>28</v>
      </c>
      <c r="S695" t="s">
        <v>51</v>
      </c>
      <c r="T695" t="s">
        <v>820</v>
      </c>
    </row>
    <row r="696" spans="1:20">
      <c r="A696">
        <v>698</v>
      </c>
      <c r="B696" t="s">
        <v>821</v>
      </c>
      <c r="C696" t="s">
        <v>21</v>
      </c>
      <c r="D696" t="s">
        <v>22</v>
      </c>
      <c r="E696" t="s">
        <v>23</v>
      </c>
      <c r="F696">
        <v>0</v>
      </c>
      <c r="G696">
        <v>19</v>
      </c>
      <c r="H696">
        <v>0</v>
      </c>
      <c r="I696" t="s">
        <v>24</v>
      </c>
      <c r="J696" t="s">
        <v>25</v>
      </c>
      <c r="K696">
        <v>0</v>
      </c>
      <c r="L696">
        <v>0</v>
      </c>
      <c r="M696" t="s">
        <v>25</v>
      </c>
      <c r="N696" t="s">
        <v>25</v>
      </c>
      <c r="O696" t="s">
        <v>26</v>
      </c>
      <c r="P696" t="s">
        <v>25</v>
      </c>
      <c r="Q696" t="s">
        <v>27</v>
      </c>
      <c r="R696" t="s">
        <v>28</v>
      </c>
      <c r="S696" t="s">
        <v>51</v>
      </c>
      <c r="T696" t="s">
        <v>820</v>
      </c>
    </row>
    <row r="697" spans="1:20">
      <c r="A697">
        <v>699</v>
      </c>
      <c r="B697" t="s">
        <v>822</v>
      </c>
      <c r="C697" t="s">
        <v>21</v>
      </c>
      <c r="D697" t="s">
        <v>22</v>
      </c>
      <c r="E697" t="s">
        <v>23</v>
      </c>
      <c r="F697">
        <v>550000</v>
      </c>
      <c r="G697">
        <v>19</v>
      </c>
      <c r="H697">
        <v>654500</v>
      </c>
      <c r="I697" t="s">
        <v>24</v>
      </c>
      <c r="J697" t="s">
        <v>25</v>
      </c>
      <c r="K697">
        <v>0</v>
      </c>
      <c r="L697">
        <v>0</v>
      </c>
      <c r="M697" t="s">
        <v>25</v>
      </c>
      <c r="N697" t="s">
        <v>25</v>
      </c>
      <c r="O697" t="s">
        <v>26</v>
      </c>
      <c r="P697" t="s">
        <v>25</v>
      </c>
      <c r="Q697" t="s">
        <v>27</v>
      </c>
      <c r="R697" t="s">
        <v>28</v>
      </c>
      <c r="S697" t="s">
        <v>51</v>
      </c>
      <c r="T697" t="s">
        <v>676</v>
      </c>
    </row>
    <row r="698" spans="1:20">
      <c r="A698">
        <v>700</v>
      </c>
      <c r="B698" t="s">
        <v>823</v>
      </c>
      <c r="C698" t="s">
        <v>21</v>
      </c>
      <c r="D698" t="s">
        <v>22</v>
      </c>
      <c r="E698" t="s">
        <v>23</v>
      </c>
      <c r="F698">
        <v>671600</v>
      </c>
      <c r="G698">
        <v>19</v>
      </c>
      <c r="H698">
        <v>799204</v>
      </c>
      <c r="I698" t="s">
        <v>24</v>
      </c>
      <c r="J698" t="s">
        <v>25</v>
      </c>
      <c r="K698">
        <v>0</v>
      </c>
      <c r="L698">
        <v>0</v>
      </c>
      <c r="M698" t="s">
        <v>25</v>
      </c>
      <c r="N698" t="s">
        <v>25</v>
      </c>
      <c r="O698" t="s">
        <v>26</v>
      </c>
      <c r="P698" t="s">
        <v>25</v>
      </c>
      <c r="Q698" t="s">
        <v>27</v>
      </c>
      <c r="R698" t="s">
        <v>28</v>
      </c>
      <c r="S698" t="s">
        <v>51</v>
      </c>
      <c r="T698" t="s">
        <v>676</v>
      </c>
    </row>
    <row r="699" spans="1:20">
      <c r="A699">
        <v>701</v>
      </c>
      <c r="B699" t="s">
        <v>824</v>
      </c>
      <c r="C699" t="s">
        <v>21</v>
      </c>
      <c r="D699" t="s">
        <v>22</v>
      </c>
      <c r="E699" t="s">
        <v>23</v>
      </c>
      <c r="F699">
        <v>695000</v>
      </c>
      <c r="G699">
        <v>19</v>
      </c>
      <c r="H699">
        <v>827050</v>
      </c>
      <c r="I699" t="s">
        <v>24</v>
      </c>
      <c r="J699" t="s">
        <v>25</v>
      </c>
      <c r="K699">
        <v>0</v>
      </c>
      <c r="L699">
        <v>0</v>
      </c>
      <c r="M699" t="s">
        <v>25</v>
      </c>
      <c r="N699" t="s">
        <v>25</v>
      </c>
      <c r="O699" t="s">
        <v>26</v>
      </c>
      <c r="P699" t="s">
        <v>25</v>
      </c>
      <c r="Q699" t="s">
        <v>27</v>
      </c>
      <c r="R699" t="s">
        <v>28</v>
      </c>
      <c r="S699" t="s">
        <v>51</v>
      </c>
      <c r="T699" t="s">
        <v>676</v>
      </c>
    </row>
    <row r="700" spans="1:20">
      <c r="A700">
        <v>702</v>
      </c>
      <c r="B700" t="s">
        <v>825</v>
      </c>
      <c r="C700" t="s">
        <v>36</v>
      </c>
      <c r="D700" t="s">
        <v>22</v>
      </c>
      <c r="E700" t="s">
        <v>37</v>
      </c>
      <c r="F700">
        <v>0</v>
      </c>
      <c r="G700">
        <v>19</v>
      </c>
      <c r="H700">
        <v>0</v>
      </c>
      <c r="I700" t="s">
        <v>24</v>
      </c>
      <c r="J700" t="s">
        <v>25</v>
      </c>
      <c r="K700">
        <v>0</v>
      </c>
      <c r="L700">
        <v>0</v>
      </c>
      <c r="M700" t="s">
        <v>25</v>
      </c>
      <c r="N700" t="s">
        <v>25</v>
      </c>
      <c r="O700" t="s">
        <v>26</v>
      </c>
      <c r="P700" t="s">
        <v>25</v>
      </c>
      <c r="Q700" t="s">
        <v>27</v>
      </c>
      <c r="R700" t="s">
        <v>28</v>
      </c>
      <c r="S700" t="s">
        <v>51</v>
      </c>
      <c r="T700" t="s">
        <v>676</v>
      </c>
    </row>
    <row r="701" spans="1:20">
      <c r="A701">
        <v>703</v>
      </c>
      <c r="B701" t="s">
        <v>826</v>
      </c>
      <c r="C701" t="s">
        <v>21</v>
      </c>
      <c r="D701" t="s">
        <v>22</v>
      </c>
      <c r="E701" t="s">
        <v>827</v>
      </c>
      <c r="F701">
        <v>0</v>
      </c>
      <c r="G701">
        <v>19</v>
      </c>
      <c r="H701">
        <v>0</v>
      </c>
      <c r="I701" t="s">
        <v>24</v>
      </c>
      <c r="J701" t="s">
        <v>25</v>
      </c>
      <c r="K701">
        <v>0</v>
      </c>
      <c r="L701">
        <v>0</v>
      </c>
      <c r="M701" t="s">
        <v>25</v>
      </c>
      <c r="N701" t="s">
        <v>25</v>
      </c>
      <c r="O701" t="s">
        <v>26</v>
      </c>
      <c r="P701" t="s">
        <v>25</v>
      </c>
      <c r="Q701" t="s">
        <v>27</v>
      </c>
      <c r="R701" t="s">
        <v>28</v>
      </c>
      <c r="S701" t="s">
        <v>231</v>
      </c>
      <c r="T701" t="s">
        <v>828</v>
      </c>
    </row>
    <row r="702" spans="1:20">
      <c r="A702">
        <v>704</v>
      </c>
      <c r="B702" t="s">
        <v>829</v>
      </c>
      <c r="C702" t="s">
        <v>36</v>
      </c>
      <c r="D702" t="s">
        <v>22</v>
      </c>
      <c r="E702" t="s">
        <v>37</v>
      </c>
      <c r="F702">
        <v>371000</v>
      </c>
      <c r="G702">
        <v>19</v>
      </c>
      <c r="H702">
        <v>44149000</v>
      </c>
      <c r="I702" t="s">
        <v>24</v>
      </c>
      <c r="J702" t="s">
        <v>25</v>
      </c>
      <c r="K702">
        <v>0</v>
      </c>
      <c r="L702">
        <v>0</v>
      </c>
      <c r="M702" t="s">
        <v>25</v>
      </c>
      <c r="N702" t="s">
        <v>25</v>
      </c>
      <c r="O702" t="s">
        <v>26</v>
      </c>
      <c r="P702" t="s">
        <v>25</v>
      </c>
      <c r="Q702" t="s">
        <v>27</v>
      </c>
      <c r="R702" t="s">
        <v>28</v>
      </c>
    </row>
    <row r="703" spans="1:20">
      <c r="A703">
        <v>705</v>
      </c>
      <c r="B703" t="s">
        <v>830</v>
      </c>
      <c r="C703" t="s">
        <v>21</v>
      </c>
      <c r="D703" t="s">
        <v>22</v>
      </c>
      <c r="E703" t="s">
        <v>23</v>
      </c>
      <c r="F703">
        <v>2400000</v>
      </c>
      <c r="G703">
        <v>19</v>
      </c>
      <c r="H703">
        <v>285600000</v>
      </c>
      <c r="I703" t="s">
        <v>24</v>
      </c>
      <c r="J703" t="s">
        <v>25</v>
      </c>
      <c r="K703">
        <v>0</v>
      </c>
      <c r="L703">
        <v>0</v>
      </c>
      <c r="M703" t="s">
        <v>25</v>
      </c>
      <c r="N703" t="s">
        <v>25</v>
      </c>
      <c r="O703" t="s">
        <v>26</v>
      </c>
      <c r="P703" t="s">
        <v>25</v>
      </c>
      <c r="Q703" t="s">
        <v>27</v>
      </c>
      <c r="R703" t="s">
        <v>28</v>
      </c>
    </row>
    <row r="704" spans="1:20">
      <c r="A704">
        <v>706</v>
      </c>
      <c r="B704" t="s">
        <v>831</v>
      </c>
      <c r="C704" t="s">
        <v>21</v>
      </c>
      <c r="D704" t="s">
        <v>22</v>
      </c>
      <c r="E704" t="s">
        <v>23</v>
      </c>
      <c r="F704">
        <v>55650</v>
      </c>
      <c r="G704">
        <v>19</v>
      </c>
      <c r="H704">
        <v>6622350</v>
      </c>
      <c r="I704" t="s">
        <v>24</v>
      </c>
      <c r="J704" t="s">
        <v>25</v>
      </c>
      <c r="K704">
        <v>0</v>
      </c>
      <c r="L704">
        <v>0</v>
      </c>
      <c r="M704" t="s">
        <v>25</v>
      </c>
      <c r="N704" t="s">
        <v>25</v>
      </c>
      <c r="O704" t="s">
        <v>26</v>
      </c>
      <c r="P704" t="s">
        <v>25</v>
      </c>
      <c r="Q704" t="s">
        <v>27</v>
      </c>
      <c r="R704" t="s">
        <v>28</v>
      </c>
    </row>
    <row r="705" spans="1:20">
      <c r="A705">
        <v>707</v>
      </c>
      <c r="B705" t="s">
        <v>832</v>
      </c>
      <c r="C705" t="s">
        <v>36</v>
      </c>
      <c r="D705" t="s">
        <v>22</v>
      </c>
      <c r="E705" t="s">
        <v>37</v>
      </c>
      <c r="F705">
        <v>66500</v>
      </c>
      <c r="G705">
        <v>19</v>
      </c>
      <c r="H705">
        <v>7913500</v>
      </c>
      <c r="I705" t="s">
        <v>24</v>
      </c>
      <c r="J705" t="s">
        <v>25</v>
      </c>
      <c r="K705">
        <v>0</v>
      </c>
      <c r="L705">
        <v>0</v>
      </c>
      <c r="M705" t="s">
        <v>25</v>
      </c>
      <c r="N705" t="s">
        <v>25</v>
      </c>
      <c r="O705" t="s">
        <v>26</v>
      </c>
      <c r="P705" t="s">
        <v>25</v>
      </c>
      <c r="Q705" t="s">
        <v>27</v>
      </c>
      <c r="R705" t="s">
        <v>28</v>
      </c>
    </row>
    <row r="706" spans="1:20">
      <c r="A706">
        <v>708</v>
      </c>
      <c r="B706" t="s">
        <v>833</v>
      </c>
      <c r="C706" t="s">
        <v>216</v>
      </c>
      <c r="D706" t="s">
        <v>283</v>
      </c>
      <c r="E706" t="s">
        <v>834</v>
      </c>
      <c r="F706">
        <v>0</v>
      </c>
      <c r="G706">
        <v>19</v>
      </c>
      <c r="H706">
        <v>0</v>
      </c>
      <c r="I706" t="s">
        <v>24</v>
      </c>
      <c r="J706" t="s">
        <v>25</v>
      </c>
      <c r="K706">
        <v>0</v>
      </c>
      <c r="L706">
        <v>0</v>
      </c>
      <c r="M706" t="s">
        <v>25</v>
      </c>
      <c r="N706" t="s">
        <v>25</v>
      </c>
      <c r="O706" t="s">
        <v>26</v>
      </c>
      <c r="P706" t="s">
        <v>25</v>
      </c>
      <c r="Q706" t="s">
        <v>27</v>
      </c>
      <c r="R706" t="s">
        <v>28</v>
      </c>
    </row>
    <row r="707" spans="1:20">
      <c r="A707">
        <v>709</v>
      </c>
      <c r="B707" t="s">
        <v>835</v>
      </c>
      <c r="C707" t="s">
        <v>21</v>
      </c>
      <c r="D707" t="s">
        <v>22</v>
      </c>
      <c r="E707" t="s">
        <v>23</v>
      </c>
      <c r="F707">
        <v>3250</v>
      </c>
      <c r="G707">
        <v>19</v>
      </c>
      <c r="H707">
        <v>3867.5</v>
      </c>
      <c r="I707" t="s">
        <v>24</v>
      </c>
      <c r="J707" t="s">
        <v>25</v>
      </c>
      <c r="K707">
        <v>0</v>
      </c>
      <c r="L707">
        <v>0</v>
      </c>
      <c r="M707" t="s">
        <v>25</v>
      </c>
      <c r="N707" t="s">
        <v>25</v>
      </c>
      <c r="O707" t="s">
        <v>26</v>
      </c>
      <c r="P707" t="s">
        <v>25</v>
      </c>
      <c r="Q707" t="s">
        <v>27</v>
      </c>
      <c r="R707" t="s">
        <v>28</v>
      </c>
      <c r="S707" t="s">
        <v>48</v>
      </c>
      <c r="T707" t="s">
        <v>836</v>
      </c>
    </row>
    <row r="708" spans="1:20">
      <c r="A708">
        <v>710</v>
      </c>
      <c r="B708" t="s">
        <v>837</v>
      </c>
      <c r="C708" t="s">
        <v>21</v>
      </c>
      <c r="D708" t="s">
        <v>22</v>
      </c>
      <c r="E708" t="s">
        <v>23</v>
      </c>
      <c r="F708">
        <v>5700</v>
      </c>
      <c r="G708">
        <v>19</v>
      </c>
      <c r="H708">
        <v>6783</v>
      </c>
      <c r="I708" t="s">
        <v>24</v>
      </c>
      <c r="J708" t="s">
        <v>25</v>
      </c>
      <c r="K708">
        <v>0</v>
      </c>
      <c r="L708">
        <v>0</v>
      </c>
      <c r="M708" t="s">
        <v>25</v>
      </c>
      <c r="N708" t="s">
        <v>25</v>
      </c>
      <c r="O708" t="s">
        <v>26</v>
      </c>
      <c r="P708" t="s">
        <v>25</v>
      </c>
      <c r="Q708" t="s">
        <v>27</v>
      </c>
      <c r="R708" t="s">
        <v>28</v>
      </c>
      <c r="S708" t="s">
        <v>48</v>
      </c>
      <c r="T708" t="s">
        <v>643</v>
      </c>
    </row>
    <row r="709" spans="1:20">
      <c r="A709">
        <v>711</v>
      </c>
      <c r="B709" t="s">
        <v>838</v>
      </c>
      <c r="C709" t="s">
        <v>21</v>
      </c>
      <c r="D709" t="s">
        <v>22</v>
      </c>
      <c r="E709" t="s">
        <v>23</v>
      </c>
      <c r="F709">
        <v>458400</v>
      </c>
      <c r="G709">
        <v>19</v>
      </c>
      <c r="H709">
        <v>545496</v>
      </c>
      <c r="I709" t="s">
        <v>24</v>
      </c>
      <c r="J709" t="s">
        <v>25</v>
      </c>
      <c r="K709">
        <v>0</v>
      </c>
      <c r="L709">
        <v>0</v>
      </c>
      <c r="M709" t="s">
        <v>25</v>
      </c>
      <c r="N709" t="s">
        <v>25</v>
      </c>
      <c r="O709" t="s">
        <v>26</v>
      </c>
      <c r="P709" t="s">
        <v>25</v>
      </c>
      <c r="Q709" t="s">
        <v>27</v>
      </c>
      <c r="R709" t="s">
        <v>28</v>
      </c>
      <c r="S709" t="s">
        <v>51</v>
      </c>
      <c r="T709" t="s">
        <v>52</v>
      </c>
    </row>
    <row r="710" spans="1:20">
      <c r="A710">
        <v>712</v>
      </c>
      <c r="B710" t="s">
        <v>839</v>
      </c>
      <c r="C710" t="s">
        <v>21</v>
      </c>
      <c r="D710" t="s">
        <v>22</v>
      </c>
      <c r="E710" t="s">
        <v>23</v>
      </c>
      <c r="F710">
        <v>6900</v>
      </c>
      <c r="G710">
        <v>19</v>
      </c>
      <c r="H710">
        <v>8211</v>
      </c>
      <c r="I710" t="s">
        <v>24</v>
      </c>
      <c r="J710" t="s">
        <v>25</v>
      </c>
      <c r="K710">
        <v>0</v>
      </c>
      <c r="L710">
        <v>0</v>
      </c>
      <c r="M710" t="s">
        <v>25</v>
      </c>
      <c r="N710" t="s">
        <v>25</v>
      </c>
      <c r="O710" t="s">
        <v>26</v>
      </c>
      <c r="P710" t="s">
        <v>25</v>
      </c>
      <c r="Q710" t="s">
        <v>27</v>
      </c>
      <c r="R710" t="s">
        <v>28</v>
      </c>
      <c r="S710" t="s">
        <v>51</v>
      </c>
      <c r="T710" t="s">
        <v>840</v>
      </c>
    </row>
    <row r="711" spans="1:20">
      <c r="A711">
        <v>713</v>
      </c>
      <c r="B711" t="s">
        <v>841</v>
      </c>
      <c r="C711" t="s">
        <v>21</v>
      </c>
      <c r="D711" t="s">
        <v>22</v>
      </c>
      <c r="E711" t="s">
        <v>23</v>
      </c>
      <c r="F711">
        <v>39900</v>
      </c>
      <c r="G711">
        <v>19</v>
      </c>
      <c r="H711">
        <v>47481</v>
      </c>
      <c r="I711" t="s">
        <v>24</v>
      </c>
      <c r="J711" t="s">
        <v>25</v>
      </c>
      <c r="K711">
        <v>0</v>
      </c>
      <c r="L711">
        <v>0</v>
      </c>
      <c r="M711" t="s">
        <v>25</v>
      </c>
      <c r="N711" t="s">
        <v>25</v>
      </c>
      <c r="O711" t="s">
        <v>26</v>
      </c>
      <c r="P711" t="s">
        <v>25</v>
      </c>
      <c r="Q711" t="s">
        <v>27</v>
      </c>
      <c r="R711" t="s">
        <v>28</v>
      </c>
      <c r="S711" t="s">
        <v>51</v>
      </c>
      <c r="T711" t="s">
        <v>840</v>
      </c>
    </row>
    <row r="712" spans="1:20">
      <c r="A712">
        <v>714</v>
      </c>
      <c r="B712" t="s">
        <v>842</v>
      </c>
      <c r="C712" t="s">
        <v>21</v>
      </c>
      <c r="D712" t="s">
        <v>22</v>
      </c>
      <c r="E712" t="s">
        <v>23</v>
      </c>
      <c r="F712">
        <v>39900</v>
      </c>
      <c r="G712">
        <v>19</v>
      </c>
      <c r="H712">
        <v>4748100</v>
      </c>
      <c r="I712" t="s">
        <v>24</v>
      </c>
      <c r="J712" t="s">
        <v>25</v>
      </c>
      <c r="K712">
        <v>0</v>
      </c>
      <c r="L712">
        <v>0</v>
      </c>
      <c r="M712" t="s">
        <v>25</v>
      </c>
      <c r="N712" t="s">
        <v>25</v>
      </c>
      <c r="O712" t="s">
        <v>26</v>
      </c>
      <c r="P712" t="s">
        <v>25</v>
      </c>
      <c r="Q712" t="s">
        <v>27</v>
      </c>
      <c r="R712" t="s">
        <v>28</v>
      </c>
      <c r="S712" t="s">
        <v>51</v>
      </c>
      <c r="T712" t="s">
        <v>52</v>
      </c>
    </row>
    <row r="713" spans="1:20">
      <c r="A713">
        <v>715</v>
      </c>
      <c r="B713" t="s">
        <v>843</v>
      </c>
      <c r="C713" t="s">
        <v>21</v>
      </c>
      <c r="D713" t="s">
        <v>22</v>
      </c>
      <c r="E713" t="s">
        <v>23</v>
      </c>
      <c r="F713">
        <v>945000</v>
      </c>
      <c r="G713">
        <v>19</v>
      </c>
      <c r="H713">
        <v>1124550</v>
      </c>
      <c r="I713" t="s">
        <v>24</v>
      </c>
      <c r="J713" t="s">
        <v>25</v>
      </c>
      <c r="K713">
        <v>0</v>
      </c>
      <c r="L713">
        <v>0</v>
      </c>
      <c r="M713" t="s">
        <v>25</v>
      </c>
      <c r="N713" t="s">
        <v>25</v>
      </c>
      <c r="O713" t="s">
        <v>26</v>
      </c>
      <c r="P713" t="s">
        <v>25</v>
      </c>
      <c r="Q713" t="s">
        <v>27</v>
      </c>
      <c r="R713" t="s">
        <v>28</v>
      </c>
      <c r="S713" t="s">
        <v>48</v>
      </c>
      <c r="T713" t="s">
        <v>844</v>
      </c>
    </row>
    <row r="714" spans="1:20">
      <c r="A714">
        <v>716</v>
      </c>
      <c r="B714" t="s">
        <v>845</v>
      </c>
      <c r="C714" t="s">
        <v>21</v>
      </c>
      <c r="D714" t="s">
        <v>22</v>
      </c>
      <c r="E714" t="s">
        <v>23</v>
      </c>
      <c r="F714">
        <v>849000</v>
      </c>
      <c r="G714">
        <v>19</v>
      </c>
      <c r="H714">
        <v>1010310</v>
      </c>
      <c r="I714" t="s">
        <v>24</v>
      </c>
      <c r="J714" t="s">
        <v>25</v>
      </c>
      <c r="K714">
        <v>0</v>
      </c>
      <c r="L714">
        <v>0</v>
      </c>
      <c r="M714" t="s">
        <v>25</v>
      </c>
      <c r="N714" t="s">
        <v>25</v>
      </c>
      <c r="O714" t="s">
        <v>26</v>
      </c>
      <c r="P714" t="s">
        <v>25</v>
      </c>
      <c r="Q714" t="s">
        <v>27</v>
      </c>
      <c r="R714" t="s">
        <v>28</v>
      </c>
      <c r="S714" t="s">
        <v>48</v>
      </c>
      <c r="T714" t="s">
        <v>844</v>
      </c>
    </row>
    <row r="715" spans="1:20">
      <c r="A715">
        <v>717</v>
      </c>
      <c r="B715" t="s">
        <v>846</v>
      </c>
      <c r="C715" t="s">
        <v>21</v>
      </c>
      <c r="D715" t="s">
        <v>22</v>
      </c>
      <c r="E715" t="s">
        <v>23</v>
      </c>
      <c r="F715">
        <v>147200</v>
      </c>
      <c r="G715">
        <v>19</v>
      </c>
      <c r="H715">
        <v>175168</v>
      </c>
      <c r="I715" t="s">
        <v>24</v>
      </c>
      <c r="J715" t="s">
        <v>25</v>
      </c>
      <c r="K715">
        <v>0</v>
      </c>
      <c r="L715">
        <v>0</v>
      </c>
      <c r="M715" t="s">
        <v>25</v>
      </c>
      <c r="N715" t="s">
        <v>25</v>
      </c>
      <c r="O715" t="s">
        <v>26</v>
      </c>
      <c r="P715" t="s">
        <v>25</v>
      </c>
      <c r="Q715" t="s">
        <v>27</v>
      </c>
      <c r="R715" t="s">
        <v>28</v>
      </c>
      <c r="S715" t="s">
        <v>51</v>
      </c>
      <c r="T715" t="s">
        <v>52</v>
      </c>
    </row>
    <row r="716" spans="1:20">
      <c r="A716">
        <v>718</v>
      </c>
      <c r="B716" t="s">
        <v>847</v>
      </c>
      <c r="C716" t="s">
        <v>36</v>
      </c>
      <c r="D716" t="s">
        <v>848</v>
      </c>
      <c r="E716" t="s">
        <v>37</v>
      </c>
      <c r="F716">
        <v>147200</v>
      </c>
      <c r="G716">
        <v>19</v>
      </c>
      <c r="H716">
        <v>17516800</v>
      </c>
      <c r="I716" t="s">
        <v>24</v>
      </c>
      <c r="J716" t="s">
        <v>25</v>
      </c>
      <c r="K716">
        <v>0</v>
      </c>
      <c r="L716">
        <v>0</v>
      </c>
      <c r="M716" t="s">
        <v>25</v>
      </c>
      <c r="N716" t="s">
        <v>25</v>
      </c>
      <c r="O716" t="s">
        <v>26</v>
      </c>
      <c r="P716" t="s">
        <v>25</v>
      </c>
      <c r="Q716" t="s">
        <v>27</v>
      </c>
      <c r="R716" t="s">
        <v>28</v>
      </c>
    </row>
    <row r="717" spans="1:20">
      <c r="A717">
        <v>719</v>
      </c>
      <c r="B717" t="s">
        <v>849</v>
      </c>
      <c r="C717" t="s">
        <v>36</v>
      </c>
      <c r="D717" t="s">
        <v>32</v>
      </c>
      <c r="E717" t="s">
        <v>37</v>
      </c>
      <c r="F717">
        <v>123846</v>
      </c>
      <c r="G717">
        <v>19</v>
      </c>
      <c r="H717">
        <v>14737674</v>
      </c>
      <c r="I717" t="s">
        <v>24</v>
      </c>
      <c r="J717" t="s">
        <v>25</v>
      </c>
      <c r="K717">
        <v>0</v>
      </c>
      <c r="L717">
        <v>0</v>
      </c>
      <c r="M717" t="s">
        <v>25</v>
      </c>
      <c r="N717" t="s">
        <v>25</v>
      </c>
      <c r="O717" t="s">
        <v>26</v>
      </c>
      <c r="P717" t="s">
        <v>25</v>
      </c>
      <c r="Q717" t="s">
        <v>27</v>
      </c>
      <c r="R717" t="s">
        <v>28</v>
      </c>
    </row>
    <row r="718" spans="1:20">
      <c r="A718">
        <v>720</v>
      </c>
      <c r="B718" t="s">
        <v>850</v>
      </c>
      <c r="C718" t="s">
        <v>36</v>
      </c>
      <c r="D718" t="s">
        <v>851</v>
      </c>
      <c r="E718" t="s">
        <v>37</v>
      </c>
      <c r="F718">
        <v>183013</v>
      </c>
      <c r="G718">
        <v>19</v>
      </c>
      <c r="H718">
        <v>21778547</v>
      </c>
      <c r="I718" t="s">
        <v>24</v>
      </c>
      <c r="J718" t="s">
        <v>25</v>
      </c>
      <c r="K718">
        <v>0</v>
      </c>
      <c r="L718">
        <v>0</v>
      </c>
      <c r="M718" t="s">
        <v>25</v>
      </c>
      <c r="N718" t="s">
        <v>25</v>
      </c>
      <c r="O718" t="s">
        <v>26</v>
      </c>
      <c r="P718" t="s">
        <v>25</v>
      </c>
      <c r="Q718" t="s">
        <v>27</v>
      </c>
      <c r="R718" t="s">
        <v>28</v>
      </c>
    </row>
    <row r="719" spans="1:20">
      <c r="A719">
        <v>721</v>
      </c>
      <c r="B719" t="s">
        <v>852</v>
      </c>
      <c r="C719" t="s">
        <v>36</v>
      </c>
      <c r="D719" t="s">
        <v>32</v>
      </c>
      <c r="E719" t="s">
        <v>37</v>
      </c>
      <c r="F719">
        <v>52875</v>
      </c>
      <c r="G719">
        <v>19</v>
      </c>
      <c r="H719">
        <v>6292125</v>
      </c>
      <c r="I719" t="s">
        <v>24</v>
      </c>
      <c r="J719" t="s">
        <v>25</v>
      </c>
      <c r="K719">
        <v>0</v>
      </c>
      <c r="L719">
        <v>0</v>
      </c>
      <c r="M719" t="s">
        <v>25</v>
      </c>
      <c r="N719" t="s">
        <v>25</v>
      </c>
      <c r="O719" t="s">
        <v>26</v>
      </c>
      <c r="P719" t="s">
        <v>25</v>
      </c>
      <c r="Q719" t="s">
        <v>27</v>
      </c>
      <c r="R719" t="s">
        <v>28</v>
      </c>
    </row>
    <row r="720" spans="1:20">
      <c r="A720">
        <v>722</v>
      </c>
      <c r="B720" t="s">
        <v>853</v>
      </c>
      <c r="C720" t="s">
        <v>36</v>
      </c>
      <c r="D720" t="s">
        <v>32</v>
      </c>
      <c r="E720" t="s">
        <v>37</v>
      </c>
      <c r="F720">
        <v>41080</v>
      </c>
      <c r="G720">
        <v>19</v>
      </c>
      <c r="H720">
        <v>4888520</v>
      </c>
      <c r="I720" t="s">
        <v>24</v>
      </c>
      <c r="J720" t="s">
        <v>25</v>
      </c>
      <c r="K720">
        <v>0</v>
      </c>
      <c r="L720">
        <v>0</v>
      </c>
      <c r="M720" t="s">
        <v>25</v>
      </c>
      <c r="N720" t="s">
        <v>25</v>
      </c>
      <c r="O720" t="s">
        <v>26</v>
      </c>
      <c r="P720" t="s">
        <v>25</v>
      </c>
      <c r="Q720" t="s">
        <v>27</v>
      </c>
      <c r="R720" t="s">
        <v>28</v>
      </c>
    </row>
    <row r="721" spans="1:20">
      <c r="A721">
        <v>723</v>
      </c>
      <c r="B721" t="s">
        <v>854</v>
      </c>
      <c r="C721" t="s">
        <v>21</v>
      </c>
      <c r="D721" t="s">
        <v>32</v>
      </c>
      <c r="E721" t="s">
        <v>23</v>
      </c>
      <c r="F721">
        <v>8247</v>
      </c>
      <c r="G721">
        <v>19</v>
      </c>
      <c r="H721">
        <v>981393</v>
      </c>
      <c r="I721" t="s">
        <v>24</v>
      </c>
      <c r="J721" t="s">
        <v>25</v>
      </c>
      <c r="K721">
        <v>0</v>
      </c>
      <c r="L721">
        <v>0</v>
      </c>
      <c r="M721" t="s">
        <v>25</v>
      </c>
      <c r="N721" t="s">
        <v>25</v>
      </c>
      <c r="O721" t="s">
        <v>26</v>
      </c>
      <c r="P721" t="s">
        <v>25</v>
      </c>
      <c r="Q721" t="s">
        <v>27</v>
      </c>
      <c r="R721" t="s">
        <v>28</v>
      </c>
    </row>
    <row r="722" spans="1:20">
      <c r="A722">
        <v>724</v>
      </c>
      <c r="B722" t="s">
        <v>855</v>
      </c>
      <c r="C722" t="s">
        <v>216</v>
      </c>
      <c r="D722" t="s">
        <v>634</v>
      </c>
      <c r="E722" t="s">
        <v>834</v>
      </c>
      <c r="F722">
        <v>692400</v>
      </c>
      <c r="G722">
        <v>19</v>
      </c>
      <c r="H722">
        <v>82395600</v>
      </c>
      <c r="I722" t="s">
        <v>24</v>
      </c>
      <c r="J722" t="s">
        <v>25</v>
      </c>
      <c r="K722">
        <v>0</v>
      </c>
      <c r="L722">
        <v>0</v>
      </c>
      <c r="M722" t="s">
        <v>25</v>
      </c>
      <c r="N722" t="s">
        <v>25</v>
      </c>
      <c r="O722" t="s">
        <v>26</v>
      </c>
      <c r="P722" t="s">
        <v>25</v>
      </c>
      <c r="Q722" t="s">
        <v>27</v>
      </c>
      <c r="R722" t="s">
        <v>28</v>
      </c>
    </row>
    <row r="723" spans="1:20">
      <c r="A723">
        <v>725</v>
      </c>
      <c r="B723" t="s">
        <v>856</v>
      </c>
      <c r="C723" t="s">
        <v>216</v>
      </c>
      <c r="D723" t="s">
        <v>217</v>
      </c>
      <c r="E723" t="s">
        <v>834</v>
      </c>
      <c r="F723">
        <v>4800000</v>
      </c>
      <c r="G723">
        <v>19</v>
      </c>
      <c r="H723">
        <v>571200000</v>
      </c>
      <c r="I723" t="s">
        <v>24</v>
      </c>
      <c r="J723" t="s">
        <v>25</v>
      </c>
      <c r="K723">
        <v>0</v>
      </c>
      <c r="L723">
        <v>0</v>
      </c>
      <c r="M723" t="s">
        <v>25</v>
      </c>
      <c r="N723" t="s">
        <v>25</v>
      </c>
      <c r="O723" t="s">
        <v>26</v>
      </c>
      <c r="P723" t="s">
        <v>25</v>
      </c>
      <c r="Q723" t="s">
        <v>27</v>
      </c>
      <c r="R723" t="s">
        <v>28</v>
      </c>
    </row>
    <row r="724" spans="1:20">
      <c r="A724">
        <v>726</v>
      </c>
      <c r="B724" t="s">
        <v>857</v>
      </c>
      <c r="C724" t="s">
        <v>21</v>
      </c>
      <c r="D724" t="s">
        <v>22</v>
      </c>
      <c r="E724" t="s">
        <v>23</v>
      </c>
      <c r="F724">
        <v>130000</v>
      </c>
      <c r="G724">
        <v>19</v>
      </c>
      <c r="H724">
        <v>154700</v>
      </c>
      <c r="I724" t="s">
        <v>24</v>
      </c>
      <c r="J724" t="s">
        <v>25</v>
      </c>
      <c r="K724">
        <v>0</v>
      </c>
      <c r="L724">
        <v>0</v>
      </c>
      <c r="M724" t="s">
        <v>25</v>
      </c>
      <c r="N724" t="s">
        <v>25</v>
      </c>
      <c r="O724" t="s">
        <v>26</v>
      </c>
      <c r="P724" t="s">
        <v>25</v>
      </c>
      <c r="Q724" t="s">
        <v>27</v>
      </c>
      <c r="R724" t="s">
        <v>28</v>
      </c>
      <c r="S724" t="s">
        <v>48</v>
      </c>
      <c r="T724" t="s">
        <v>643</v>
      </c>
    </row>
    <row r="725" spans="1:20">
      <c r="A725">
        <v>727</v>
      </c>
      <c r="B725" t="s">
        <v>858</v>
      </c>
      <c r="C725" t="s">
        <v>21</v>
      </c>
      <c r="D725" t="s">
        <v>22</v>
      </c>
      <c r="E725" t="s">
        <v>23</v>
      </c>
      <c r="F725">
        <v>130000</v>
      </c>
      <c r="G725">
        <v>19</v>
      </c>
      <c r="H725">
        <v>154700</v>
      </c>
      <c r="I725" t="s">
        <v>24</v>
      </c>
      <c r="J725" t="s">
        <v>25</v>
      </c>
      <c r="K725">
        <v>0</v>
      </c>
      <c r="L725">
        <v>0</v>
      </c>
      <c r="M725" t="s">
        <v>25</v>
      </c>
      <c r="N725" t="s">
        <v>25</v>
      </c>
      <c r="O725" t="s">
        <v>26</v>
      </c>
      <c r="P725" t="s">
        <v>25</v>
      </c>
      <c r="Q725" t="s">
        <v>27</v>
      </c>
      <c r="R725" t="s">
        <v>28</v>
      </c>
      <c r="S725" t="s">
        <v>51</v>
      </c>
      <c r="T725" t="s">
        <v>376</v>
      </c>
    </row>
    <row r="726" spans="1:20">
      <c r="A726">
        <v>728</v>
      </c>
      <c r="B726" t="s">
        <v>859</v>
      </c>
      <c r="C726" t="s">
        <v>36</v>
      </c>
      <c r="D726" t="s">
        <v>22</v>
      </c>
      <c r="E726" t="s">
        <v>37</v>
      </c>
      <c r="F726">
        <v>130000</v>
      </c>
      <c r="G726">
        <v>19</v>
      </c>
      <c r="H726">
        <v>15470000</v>
      </c>
      <c r="I726" t="s">
        <v>24</v>
      </c>
      <c r="J726" t="s">
        <v>25</v>
      </c>
      <c r="K726">
        <v>0</v>
      </c>
      <c r="L726">
        <v>0</v>
      </c>
      <c r="M726" t="s">
        <v>25</v>
      </c>
      <c r="N726" t="s">
        <v>25</v>
      </c>
      <c r="O726" t="s">
        <v>26</v>
      </c>
      <c r="P726" t="s">
        <v>25</v>
      </c>
      <c r="Q726" t="s">
        <v>27</v>
      </c>
      <c r="R726" t="s">
        <v>28</v>
      </c>
    </row>
    <row r="727" spans="1:20">
      <c r="A727">
        <v>729</v>
      </c>
      <c r="B727" t="s">
        <v>860</v>
      </c>
      <c r="C727" t="s">
        <v>36</v>
      </c>
      <c r="D727" t="s">
        <v>814</v>
      </c>
      <c r="E727" t="s">
        <v>321</v>
      </c>
      <c r="F727">
        <v>1500000</v>
      </c>
      <c r="G727">
        <v>19</v>
      </c>
      <c r="H727">
        <v>178500000</v>
      </c>
      <c r="I727" t="s">
        <v>24</v>
      </c>
      <c r="J727" t="s">
        <v>25</v>
      </c>
      <c r="K727">
        <v>0</v>
      </c>
      <c r="L727">
        <v>0</v>
      </c>
      <c r="M727" t="s">
        <v>25</v>
      </c>
      <c r="N727" t="s">
        <v>25</v>
      </c>
      <c r="O727" t="s">
        <v>26</v>
      </c>
      <c r="P727" t="s">
        <v>25</v>
      </c>
      <c r="Q727" t="s">
        <v>27</v>
      </c>
      <c r="R727" t="s">
        <v>28</v>
      </c>
    </row>
    <row r="728" spans="1:20">
      <c r="A728">
        <v>730</v>
      </c>
      <c r="B728" t="s">
        <v>861</v>
      </c>
      <c r="C728" t="s">
        <v>36</v>
      </c>
      <c r="D728" t="s">
        <v>217</v>
      </c>
      <c r="E728" t="s">
        <v>321</v>
      </c>
      <c r="F728">
        <v>13325000</v>
      </c>
      <c r="G728">
        <v>0</v>
      </c>
      <c r="H728">
        <v>13325000</v>
      </c>
      <c r="I728" t="s">
        <v>24</v>
      </c>
      <c r="J728" t="s">
        <v>25</v>
      </c>
      <c r="K728">
        <v>0</v>
      </c>
      <c r="L728">
        <v>0</v>
      </c>
      <c r="M728" t="s">
        <v>25</v>
      </c>
      <c r="N728" t="s">
        <v>25</v>
      </c>
      <c r="O728" t="s">
        <v>26</v>
      </c>
      <c r="P728" t="s">
        <v>25</v>
      </c>
      <c r="Q728" t="s">
        <v>27</v>
      </c>
      <c r="R728" t="s">
        <v>28</v>
      </c>
      <c r="S728" t="s">
        <v>581</v>
      </c>
      <c r="T728" t="s">
        <v>623</v>
      </c>
    </row>
    <row r="729" spans="1:20">
      <c r="A729">
        <v>731</v>
      </c>
      <c r="B729" t="s">
        <v>862</v>
      </c>
      <c r="C729" t="s">
        <v>36</v>
      </c>
      <c r="D729" t="s">
        <v>22</v>
      </c>
      <c r="E729" t="s">
        <v>321</v>
      </c>
      <c r="F729">
        <v>1200000</v>
      </c>
      <c r="G729">
        <v>19</v>
      </c>
      <c r="H729">
        <v>142800000</v>
      </c>
      <c r="I729" t="s">
        <v>24</v>
      </c>
      <c r="J729" t="s">
        <v>25</v>
      </c>
      <c r="K729">
        <v>0</v>
      </c>
      <c r="L729">
        <v>0</v>
      </c>
      <c r="M729" t="s">
        <v>25</v>
      </c>
      <c r="N729" t="s">
        <v>25</v>
      </c>
      <c r="O729" t="s">
        <v>26</v>
      </c>
      <c r="P729" t="s">
        <v>25</v>
      </c>
      <c r="Q729" t="s">
        <v>27</v>
      </c>
      <c r="R729" t="s">
        <v>28</v>
      </c>
    </row>
    <row r="730" spans="1:20">
      <c r="A730">
        <v>732</v>
      </c>
      <c r="B730" t="s">
        <v>863</v>
      </c>
      <c r="C730" t="s">
        <v>21</v>
      </c>
      <c r="D730" t="s">
        <v>22</v>
      </c>
      <c r="E730" t="s">
        <v>23</v>
      </c>
      <c r="F730">
        <v>18750000</v>
      </c>
      <c r="G730">
        <v>19</v>
      </c>
      <c r="H730">
        <v>2231250000</v>
      </c>
      <c r="I730" t="s">
        <v>24</v>
      </c>
      <c r="J730" t="s">
        <v>25</v>
      </c>
      <c r="K730">
        <v>0</v>
      </c>
      <c r="L730">
        <v>0</v>
      </c>
      <c r="M730" t="s">
        <v>25</v>
      </c>
      <c r="N730" t="s">
        <v>25</v>
      </c>
      <c r="O730" t="s">
        <v>26</v>
      </c>
      <c r="P730" t="s">
        <v>25</v>
      </c>
      <c r="Q730" t="s">
        <v>27</v>
      </c>
      <c r="R730" t="s">
        <v>28</v>
      </c>
    </row>
    <row r="731" spans="1:20">
      <c r="A731">
        <v>733</v>
      </c>
      <c r="B731" t="s">
        <v>864</v>
      </c>
      <c r="C731" t="s">
        <v>21</v>
      </c>
      <c r="D731" t="s">
        <v>22</v>
      </c>
      <c r="E731" t="s">
        <v>23</v>
      </c>
      <c r="F731">
        <v>222450</v>
      </c>
      <c r="G731">
        <v>19</v>
      </c>
      <c r="H731">
        <v>264715.5</v>
      </c>
      <c r="I731" t="s">
        <v>24</v>
      </c>
      <c r="J731" t="s">
        <v>25</v>
      </c>
      <c r="K731">
        <v>0</v>
      </c>
      <c r="L731">
        <v>0</v>
      </c>
      <c r="M731" t="s">
        <v>25</v>
      </c>
      <c r="N731" t="s">
        <v>25</v>
      </c>
      <c r="O731" t="s">
        <v>26</v>
      </c>
      <c r="P731" t="s">
        <v>25</v>
      </c>
      <c r="Q731" t="s">
        <v>27</v>
      </c>
      <c r="R731" t="s">
        <v>28</v>
      </c>
      <c r="S731" t="s">
        <v>48</v>
      </c>
      <c r="T731" t="s">
        <v>49</v>
      </c>
    </row>
    <row r="732" spans="1:20">
      <c r="A732">
        <v>734</v>
      </c>
      <c r="B732" t="s">
        <v>865</v>
      </c>
      <c r="C732" t="s">
        <v>21</v>
      </c>
      <c r="D732" t="s">
        <v>848</v>
      </c>
      <c r="E732" t="s">
        <v>23</v>
      </c>
      <c r="F732">
        <v>9500</v>
      </c>
      <c r="G732">
        <v>19</v>
      </c>
      <c r="H732">
        <v>11305</v>
      </c>
      <c r="I732" t="s">
        <v>24</v>
      </c>
      <c r="J732" t="s">
        <v>25</v>
      </c>
      <c r="K732">
        <v>0</v>
      </c>
      <c r="L732">
        <v>0</v>
      </c>
      <c r="M732" t="s">
        <v>25</v>
      </c>
      <c r="N732" t="s">
        <v>25</v>
      </c>
      <c r="O732" t="s">
        <v>26</v>
      </c>
      <c r="P732" t="s">
        <v>25</v>
      </c>
      <c r="Q732" t="s">
        <v>27</v>
      </c>
      <c r="R732" t="s">
        <v>28</v>
      </c>
      <c r="S732" t="s">
        <v>48</v>
      </c>
      <c r="T732" t="s">
        <v>643</v>
      </c>
    </row>
    <row r="733" spans="1:20">
      <c r="A733">
        <v>735</v>
      </c>
      <c r="B733" t="s">
        <v>866</v>
      </c>
      <c r="C733" t="s">
        <v>21</v>
      </c>
      <c r="D733" t="s">
        <v>32</v>
      </c>
      <c r="E733" t="s">
        <v>23</v>
      </c>
      <c r="F733">
        <v>3748</v>
      </c>
      <c r="G733">
        <v>19</v>
      </c>
      <c r="H733">
        <v>4460.12</v>
      </c>
      <c r="I733" t="s">
        <v>24</v>
      </c>
      <c r="J733" t="s">
        <v>25</v>
      </c>
      <c r="K733">
        <v>0</v>
      </c>
      <c r="L733">
        <v>0</v>
      </c>
      <c r="M733" t="s">
        <v>25</v>
      </c>
      <c r="N733" t="s">
        <v>25</v>
      </c>
      <c r="O733" t="s">
        <v>26</v>
      </c>
      <c r="P733" t="s">
        <v>25</v>
      </c>
      <c r="Q733" t="s">
        <v>27</v>
      </c>
      <c r="R733" t="s">
        <v>28</v>
      </c>
      <c r="S733" t="s">
        <v>51</v>
      </c>
      <c r="T733" t="s">
        <v>656</v>
      </c>
    </row>
    <row r="734" spans="1:20">
      <c r="A734">
        <v>736</v>
      </c>
      <c r="B734" t="s">
        <v>867</v>
      </c>
      <c r="C734" t="s">
        <v>21</v>
      </c>
      <c r="D734" t="s">
        <v>22</v>
      </c>
      <c r="E734" t="s">
        <v>23</v>
      </c>
      <c r="F734">
        <v>6200</v>
      </c>
      <c r="G734">
        <v>19</v>
      </c>
      <c r="H734">
        <v>7378</v>
      </c>
      <c r="I734" t="s">
        <v>24</v>
      </c>
      <c r="J734" t="s">
        <v>25</v>
      </c>
      <c r="K734">
        <v>0</v>
      </c>
      <c r="L734">
        <v>0</v>
      </c>
      <c r="M734" t="s">
        <v>25</v>
      </c>
      <c r="N734" t="s">
        <v>25</v>
      </c>
      <c r="O734" t="s">
        <v>26</v>
      </c>
      <c r="P734" t="s">
        <v>25</v>
      </c>
      <c r="Q734" t="s">
        <v>27</v>
      </c>
      <c r="R734" t="s">
        <v>28</v>
      </c>
      <c r="S734" t="s">
        <v>51</v>
      </c>
      <c r="T734" t="s">
        <v>840</v>
      </c>
    </row>
    <row r="735" spans="1:20">
      <c r="A735">
        <v>737</v>
      </c>
      <c r="B735" t="s">
        <v>868</v>
      </c>
      <c r="C735" t="s">
        <v>21</v>
      </c>
      <c r="D735" t="s">
        <v>22</v>
      </c>
      <c r="E735" t="s">
        <v>23</v>
      </c>
      <c r="F735">
        <v>6200</v>
      </c>
      <c r="G735">
        <v>19</v>
      </c>
      <c r="H735">
        <v>737800</v>
      </c>
      <c r="I735" t="s">
        <v>24</v>
      </c>
      <c r="J735" t="s">
        <v>25</v>
      </c>
      <c r="K735">
        <v>0</v>
      </c>
      <c r="L735">
        <v>0</v>
      </c>
      <c r="M735" t="s">
        <v>25</v>
      </c>
      <c r="N735" t="s">
        <v>25</v>
      </c>
      <c r="O735" t="s">
        <v>26</v>
      </c>
      <c r="P735" t="s">
        <v>25</v>
      </c>
      <c r="Q735" t="s">
        <v>27</v>
      </c>
      <c r="R735" t="s">
        <v>28</v>
      </c>
    </row>
    <row r="736" spans="1:20">
      <c r="A736">
        <v>738</v>
      </c>
      <c r="B736" t="s">
        <v>869</v>
      </c>
      <c r="C736" t="s">
        <v>21</v>
      </c>
      <c r="D736" t="s">
        <v>22</v>
      </c>
      <c r="E736" t="s">
        <v>23</v>
      </c>
      <c r="F736">
        <v>400</v>
      </c>
      <c r="G736">
        <v>19</v>
      </c>
      <c r="H736">
        <v>476</v>
      </c>
      <c r="I736" t="s">
        <v>24</v>
      </c>
      <c r="J736" t="s">
        <v>25</v>
      </c>
      <c r="K736">
        <v>0</v>
      </c>
      <c r="L736">
        <v>0</v>
      </c>
      <c r="M736" t="s">
        <v>25</v>
      </c>
      <c r="N736" t="s">
        <v>25</v>
      </c>
      <c r="O736" t="s">
        <v>26</v>
      </c>
      <c r="P736" t="s">
        <v>25</v>
      </c>
      <c r="Q736" t="s">
        <v>27</v>
      </c>
      <c r="R736" t="s">
        <v>28</v>
      </c>
      <c r="S736" t="s">
        <v>48</v>
      </c>
      <c r="T736" t="s">
        <v>643</v>
      </c>
    </row>
    <row r="737" spans="1:20">
      <c r="A737">
        <v>739</v>
      </c>
      <c r="B737" t="s">
        <v>870</v>
      </c>
      <c r="C737" t="s">
        <v>21</v>
      </c>
      <c r="D737" t="s">
        <v>22</v>
      </c>
      <c r="E737" t="s">
        <v>23</v>
      </c>
      <c r="F737">
        <v>400</v>
      </c>
      <c r="G737">
        <v>19</v>
      </c>
      <c r="H737">
        <v>47600</v>
      </c>
      <c r="I737" t="s">
        <v>24</v>
      </c>
      <c r="J737" t="s">
        <v>25</v>
      </c>
      <c r="K737">
        <v>0</v>
      </c>
      <c r="L737">
        <v>0</v>
      </c>
      <c r="M737" t="s">
        <v>25</v>
      </c>
      <c r="N737" t="s">
        <v>25</v>
      </c>
      <c r="O737" t="s">
        <v>26</v>
      </c>
      <c r="P737" t="s">
        <v>25</v>
      </c>
      <c r="Q737" t="s">
        <v>27</v>
      </c>
      <c r="R737" t="s">
        <v>28</v>
      </c>
    </row>
    <row r="738" spans="1:20">
      <c r="A738">
        <v>740</v>
      </c>
      <c r="B738" t="s">
        <v>871</v>
      </c>
      <c r="C738" t="s">
        <v>21</v>
      </c>
      <c r="D738" t="s">
        <v>22</v>
      </c>
      <c r="E738" t="s">
        <v>23</v>
      </c>
      <c r="F738">
        <v>600</v>
      </c>
      <c r="G738">
        <v>19</v>
      </c>
      <c r="H738">
        <v>71400</v>
      </c>
      <c r="I738" t="s">
        <v>24</v>
      </c>
      <c r="J738" t="s">
        <v>25</v>
      </c>
      <c r="K738">
        <v>0</v>
      </c>
      <c r="L738">
        <v>0</v>
      </c>
      <c r="M738" t="s">
        <v>25</v>
      </c>
      <c r="N738" t="s">
        <v>25</v>
      </c>
      <c r="O738" t="s">
        <v>26</v>
      </c>
      <c r="P738" t="s">
        <v>25</v>
      </c>
      <c r="Q738" t="s">
        <v>27</v>
      </c>
      <c r="R738" t="s">
        <v>28</v>
      </c>
    </row>
    <row r="739" spans="1:20">
      <c r="A739">
        <v>741</v>
      </c>
      <c r="B739" t="s">
        <v>872</v>
      </c>
      <c r="C739" t="s">
        <v>21</v>
      </c>
      <c r="D739" t="s">
        <v>22</v>
      </c>
      <c r="E739" t="s">
        <v>23</v>
      </c>
      <c r="F739">
        <v>26900</v>
      </c>
      <c r="G739">
        <v>19</v>
      </c>
      <c r="H739">
        <v>32011</v>
      </c>
      <c r="I739" t="s">
        <v>24</v>
      </c>
      <c r="J739" t="s">
        <v>25</v>
      </c>
      <c r="K739">
        <v>0</v>
      </c>
      <c r="L739">
        <v>0</v>
      </c>
      <c r="M739" t="s">
        <v>25</v>
      </c>
      <c r="N739" t="s">
        <v>25</v>
      </c>
      <c r="O739" t="s">
        <v>26</v>
      </c>
      <c r="P739" t="s">
        <v>25</v>
      </c>
      <c r="Q739" t="s">
        <v>27</v>
      </c>
      <c r="R739" t="s">
        <v>28</v>
      </c>
      <c r="S739" t="s">
        <v>51</v>
      </c>
      <c r="T739" t="s">
        <v>52</v>
      </c>
    </row>
    <row r="740" spans="1:20">
      <c r="A740">
        <v>742</v>
      </c>
      <c r="B740" t="s">
        <v>873</v>
      </c>
      <c r="C740" t="s">
        <v>21</v>
      </c>
      <c r="D740" t="s">
        <v>22</v>
      </c>
      <c r="E740" t="s">
        <v>23</v>
      </c>
      <c r="F740">
        <v>17600</v>
      </c>
      <c r="G740">
        <v>19</v>
      </c>
      <c r="H740">
        <v>20944</v>
      </c>
      <c r="I740" t="s">
        <v>532</v>
      </c>
      <c r="J740" t="s">
        <v>25</v>
      </c>
      <c r="K740">
        <v>0</v>
      </c>
      <c r="L740">
        <v>0</v>
      </c>
      <c r="M740" t="s">
        <v>25</v>
      </c>
      <c r="N740" t="s">
        <v>25</v>
      </c>
      <c r="O740" t="s">
        <v>26</v>
      </c>
      <c r="P740" t="s">
        <v>25</v>
      </c>
      <c r="Q740" t="s">
        <v>27</v>
      </c>
      <c r="R740" t="s">
        <v>28</v>
      </c>
      <c r="S740" t="s">
        <v>51</v>
      </c>
      <c r="T740" t="s">
        <v>52</v>
      </c>
    </row>
    <row r="741" spans="1:20">
      <c r="A741">
        <v>743</v>
      </c>
      <c r="B741" t="s">
        <v>874</v>
      </c>
      <c r="C741" t="s">
        <v>21</v>
      </c>
      <c r="D741" t="s">
        <v>22</v>
      </c>
      <c r="E741" t="s">
        <v>23</v>
      </c>
      <c r="F741">
        <v>6000</v>
      </c>
      <c r="G741">
        <v>19</v>
      </c>
      <c r="H741">
        <v>7140</v>
      </c>
      <c r="I741" t="s">
        <v>24</v>
      </c>
      <c r="J741" t="s">
        <v>25</v>
      </c>
      <c r="K741">
        <v>0</v>
      </c>
      <c r="L741">
        <v>0</v>
      </c>
      <c r="M741" t="s">
        <v>25</v>
      </c>
      <c r="N741" t="s">
        <v>25</v>
      </c>
      <c r="O741" t="s">
        <v>26</v>
      </c>
      <c r="P741" t="s">
        <v>25</v>
      </c>
      <c r="Q741" t="s">
        <v>27</v>
      </c>
      <c r="R741" t="s">
        <v>28</v>
      </c>
      <c r="S741" t="s">
        <v>48</v>
      </c>
      <c r="T741" t="s">
        <v>643</v>
      </c>
    </row>
    <row r="742" spans="1:20">
      <c r="A742">
        <v>744</v>
      </c>
      <c r="B742" t="s">
        <v>875</v>
      </c>
      <c r="C742" t="s">
        <v>36</v>
      </c>
      <c r="D742" t="s">
        <v>22</v>
      </c>
      <c r="E742" t="s">
        <v>37</v>
      </c>
      <c r="F742">
        <v>189500</v>
      </c>
      <c r="G742">
        <v>19</v>
      </c>
      <c r="H742">
        <v>22550500</v>
      </c>
      <c r="I742" t="s">
        <v>24</v>
      </c>
      <c r="J742" t="s">
        <v>25</v>
      </c>
      <c r="K742">
        <v>0</v>
      </c>
      <c r="L742">
        <v>0</v>
      </c>
      <c r="M742" t="s">
        <v>25</v>
      </c>
      <c r="N742" t="s">
        <v>25</v>
      </c>
      <c r="O742" t="s">
        <v>26</v>
      </c>
      <c r="P742" t="s">
        <v>25</v>
      </c>
      <c r="Q742" t="s">
        <v>27</v>
      </c>
      <c r="R742" t="s">
        <v>28</v>
      </c>
    </row>
    <row r="743" spans="1:20">
      <c r="A743">
        <v>745</v>
      </c>
      <c r="B743" t="s">
        <v>876</v>
      </c>
      <c r="C743" t="s">
        <v>21</v>
      </c>
      <c r="D743" t="s">
        <v>32</v>
      </c>
      <c r="E743" t="s">
        <v>23</v>
      </c>
      <c r="F743">
        <v>11920</v>
      </c>
      <c r="G743">
        <v>19</v>
      </c>
      <c r="H743">
        <v>14184.8</v>
      </c>
      <c r="I743" t="s">
        <v>24</v>
      </c>
      <c r="J743" t="s">
        <v>25</v>
      </c>
      <c r="K743">
        <v>0</v>
      </c>
      <c r="L743">
        <v>0</v>
      </c>
      <c r="M743" t="s">
        <v>25</v>
      </c>
      <c r="N743" t="s">
        <v>25</v>
      </c>
      <c r="O743" t="s">
        <v>26</v>
      </c>
      <c r="P743" t="s">
        <v>25</v>
      </c>
      <c r="Q743" t="s">
        <v>27</v>
      </c>
      <c r="R743" t="s">
        <v>28</v>
      </c>
      <c r="S743" t="s">
        <v>51</v>
      </c>
      <c r="T743" t="s">
        <v>656</v>
      </c>
    </row>
    <row r="744" spans="1:20">
      <c r="A744">
        <v>746</v>
      </c>
      <c r="B744" t="s">
        <v>877</v>
      </c>
      <c r="C744" t="s">
        <v>36</v>
      </c>
      <c r="D744" t="s">
        <v>32</v>
      </c>
      <c r="E744" t="s">
        <v>37</v>
      </c>
      <c r="F744">
        <v>13188</v>
      </c>
      <c r="G744">
        <v>19</v>
      </c>
      <c r="H744">
        <v>1569372</v>
      </c>
      <c r="I744" t="s">
        <v>24</v>
      </c>
      <c r="J744" t="s">
        <v>25</v>
      </c>
      <c r="K744">
        <v>0</v>
      </c>
      <c r="L744">
        <v>0</v>
      </c>
      <c r="M744" t="s">
        <v>25</v>
      </c>
      <c r="N744" t="s">
        <v>25</v>
      </c>
      <c r="O744" t="s">
        <v>26</v>
      </c>
      <c r="P744" t="s">
        <v>25</v>
      </c>
      <c r="Q744" t="s">
        <v>27</v>
      </c>
      <c r="R744" t="s">
        <v>28</v>
      </c>
    </row>
    <row r="745" spans="1:20">
      <c r="A745">
        <v>747</v>
      </c>
      <c r="B745" t="s">
        <v>878</v>
      </c>
      <c r="C745" t="s">
        <v>216</v>
      </c>
      <c r="D745" t="s">
        <v>22</v>
      </c>
      <c r="E745" t="s">
        <v>834</v>
      </c>
      <c r="F745">
        <v>450000</v>
      </c>
      <c r="G745">
        <v>19</v>
      </c>
      <c r="H745">
        <v>53550000</v>
      </c>
      <c r="I745" t="s">
        <v>24</v>
      </c>
      <c r="J745" t="s">
        <v>25</v>
      </c>
      <c r="K745">
        <v>0</v>
      </c>
      <c r="L745">
        <v>0</v>
      </c>
      <c r="M745" t="s">
        <v>25</v>
      </c>
      <c r="N745" t="s">
        <v>25</v>
      </c>
      <c r="O745" t="s">
        <v>26</v>
      </c>
      <c r="P745" t="s">
        <v>25</v>
      </c>
      <c r="Q745" t="s">
        <v>27</v>
      </c>
      <c r="R745" t="s">
        <v>28</v>
      </c>
    </row>
    <row r="746" spans="1:20">
      <c r="A746">
        <v>748</v>
      </c>
      <c r="B746" t="s">
        <v>879</v>
      </c>
      <c r="C746" t="s">
        <v>21</v>
      </c>
      <c r="D746" t="s">
        <v>22</v>
      </c>
      <c r="E746" t="s">
        <v>23</v>
      </c>
      <c r="F746">
        <v>7000</v>
      </c>
      <c r="G746">
        <v>19</v>
      </c>
      <c r="H746">
        <v>8330</v>
      </c>
      <c r="I746" t="s">
        <v>24</v>
      </c>
      <c r="J746" t="s">
        <v>25</v>
      </c>
      <c r="K746">
        <v>0</v>
      </c>
      <c r="L746">
        <v>0</v>
      </c>
      <c r="M746" t="s">
        <v>25</v>
      </c>
      <c r="N746" t="s">
        <v>25</v>
      </c>
      <c r="O746" t="s">
        <v>26</v>
      </c>
      <c r="P746" t="s">
        <v>25</v>
      </c>
      <c r="Q746" t="s">
        <v>27</v>
      </c>
      <c r="R746" t="s">
        <v>28</v>
      </c>
      <c r="S746" t="s">
        <v>51</v>
      </c>
      <c r="T746" t="s">
        <v>305</v>
      </c>
    </row>
    <row r="747" spans="1:20">
      <c r="A747">
        <v>749</v>
      </c>
      <c r="B747" t="s">
        <v>880</v>
      </c>
      <c r="C747" t="s">
        <v>21</v>
      </c>
      <c r="D747" t="s">
        <v>22</v>
      </c>
      <c r="E747" t="s">
        <v>23</v>
      </c>
      <c r="F747">
        <v>7000</v>
      </c>
      <c r="G747">
        <v>19</v>
      </c>
      <c r="H747">
        <v>8330</v>
      </c>
      <c r="I747" t="s">
        <v>24</v>
      </c>
      <c r="J747" t="s">
        <v>25</v>
      </c>
      <c r="K747">
        <v>0</v>
      </c>
      <c r="L747">
        <v>0</v>
      </c>
      <c r="M747" t="s">
        <v>25</v>
      </c>
      <c r="N747" t="s">
        <v>25</v>
      </c>
      <c r="O747" t="s">
        <v>26</v>
      </c>
      <c r="P747" t="s">
        <v>25</v>
      </c>
      <c r="Q747" t="s">
        <v>27</v>
      </c>
      <c r="R747" t="s">
        <v>28</v>
      </c>
      <c r="S747" t="s">
        <v>51</v>
      </c>
      <c r="T747" t="s">
        <v>305</v>
      </c>
    </row>
    <row r="748" spans="1:20">
      <c r="A748">
        <v>750</v>
      </c>
      <c r="B748" t="s">
        <v>881</v>
      </c>
      <c r="C748" t="s">
        <v>21</v>
      </c>
      <c r="D748" t="s">
        <v>22</v>
      </c>
      <c r="E748" t="s">
        <v>23</v>
      </c>
      <c r="F748">
        <v>10600</v>
      </c>
      <c r="G748">
        <v>19</v>
      </c>
      <c r="H748">
        <v>12614</v>
      </c>
      <c r="I748" t="s">
        <v>24</v>
      </c>
      <c r="J748" t="s">
        <v>25</v>
      </c>
      <c r="K748">
        <v>0</v>
      </c>
      <c r="L748">
        <v>0</v>
      </c>
      <c r="M748" t="s">
        <v>25</v>
      </c>
      <c r="N748" t="s">
        <v>25</v>
      </c>
      <c r="O748" t="s">
        <v>26</v>
      </c>
      <c r="P748" t="s">
        <v>25</v>
      </c>
      <c r="Q748" t="s">
        <v>27</v>
      </c>
      <c r="R748" t="s">
        <v>28</v>
      </c>
      <c r="S748" t="s">
        <v>51</v>
      </c>
      <c r="T748" t="s">
        <v>882</v>
      </c>
    </row>
    <row r="749" spans="1:20">
      <c r="A749">
        <v>751</v>
      </c>
      <c r="B749" t="s">
        <v>883</v>
      </c>
      <c r="C749" t="s">
        <v>21</v>
      </c>
      <c r="D749" t="s">
        <v>22</v>
      </c>
      <c r="E749" t="s">
        <v>23</v>
      </c>
      <c r="F749">
        <v>8200</v>
      </c>
      <c r="G749">
        <v>19</v>
      </c>
      <c r="H749">
        <v>9758</v>
      </c>
      <c r="I749" t="s">
        <v>24</v>
      </c>
      <c r="J749" t="s">
        <v>25</v>
      </c>
      <c r="K749">
        <v>0</v>
      </c>
      <c r="L749">
        <v>0</v>
      </c>
      <c r="M749" t="s">
        <v>25</v>
      </c>
      <c r="N749" t="s">
        <v>25</v>
      </c>
      <c r="O749" t="s">
        <v>26</v>
      </c>
      <c r="P749" t="s">
        <v>25</v>
      </c>
      <c r="Q749" t="s">
        <v>27</v>
      </c>
      <c r="R749" t="s">
        <v>28</v>
      </c>
      <c r="S749" t="s">
        <v>51</v>
      </c>
      <c r="T749" t="s">
        <v>882</v>
      </c>
    </row>
    <row r="750" spans="1:20">
      <c r="A750">
        <v>752</v>
      </c>
      <c r="B750" t="s">
        <v>884</v>
      </c>
      <c r="C750" t="s">
        <v>21</v>
      </c>
      <c r="D750" t="s">
        <v>22</v>
      </c>
      <c r="E750" t="s">
        <v>23</v>
      </c>
      <c r="F750">
        <v>68000</v>
      </c>
      <c r="G750">
        <v>19</v>
      </c>
      <c r="H750">
        <v>80920</v>
      </c>
      <c r="I750" t="s">
        <v>24</v>
      </c>
      <c r="J750" t="s">
        <v>25</v>
      </c>
      <c r="K750">
        <v>0</v>
      </c>
      <c r="L750">
        <v>0</v>
      </c>
      <c r="M750" t="s">
        <v>25</v>
      </c>
      <c r="N750" t="s">
        <v>25</v>
      </c>
      <c r="O750" t="s">
        <v>26</v>
      </c>
      <c r="P750" t="s">
        <v>25</v>
      </c>
      <c r="Q750" t="s">
        <v>27</v>
      </c>
      <c r="R750" t="s">
        <v>28</v>
      </c>
      <c r="S750" t="s">
        <v>48</v>
      </c>
      <c r="T750" t="s">
        <v>643</v>
      </c>
    </row>
    <row r="751" spans="1:20">
      <c r="A751">
        <v>753</v>
      </c>
      <c r="B751" t="s">
        <v>885</v>
      </c>
      <c r="C751" t="s">
        <v>21</v>
      </c>
      <c r="D751" t="s">
        <v>22</v>
      </c>
      <c r="E751" t="s">
        <v>23</v>
      </c>
      <c r="F751">
        <v>25000</v>
      </c>
      <c r="G751">
        <v>19</v>
      </c>
      <c r="H751">
        <v>29750</v>
      </c>
      <c r="I751" t="s">
        <v>24</v>
      </c>
      <c r="J751" t="s">
        <v>25</v>
      </c>
      <c r="K751">
        <v>0</v>
      </c>
      <c r="L751">
        <v>0</v>
      </c>
      <c r="M751" t="s">
        <v>25</v>
      </c>
      <c r="N751" t="s">
        <v>25</v>
      </c>
      <c r="O751" t="s">
        <v>26</v>
      </c>
      <c r="P751" t="s">
        <v>25</v>
      </c>
      <c r="Q751" t="s">
        <v>27</v>
      </c>
      <c r="R751" t="s">
        <v>28</v>
      </c>
      <c r="S751" t="s">
        <v>48</v>
      </c>
      <c r="T751" t="s">
        <v>643</v>
      </c>
    </row>
    <row r="752" spans="1:20">
      <c r="A752">
        <v>754</v>
      </c>
      <c r="B752" t="s">
        <v>886</v>
      </c>
      <c r="C752" t="s">
        <v>21</v>
      </c>
      <c r="D752" t="s">
        <v>22</v>
      </c>
      <c r="E752" t="s">
        <v>23</v>
      </c>
      <c r="F752">
        <v>584000</v>
      </c>
      <c r="G752">
        <v>19</v>
      </c>
      <c r="H752">
        <v>694960</v>
      </c>
      <c r="I752" t="s">
        <v>24</v>
      </c>
      <c r="J752" t="s">
        <v>25</v>
      </c>
      <c r="K752">
        <v>0</v>
      </c>
      <c r="L752">
        <v>0</v>
      </c>
      <c r="M752" t="s">
        <v>25</v>
      </c>
      <c r="N752" t="s">
        <v>25</v>
      </c>
      <c r="O752" t="s">
        <v>26</v>
      </c>
      <c r="P752" t="s">
        <v>25</v>
      </c>
      <c r="Q752" t="s">
        <v>27</v>
      </c>
      <c r="R752" t="s">
        <v>28</v>
      </c>
      <c r="S752" t="s">
        <v>48</v>
      </c>
      <c r="T752" t="s">
        <v>643</v>
      </c>
    </row>
    <row r="753" spans="1:20">
      <c r="A753">
        <v>755</v>
      </c>
      <c r="B753" t="s">
        <v>887</v>
      </c>
      <c r="C753" t="s">
        <v>21</v>
      </c>
      <c r="D753" t="s">
        <v>22</v>
      </c>
      <c r="E753" t="s">
        <v>23</v>
      </c>
      <c r="F753">
        <v>16800</v>
      </c>
      <c r="G753">
        <v>19</v>
      </c>
      <c r="H753">
        <v>19992</v>
      </c>
      <c r="I753" t="s">
        <v>24</v>
      </c>
      <c r="J753" t="s">
        <v>25</v>
      </c>
      <c r="K753">
        <v>0</v>
      </c>
      <c r="L753">
        <v>0</v>
      </c>
      <c r="M753" t="s">
        <v>25</v>
      </c>
      <c r="N753" t="s">
        <v>25</v>
      </c>
      <c r="O753" t="s">
        <v>26</v>
      </c>
      <c r="P753" t="s">
        <v>25</v>
      </c>
      <c r="Q753" t="s">
        <v>27</v>
      </c>
      <c r="R753" t="s">
        <v>28</v>
      </c>
      <c r="S753" t="s">
        <v>51</v>
      </c>
      <c r="T753" t="s">
        <v>656</v>
      </c>
    </row>
    <row r="754" spans="1:20">
      <c r="A754">
        <v>756</v>
      </c>
      <c r="B754" t="s">
        <v>888</v>
      </c>
      <c r="C754" t="s">
        <v>21</v>
      </c>
      <c r="D754" t="s">
        <v>22</v>
      </c>
      <c r="E754" t="s">
        <v>23</v>
      </c>
      <c r="F754">
        <v>16800</v>
      </c>
      <c r="G754">
        <v>19</v>
      </c>
      <c r="H754">
        <v>1999200</v>
      </c>
      <c r="I754" t="s">
        <v>24</v>
      </c>
      <c r="J754" t="s">
        <v>25</v>
      </c>
      <c r="K754">
        <v>0</v>
      </c>
      <c r="L754">
        <v>0</v>
      </c>
      <c r="M754" t="s">
        <v>25</v>
      </c>
      <c r="N754" t="s">
        <v>25</v>
      </c>
      <c r="O754" t="s">
        <v>26</v>
      </c>
      <c r="P754" t="s">
        <v>25</v>
      </c>
      <c r="Q754" t="s">
        <v>27</v>
      </c>
      <c r="R754" t="s">
        <v>28</v>
      </c>
      <c r="S754" t="s">
        <v>51</v>
      </c>
      <c r="T754" t="s">
        <v>646</v>
      </c>
    </row>
    <row r="755" spans="1:20">
      <c r="A755">
        <v>757</v>
      </c>
      <c r="B755" t="s">
        <v>889</v>
      </c>
      <c r="C755" t="s">
        <v>21</v>
      </c>
      <c r="D755" t="s">
        <v>302</v>
      </c>
      <c r="E755" t="s">
        <v>23</v>
      </c>
      <c r="F755">
        <v>0</v>
      </c>
      <c r="G755">
        <v>19</v>
      </c>
      <c r="H755">
        <v>0</v>
      </c>
      <c r="I755" t="s">
        <v>24</v>
      </c>
      <c r="J755" t="s">
        <v>25</v>
      </c>
      <c r="K755">
        <v>0</v>
      </c>
      <c r="L755">
        <v>0</v>
      </c>
      <c r="M755" t="s">
        <v>25</v>
      </c>
      <c r="N755" t="s">
        <v>25</v>
      </c>
      <c r="O755" t="s">
        <v>26</v>
      </c>
      <c r="P755" t="s">
        <v>25</v>
      </c>
      <c r="Q755" t="s">
        <v>27</v>
      </c>
      <c r="R755" t="s">
        <v>28</v>
      </c>
    </row>
    <row r="756" spans="1:20">
      <c r="A756">
        <v>758</v>
      </c>
      <c r="B756" t="s">
        <v>890</v>
      </c>
      <c r="C756" t="s">
        <v>21</v>
      </c>
      <c r="D756" t="s">
        <v>22</v>
      </c>
      <c r="E756" t="s">
        <v>23</v>
      </c>
      <c r="F756">
        <v>139000</v>
      </c>
      <c r="G756">
        <v>19</v>
      </c>
      <c r="H756">
        <v>165410</v>
      </c>
      <c r="I756" t="s">
        <v>24</v>
      </c>
      <c r="J756" t="s">
        <v>25</v>
      </c>
      <c r="K756">
        <v>0</v>
      </c>
      <c r="L756">
        <v>0</v>
      </c>
      <c r="M756" t="s">
        <v>25</v>
      </c>
      <c r="N756" t="s">
        <v>25</v>
      </c>
      <c r="O756" t="s">
        <v>26</v>
      </c>
      <c r="P756" t="s">
        <v>25</v>
      </c>
      <c r="Q756" t="s">
        <v>27</v>
      </c>
      <c r="R756" t="s">
        <v>28</v>
      </c>
      <c r="S756" t="s">
        <v>51</v>
      </c>
      <c r="T756" t="s">
        <v>656</v>
      </c>
    </row>
    <row r="757" spans="1:20">
      <c r="A757">
        <v>759</v>
      </c>
      <c r="B757" t="s">
        <v>891</v>
      </c>
      <c r="C757" t="s">
        <v>21</v>
      </c>
      <c r="D757" t="s">
        <v>22</v>
      </c>
      <c r="E757" t="s">
        <v>23</v>
      </c>
      <c r="F757">
        <v>139000</v>
      </c>
      <c r="G757">
        <v>19</v>
      </c>
      <c r="H757">
        <v>16541000</v>
      </c>
      <c r="I757" t="s">
        <v>24</v>
      </c>
      <c r="J757" t="s">
        <v>25</v>
      </c>
      <c r="K757">
        <v>0</v>
      </c>
      <c r="L757">
        <v>0</v>
      </c>
      <c r="M757" t="s">
        <v>25</v>
      </c>
      <c r="N757" t="s">
        <v>25</v>
      </c>
      <c r="O757" t="s">
        <v>26</v>
      </c>
      <c r="P757" t="s">
        <v>25</v>
      </c>
      <c r="Q757" t="s">
        <v>27</v>
      </c>
      <c r="R757" t="s">
        <v>28</v>
      </c>
      <c r="S757" t="s">
        <v>51</v>
      </c>
      <c r="T757" t="s">
        <v>892</v>
      </c>
    </row>
    <row r="758" spans="1:20">
      <c r="A758">
        <v>760</v>
      </c>
      <c r="B758" t="s">
        <v>893</v>
      </c>
      <c r="C758" t="s">
        <v>21</v>
      </c>
      <c r="D758" t="s">
        <v>22</v>
      </c>
      <c r="E758" t="s">
        <v>23</v>
      </c>
      <c r="F758">
        <v>28900</v>
      </c>
      <c r="G758">
        <v>19</v>
      </c>
      <c r="H758">
        <v>34391</v>
      </c>
      <c r="I758" t="s">
        <v>24</v>
      </c>
      <c r="J758" t="s">
        <v>25</v>
      </c>
      <c r="K758">
        <v>0</v>
      </c>
      <c r="L758">
        <v>0</v>
      </c>
      <c r="M758" t="s">
        <v>25</v>
      </c>
      <c r="N758" t="s">
        <v>25</v>
      </c>
      <c r="O758" t="s">
        <v>26</v>
      </c>
      <c r="P758" t="s">
        <v>25</v>
      </c>
      <c r="Q758" t="s">
        <v>27</v>
      </c>
      <c r="R758" t="s">
        <v>28</v>
      </c>
      <c r="S758" t="s">
        <v>51</v>
      </c>
      <c r="T758" t="s">
        <v>376</v>
      </c>
    </row>
    <row r="759" spans="1:20">
      <c r="A759">
        <v>761</v>
      </c>
      <c r="B759" t="s">
        <v>894</v>
      </c>
      <c r="C759" t="s">
        <v>21</v>
      </c>
      <c r="D759" t="s">
        <v>22</v>
      </c>
      <c r="E759" t="s">
        <v>23</v>
      </c>
      <c r="F759">
        <v>3200</v>
      </c>
      <c r="G759">
        <v>19</v>
      </c>
      <c r="H759">
        <v>3808</v>
      </c>
      <c r="I759" t="s">
        <v>24</v>
      </c>
      <c r="J759" t="s">
        <v>25</v>
      </c>
      <c r="K759">
        <v>0</v>
      </c>
      <c r="L759">
        <v>0</v>
      </c>
      <c r="M759" t="s">
        <v>25</v>
      </c>
      <c r="N759" t="s">
        <v>25</v>
      </c>
      <c r="O759" t="s">
        <v>26</v>
      </c>
      <c r="P759" t="s">
        <v>25</v>
      </c>
      <c r="Q759" t="s">
        <v>27</v>
      </c>
      <c r="R759" t="s">
        <v>28</v>
      </c>
      <c r="S759" t="s">
        <v>48</v>
      </c>
      <c r="T759" t="s">
        <v>49</v>
      </c>
    </row>
    <row r="760" spans="1:20">
      <c r="A760">
        <v>762</v>
      </c>
      <c r="B760" t="s">
        <v>895</v>
      </c>
      <c r="C760" t="s">
        <v>21</v>
      </c>
      <c r="D760" t="s">
        <v>22</v>
      </c>
      <c r="E760" t="s">
        <v>23</v>
      </c>
      <c r="F760">
        <v>8600</v>
      </c>
      <c r="G760">
        <v>19</v>
      </c>
      <c r="H760">
        <v>10234</v>
      </c>
      <c r="I760" t="s">
        <v>24</v>
      </c>
      <c r="J760" t="s">
        <v>25</v>
      </c>
      <c r="K760">
        <v>0</v>
      </c>
      <c r="L760">
        <v>0</v>
      </c>
      <c r="M760" t="s">
        <v>25</v>
      </c>
      <c r="N760" t="s">
        <v>25</v>
      </c>
      <c r="O760" t="s">
        <v>26</v>
      </c>
      <c r="P760" t="s">
        <v>25</v>
      </c>
      <c r="Q760" t="s">
        <v>27</v>
      </c>
      <c r="R760" t="s">
        <v>28</v>
      </c>
      <c r="S760" t="s">
        <v>51</v>
      </c>
      <c r="T760" t="s">
        <v>54</v>
      </c>
    </row>
    <row r="761" spans="1:20">
      <c r="A761">
        <v>763</v>
      </c>
      <c r="B761" t="s">
        <v>896</v>
      </c>
      <c r="C761" t="s">
        <v>21</v>
      </c>
      <c r="D761" t="s">
        <v>22</v>
      </c>
      <c r="E761" t="s">
        <v>23</v>
      </c>
      <c r="F761">
        <v>10600</v>
      </c>
      <c r="G761">
        <v>19</v>
      </c>
      <c r="H761">
        <v>12614</v>
      </c>
      <c r="I761" t="s">
        <v>24</v>
      </c>
      <c r="J761" t="s">
        <v>25</v>
      </c>
      <c r="K761">
        <v>0</v>
      </c>
      <c r="L761">
        <v>0</v>
      </c>
      <c r="M761" t="s">
        <v>25</v>
      </c>
      <c r="N761" t="s">
        <v>25</v>
      </c>
      <c r="O761" t="s">
        <v>26</v>
      </c>
      <c r="P761" t="s">
        <v>25</v>
      </c>
      <c r="Q761" t="s">
        <v>27</v>
      </c>
      <c r="R761" t="s">
        <v>28</v>
      </c>
      <c r="S761" t="s">
        <v>51</v>
      </c>
      <c r="T761" t="s">
        <v>54</v>
      </c>
    </row>
    <row r="762" spans="1:20">
      <c r="A762">
        <v>764</v>
      </c>
      <c r="B762" t="s">
        <v>897</v>
      </c>
      <c r="C762" t="s">
        <v>21</v>
      </c>
      <c r="D762" t="s">
        <v>22</v>
      </c>
      <c r="E762" t="s">
        <v>23</v>
      </c>
      <c r="F762">
        <v>4800</v>
      </c>
      <c r="G762">
        <v>19</v>
      </c>
      <c r="H762">
        <v>5712</v>
      </c>
      <c r="I762" t="s">
        <v>24</v>
      </c>
      <c r="J762" t="s">
        <v>25</v>
      </c>
      <c r="K762">
        <v>0</v>
      </c>
      <c r="L762">
        <v>0</v>
      </c>
      <c r="M762" t="s">
        <v>25</v>
      </c>
      <c r="N762" t="s">
        <v>25</v>
      </c>
      <c r="O762" t="s">
        <v>26</v>
      </c>
      <c r="P762" t="s">
        <v>25</v>
      </c>
      <c r="Q762" t="s">
        <v>27</v>
      </c>
      <c r="R762" t="s">
        <v>28</v>
      </c>
      <c r="S762" t="s">
        <v>51</v>
      </c>
      <c r="T762" t="s">
        <v>656</v>
      </c>
    </row>
    <row r="763" spans="1:20">
      <c r="A763">
        <v>765</v>
      </c>
      <c r="B763" t="s">
        <v>898</v>
      </c>
      <c r="C763" t="s">
        <v>21</v>
      </c>
      <c r="D763" t="s">
        <v>22</v>
      </c>
      <c r="E763" t="s">
        <v>23</v>
      </c>
      <c r="F763">
        <v>5300</v>
      </c>
      <c r="G763">
        <v>19</v>
      </c>
      <c r="H763">
        <v>6307</v>
      </c>
      <c r="I763" t="s">
        <v>24</v>
      </c>
      <c r="J763" t="s">
        <v>25</v>
      </c>
      <c r="K763">
        <v>0</v>
      </c>
      <c r="L763">
        <v>0</v>
      </c>
      <c r="M763" t="s">
        <v>25</v>
      </c>
      <c r="N763" t="s">
        <v>25</v>
      </c>
      <c r="O763" t="s">
        <v>26</v>
      </c>
      <c r="P763" t="s">
        <v>25</v>
      </c>
      <c r="Q763" t="s">
        <v>27</v>
      </c>
      <c r="R763" t="s">
        <v>28</v>
      </c>
      <c r="S763" t="s">
        <v>51</v>
      </c>
      <c r="T763" t="s">
        <v>656</v>
      </c>
    </row>
    <row r="764" spans="1:20">
      <c r="A764">
        <v>766</v>
      </c>
      <c r="B764" t="s">
        <v>899</v>
      </c>
      <c r="C764" t="s">
        <v>21</v>
      </c>
      <c r="D764" t="s">
        <v>22</v>
      </c>
      <c r="E764" t="s">
        <v>23</v>
      </c>
      <c r="F764">
        <v>8600</v>
      </c>
      <c r="G764">
        <v>19</v>
      </c>
      <c r="H764">
        <v>10234</v>
      </c>
      <c r="I764" t="s">
        <v>24</v>
      </c>
      <c r="J764" t="s">
        <v>25</v>
      </c>
      <c r="K764">
        <v>0</v>
      </c>
      <c r="L764">
        <v>0</v>
      </c>
      <c r="M764" t="s">
        <v>25</v>
      </c>
      <c r="N764" t="s">
        <v>25</v>
      </c>
      <c r="O764" t="s">
        <v>26</v>
      </c>
      <c r="P764" t="s">
        <v>25</v>
      </c>
      <c r="Q764" t="s">
        <v>27</v>
      </c>
      <c r="R764" t="s">
        <v>28</v>
      </c>
      <c r="S764" t="s">
        <v>51</v>
      </c>
      <c r="T764" t="s">
        <v>656</v>
      </c>
    </row>
    <row r="765" spans="1:20">
      <c r="A765">
        <v>767</v>
      </c>
      <c r="B765" t="s">
        <v>900</v>
      </c>
      <c r="C765" t="s">
        <v>21</v>
      </c>
      <c r="D765" t="s">
        <v>22</v>
      </c>
      <c r="E765" t="s">
        <v>23</v>
      </c>
      <c r="F765">
        <v>33000</v>
      </c>
      <c r="G765">
        <v>19</v>
      </c>
      <c r="H765">
        <v>39270</v>
      </c>
      <c r="I765" t="s">
        <v>24</v>
      </c>
      <c r="J765" t="s">
        <v>25</v>
      </c>
      <c r="K765">
        <v>0</v>
      </c>
      <c r="L765">
        <v>0</v>
      </c>
      <c r="M765" t="s">
        <v>25</v>
      </c>
      <c r="N765" t="s">
        <v>25</v>
      </c>
      <c r="O765" t="s">
        <v>26</v>
      </c>
      <c r="P765" t="s">
        <v>25</v>
      </c>
      <c r="Q765" t="s">
        <v>27</v>
      </c>
      <c r="R765" t="s">
        <v>28</v>
      </c>
      <c r="S765" t="s">
        <v>48</v>
      </c>
      <c r="T765" t="s">
        <v>49</v>
      </c>
    </row>
    <row r="766" spans="1:20">
      <c r="A766">
        <v>768</v>
      </c>
      <c r="B766" t="s">
        <v>901</v>
      </c>
      <c r="C766" t="s">
        <v>21</v>
      </c>
      <c r="D766" t="s">
        <v>22</v>
      </c>
      <c r="E766" t="s">
        <v>23</v>
      </c>
      <c r="F766">
        <v>1000</v>
      </c>
      <c r="G766">
        <v>19</v>
      </c>
      <c r="H766">
        <v>1190</v>
      </c>
      <c r="I766" t="s">
        <v>24</v>
      </c>
      <c r="J766" t="s">
        <v>25</v>
      </c>
      <c r="K766">
        <v>0</v>
      </c>
      <c r="L766">
        <v>0</v>
      </c>
      <c r="M766" t="s">
        <v>25</v>
      </c>
      <c r="N766" t="s">
        <v>25</v>
      </c>
      <c r="O766" t="s">
        <v>26</v>
      </c>
      <c r="P766" t="s">
        <v>25</v>
      </c>
      <c r="Q766" t="s">
        <v>27</v>
      </c>
      <c r="R766" t="s">
        <v>28</v>
      </c>
      <c r="S766" t="s">
        <v>51</v>
      </c>
      <c r="T766" t="s">
        <v>656</v>
      </c>
    </row>
    <row r="767" spans="1:20">
      <c r="A767">
        <v>769</v>
      </c>
      <c r="B767" t="s">
        <v>902</v>
      </c>
      <c r="C767" t="s">
        <v>21</v>
      </c>
      <c r="D767" t="s">
        <v>22</v>
      </c>
      <c r="E767" t="s">
        <v>23</v>
      </c>
      <c r="F767">
        <v>1300</v>
      </c>
      <c r="G767">
        <v>19</v>
      </c>
      <c r="H767">
        <v>1547</v>
      </c>
      <c r="I767" t="s">
        <v>24</v>
      </c>
      <c r="J767" t="s">
        <v>25</v>
      </c>
      <c r="K767">
        <v>0</v>
      </c>
      <c r="L767">
        <v>0</v>
      </c>
      <c r="M767" t="s">
        <v>25</v>
      </c>
      <c r="N767" t="s">
        <v>25</v>
      </c>
      <c r="O767" t="s">
        <v>26</v>
      </c>
      <c r="P767" t="s">
        <v>25</v>
      </c>
      <c r="Q767" t="s">
        <v>27</v>
      </c>
      <c r="R767" t="s">
        <v>28</v>
      </c>
      <c r="S767" t="s">
        <v>51</v>
      </c>
      <c r="T767" t="s">
        <v>285</v>
      </c>
    </row>
    <row r="768" spans="1:20">
      <c r="A768">
        <v>770</v>
      </c>
      <c r="B768" t="s">
        <v>903</v>
      </c>
      <c r="C768" t="s">
        <v>21</v>
      </c>
      <c r="D768" t="s">
        <v>22</v>
      </c>
      <c r="E768" t="s">
        <v>23</v>
      </c>
      <c r="F768">
        <v>1500</v>
      </c>
      <c r="G768">
        <v>19</v>
      </c>
      <c r="H768">
        <v>1785</v>
      </c>
      <c r="I768" t="s">
        <v>24</v>
      </c>
      <c r="J768" t="s">
        <v>25</v>
      </c>
      <c r="K768">
        <v>0</v>
      </c>
      <c r="L768">
        <v>0</v>
      </c>
      <c r="M768" t="s">
        <v>25</v>
      </c>
      <c r="N768" t="s">
        <v>25</v>
      </c>
      <c r="O768" t="s">
        <v>26</v>
      </c>
      <c r="P768" t="s">
        <v>25</v>
      </c>
      <c r="Q768" t="s">
        <v>27</v>
      </c>
      <c r="R768" t="s">
        <v>28</v>
      </c>
      <c r="S768" t="s">
        <v>51</v>
      </c>
      <c r="T768" t="s">
        <v>285</v>
      </c>
    </row>
    <row r="769" spans="1:20">
      <c r="A769">
        <v>771</v>
      </c>
      <c r="B769" t="s">
        <v>904</v>
      </c>
      <c r="C769" t="s">
        <v>21</v>
      </c>
      <c r="D769" t="s">
        <v>22</v>
      </c>
      <c r="E769" t="s">
        <v>23</v>
      </c>
      <c r="F769">
        <v>1300</v>
      </c>
      <c r="G769">
        <v>19</v>
      </c>
      <c r="H769">
        <v>154700</v>
      </c>
      <c r="I769" t="s">
        <v>24</v>
      </c>
      <c r="J769" t="s">
        <v>25</v>
      </c>
      <c r="K769">
        <v>0</v>
      </c>
      <c r="L769">
        <v>0</v>
      </c>
      <c r="M769" t="s">
        <v>25</v>
      </c>
      <c r="N769" t="s">
        <v>25</v>
      </c>
      <c r="O769" t="s">
        <v>26</v>
      </c>
      <c r="P769" t="s">
        <v>25</v>
      </c>
      <c r="Q769" t="s">
        <v>27</v>
      </c>
      <c r="R769" t="s">
        <v>28</v>
      </c>
    </row>
    <row r="770" spans="1:20">
      <c r="A770">
        <v>772</v>
      </c>
      <c r="B770" t="s">
        <v>905</v>
      </c>
      <c r="C770" t="s">
        <v>21</v>
      </c>
      <c r="D770" t="s">
        <v>22</v>
      </c>
      <c r="E770" t="s">
        <v>23</v>
      </c>
      <c r="F770">
        <v>73750</v>
      </c>
      <c r="G770">
        <v>19</v>
      </c>
      <c r="H770">
        <v>87762.5</v>
      </c>
      <c r="I770" t="s">
        <v>24</v>
      </c>
      <c r="J770" t="s">
        <v>25</v>
      </c>
      <c r="K770">
        <v>0</v>
      </c>
      <c r="L770">
        <v>0</v>
      </c>
      <c r="M770" t="s">
        <v>25</v>
      </c>
      <c r="N770" t="s">
        <v>25</v>
      </c>
      <c r="O770" t="s">
        <v>26</v>
      </c>
      <c r="P770" t="s">
        <v>25</v>
      </c>
      <c r="Q770" t="s">
        <v>27</v>
      </c>
      <c r="R770" t="s">
        <v>28</v>
      </c>
      <c r="S770" t="s">
        <v>48</v>
      </c>
      <c r="T770" t="s">
        <v>643</v>
      </c>
    </row>
    <row r="771" spans="1:20">
      <c r="A771">
        <v>773</v>
      </c>
      <c r="B771" t="s">
        <v>906</v>
      </c>
      <c r="C771" t="s">
        <v>21</v>
      </c>
      <c r="D771" t="s">
        <v>22</v>
      </c>
      <c r="E771" t="s">
        <v>23</v>
      </c>
      <c r="F771">
        <v>101300</v>
      </c>
      <c r="G771">
        <v>19</v>
      </c>
      <c r="H771">
        <v>120547</v>
      </c>
      <c r="I771" t="s">
        <v>24</v>
      </c>
      <c r="J771" t="s">
        <v>25</v>
      </c>
      <c r="K771">
        <v>0</v>
      </c>
      <c r="L771">
        <v>0</v>
      </c>
      <c r="M771" t="s">
        <v>25</v>
      </c>
      <c r="N771" t="s">
        <v>25</v>
      </c>
      <c r="O771" t="s">
        <v>26</v>
      </c>
      <c r="P771" t="s">
        <v>25</v>
      </c>
      <c r="Q771" t="s">
        <v>27</v>
      </c>
      <c r="R771" t="s">
        <v>28</v>
      </c>
      <c r="S771" t="s">
        <v>48</v>
      </c>
      <c r="T771" t="s">
        <v>643</v>
      </c>
    </row>
    <row r="772" spans="1:20">
      <c r="A772">
        <v>774</v>
      </c>
      <c r="B772" t="s">
        <v>907</v>
      </c>
      <c r="C772" t="s">
        <v>21</v>
      </c>
      <c r="D772" t="s">
        <v>22</v>
      </c>
      <c r="E772" t="s">
        <v>23</v>
      </c>
      <c r="F772">
        <v>169900</v>
      </c>
      <c r="G772">
        <v>19</v>
      </c>
      <c r="H772">
        <v>202181</v>
      </c>
      <c r="I772" t="s">
        <v>24</v>
      </c>
      <c r="J772" t="s">
        <v>25</v>
      </c>
      <c r="K772">
        <v>0</v>
      </c>
      <c r="L772">
        <v>0</v>
      </c>
      <c r="M772" t="s">
        <v>25</v>
      </c>
      <c r="N772" t="s">
        <v>25</v>
      </c>
      <c r="O772" t="s">
        <v>26</v>
      </c>
      <c r="P772" t="s">
        <v>25</v>
      </c>
      <c r="Q772" t="s">
        <v>27</v>
      </c>
      <c r="R772" t="s">
        <v>28</v>
      </c>
      <c r="S772" t="s">
        <v>48</v>
      </c>
      <c r="T772" t="s">
        <v>643</v>
      </c>
    </row>
    <row r="773" spans="1:20">
      <c r="A773">
        <v>775</v>
      </c>
      <c r="B773" t="s">
        <v>908</v>
      </c>
      <c r="C773" t="s">
        <v>21</v>
      </c>
      <c r="D773" t="s">
        <v>22</v>
      </c>
      <c r="E773" t="s">
        <v>23</v>
      </c>
      <c r="F773">
        <v>96000</v>
      </c>
      <c r="G773">
        <v>19</v>
      </c>
      <c r="H773">
        <v>11424000</v>
      </c>
      <c r="I773" t="s">
        <v>24</v>
      </c>
      <c r="J773" t="s">
        <v>25</v>
      </c>
      <c r="K773">
        <v>0</v>
      </c>
      <c r="L773">
        <v>0</v>
      </c>
      <c r="M773" t="s">
        <v>25</v>
      </c>
      <c r="N773" t="s">
        <v>25</v>
      </c>
      <c r="O773" t="s">
        <v>26</v>
      </c>
      <c r="P773" t="s">
        <v>25</v>
      </c>
      <c r="Q773" t="s">
        <v>27</v>
      </c>
      <c r="R773" t="s">
        <v>28</v>
      </c>
    </row>
    <row r="774" spans="1:20">
      <c r="A774">
        <v>776</v>
      </c>
      <c r="B774" t="s">
        <v>909</v>
      </c>
      <c r="C774" t="s">
        <v>21</v>
      </c>
      <c r="D774" t="s">
        <v>22</v>
      </c>
      <c r="E774" t="s">
        <v>23</v>
      </c>
      <c r="F774">
        <v>101300</v>
      </c>
      <c r="G774">
        <v>19</v>
      </c>
      <c r="H774">
        <v>12054700</v>
      </c>
      <c r="I774" t="s">
        <v>24</v>
      </c>
      <c r="J774" t="s">
        <v>25</v>
      </c>
      <c r="K774">
        <v>0</v>
      </c>
      <c r="L774">
        <v>0</v>
      </c>
      <c r="M774" t="s">
        <v>25</v>
      </c>
      <c r="N774" t="s">
        <v>25</v>
      </c>
      <c r="O774" t="s">
        <v>26</v>
      </c>
      <c r="P774" t="s">
        <v>25</v>
      </c>
      <c r="Q774" t="s">
        <v>27</v>
      </c>
      <c r="R774" t="s">
        <v>28</v>
      </c>
    </row>
    <row r="775" spans="1:20">
      <c r="A775">
        <v>777</v>
      </c>
      <c r="B775" t="s">
        <v>910</v>
      </c>
      <c r="C775" t="s">
        <v>21</v>
      </c>
      <c r="D775" t="s">
        <v>22</v>
      </c>
      <c r="E775" t="s">
        <v>23</v>
      </c>
      <c r="F775">
        <v>47000</v>
      </c>
      <c r="G775">
        <v>19</v>
      </c>
      <c r="H775">
        <v>5593000</v>
      </c>
      <c r="I775" t="s">
        <v>24</v>
      </c>
      <c r="J775" t="s">
        <v>25</v>
      </c>
      <c r="K775">
        <v>0</v>
      </c>
      <c r="L775">
        <v>0</v>
      </c>
      <c r="M775" t="s">
        <v>25</v>
      </c>
      <c r="N775" t="s">
        <v>25</v>
      </c>
      <c r="O775" t="s">
        <v>26</v>
      </c>
      <c r="P775" t="s">
        <v>25</v>
      </c>
      <c r="Q775" t="s">
        <v>27</v>
      </c>
      <c r="R775" t="s">
        <v>28</v>
      </c>
    </row>
    <row r="776" spans="1:20">
      <c r="A776">
        <v>778</v>
      </c>
      <c r="B776" t="s">
        <v>911</v>
      </c>
      <c r="C776" t="s">
        <v>21</v>
      </c>
      <c r="D776" t="s">
        <v>22</v>
      </c>
      <c r="E776" t="s">
        <v>23</v>
      </c>
      <c r="F776">
        <v>129500</v>
      </c>
      <c r="G776">
        <v>19</v>
      </c>
      <c r="H776">
        <v>154105</v>
      </c>
      <c r="I776" t="s">
        <v>24</v>
      </c>
      <c r="J776" t="s">
        <v>25</v>
      </c>
      <c r="K776">
        <v>0</v>
      </c>
      <c r="L776">
        <v>0</v>
      </c>
      <c r="M776" t="s">
        <v>25</v>
      </c>
      <c r="N776" t="s">
        <v>25</v>
      </c>
      <c r="O776" t="s">
        <v>26</v>
      </c>
      <c r="P776" t="s">
        <v>25</v>
      </c>
      <c r="Q776" t="s">
        <v>27</v>
      </c>
      <c r="R776" t="s">
        <v>28</v>
      </c>
      <c r="S776" t="s">
        <v>51</v>
      </c>
      <c r="T776" t="s">
        <v>656</v>
      </c>
    </row>
    <row r="777" spans="1:20">
      <c r="A777">
        <v>779</v>
      </c>
      <c r="B777" t="s">
        <v>912</v>
      </c>
      <c r="C777" t="s">
        <v>21</v>
      </c>
      <c r="D777" t="s">
        <v>22</v>
      </c>
      <c r="E777" t="s">
        <v>23</v>
      </c>
      <c r="F777">
        <v>75043</v>
      </c>
      <c r="G777">
        <v>19</v>
      </c>
      <c r="H777">
        <v>89301.17</v>
      </c>
      <c r="I777" t="s">
        <v>24</v>
      </c>
      <c r="J777" t="s">
        <v>25</v>
      </c>
      <c r="K777">
        <v>0</v>
      </c>
      <c r="L777">
        <v>0</v>
      </c>
      <c r="M777" t="s">
        <v>25</v>
      </c>
      <c r="N777" t="s">
        <v>25</v>
      </c>
      <c r="O777" t="s">
        <v>26</v>
      </c>
      <c r="P777" t="s">
        <v>25</v>
      </c>
      <c r="Q777" t="s">
        <v>27</v>
      </c>
      <c r="R777" t="s">
        <v>28</v>
      </c>
      <c r="S777" t="s">
        <v>51</v>
      </c>
      <c r="T777" t="s">
        <v>305</v>
      </c>
    </row>
    <row r="778" spans="1:20">
      <c r="A778">
        <v>780</v>
      </c>
      <c r="B778" t="s">
        <v>913</v>
      </c>
      <c r="C778" t="s">
        <v>21</v>
      </c>
      <c r="D778" t="s">
        <v>22</v>
      </c>
      <c r="E778" t="s">
        <v>23</v>
      </c>
      <c r="F778">
        <v>6300</v>
      </c>
      <c r="G778">
        <v>19</v>
      </c>
      <c r="H778">
        <v>7497</v>
      </c>
      <c r="I778" t="s">
        <v>24</v>
      </c>
      <c r="J778" t="s">
        <v>25</v>
      </c>
      <c r="K778">
        <v>0</v>
      </c>
      <c r="L778">
        <v>0</v>
      </c>
      <c r="M778" t="s">
        <v>25</v>
      </c>
      <c r="N778" t="s">
        <v>25</v>
      </c>
      <c r="O778" t="s">
        <v>26</v>
      </c>
      <c r="P778" t="s">
        <v>25</v>
      </c>
      <c r="Q778" t="s">
        <v>27</v>
      </c>
      <c r="R778" t="s">
        <v>28</v>
      </c>
      <c r="S778" t="s">
        <v>51</v>
      </c>
      <c r="T778" t="s">
        <v>305</v>
      </c>
    </row>
    <row r="779" spans="1:20">
      <c r="A779">
        <v>781</v>
      </c>
      <c r="B779" t="s">
        <v>914</v>
      </c>
      <c r="C779" t="s">
        <v>21</v>
      </c>
      <c r="D779" t="s">
        <v>22</v>
      </c>
      <c r="E779" t="s">
        <v>23</v>
      </c>
      <c r="F779">
        <v>38750</v>
      </c>
      <c r="G779">
        <v>19</v>
      </c>
      <c r="H779">
        <v>46112.5</v>
      </c>
      <c r="I779" t="s">
        <v>24</v>
      </c>
      <c r="J779" t="s">
        <v>25</v>
      </c>
      <c r="K779">
        <v>0</v>
      </c>
      <c r="L779">
        <v>0</v>
      </c>
      <c r="M779" t="s">
        <v>25</v>
      </c>
      <c r="N779" t="s">
        <v>25</v>
      </c>
      <c r="O779" t="s">
        <v>26</v>
      </c>
      <c r="P779" t="s">
        <v>25</v>
      </c>
      <c r="Q779" t="s">
        <v>27</v>
      </c>
      <c r="R779" t="s">
        <v>28</v>
      </c>
      <c r="S779" t="s">
        <v>51</v>
      </c>
      <c r="T779" t="s">
        <v>656</v>
      </c>
    </row>
    <row r="780" spans="1:20">
      <c r="A780">
        <v>782</v>
      </c>
      <c r="B780" t="s">
        <v>915</v>
      </c>
      <c r="C780" t="s">
        <v>21</v>
      </c>
      <c r="D780" t="s">
        <v>22</v>
      </c>
      <c r="E780" t="s">
        <v>23</v>
      </c>
      <c r="F780">
        <v>6500</v>
      </c>
      <c r="G780">
        <v>19</v>
      </c>
      <c r="H780">
        <v>7735</v>
      </c>
      <c r="I780" t="s">
        <v>24</v>
      </c>
      <c r="J780" t="s">
        <v>25</v>
      </c>
      <c r="K780">
        <v>0</v>
      </c>
      <c r="L780">
        <v>0</v>
      </c>
      <c r="M780" t="s">
        <v>25</v>
      </c>
      <c r="N780" t="s">
        <v>25</v>
      </c>
      <c r="O780" t="s">
        <v>26</v>
      </c>
      <c r="P780" t="s">
        <v>25</v>
      </c>
      <c r="Q780" t="s">
        <v>27</v>
      </c>
      <c r="R780" t="s">
        <v>28</v>
      </c>
      <c r="S780" t="s">
        <v>51</v>
      </c>
      <c r="T780" t="s">
        <v>656</v>
      </c>
    </row>
    <row r="781" spans="1:20">
      <c r="A781">
        <v>783</v>
      </c>
      <c r="B781" t="s">
        <v>916</v>
      </c>
      <c r="C781" t="s">
        <v>21</v>
      </c>
      <c r="D781" t="s">
        <v>22</v>
      </c>
      <c r="E781" t="s">
        <v>23</v>
      </c>
      <c r="F781">
        <v>13800</v>
      </c>
      <c r="G781">
        <v>19</v>
      </c>
      <c r="H781">
        <v>16422</v>
      </c>
      <c r="I781" t="s">
        <v>24</v>
      </c>
      <c r="J781" t="s">
        <v>25</v>
      </c>
      <c r="K781">
        <v>0</v>
      </c>
      <c r="L781">
        <v>0</v>
      </c>
      <c r="M781" t="s">
        <v>25</v>
      </c>
      <c r="N781" t="s">
        <v>25</v>
      </c>
      <c r="O781" t="s">
        <v>26</v>
      </c>
      <c r="P781" t="s">
        <v>25</v>
      </c>
      <c r="Q781" t="s">
        <v>27</v>
      </c>
      <c r="R781" t="s">
        <v>28</v>
      </c>
      <c r="S781" t="s">
        <v>51</v>
      </c>
      <c r="T781" t="s">
        <v>305</v>
      </c>
    </row>
    <row r="782" spans="1:20">
      <c r="A782">
        <v>784</v>
      </c>
      <c r="B782" t="s">
        <v>917</v>
      </c>
      <c r="C782" t="s">
        <v>21</v>
      </c>
      <c r="D782" t="s">
        <v>22</v>
      </c>
      <c r="E782" t="s">
        <v>23</v>
      </c>
      <c r="F782">
        <v>9436</v>
      </c>
      <c r="G782">
        <v>19</v>
      </c>
      <c r="H782">
        <v>11228.84</v>
      </c>
      <c r="I782" t="s">
        <v>24</v>
      </c>
      <c r="J782" t="s">
        <v>25</v>
      </c>
      <c r="K782">
        <v>0</v>
      </c>
      <c r="L782">
        <v>0</v>
      </c>
      <c r="M782" t="s">
        <v>25</v>
      </c>
      <c r="N782" t="s">
        <v>25</v>
      </c>
      <c r="O782" t="s">
        <v>26</v>
      </c>
      <c r="P782" t="s">
        <v>25</v>
      </c>
      <c r="Q782" t="s">
        <v>27</v>
      </c>
      <c r="R782" t="s">
        <v>28</v>
      </c>
      <c r="S782" t="s">
        <v>51</v>
      </c>
      <c r="T782" t="s">
        <v>54</v>
      </c>
    </row>
    <row r="783" spans="1:20">
      <c r="A783">
        <v>785</v>
      </c>
      <c r="B783" t="s">
        <v>918</v>
      </c>
      <c r="C783" t="s">
        <v>21</v>
      </c>
      <c r="D783" t="s">
        <v>22</v>
      </c>
      <c r="E783" t="s">
        <v>23</v>
      </c>
      <c r="F783">
        <v>12850</v>
      </c>
      <c r="G783">
        <v>19</v>
      </c>
      <c r="H783">
        <v>15291.5</v>
      </c>
      <c r="I783" t="s">
        <v>24</v>
      </c>
      <c r="J783" t="s">
        <v>25</v>
      </c>
      <c r="K783">
        <v>0</v>
      </c>
      <c r="L783">
        <v>0</v>
      </c>
      <c r="M783" t="s">
        <v>25</v>
      </c>
      <c r="N783" t="s">
        <v>25</v>
      </c>
      <c r="O783" t="s">
        <v>26</v>
      </c>
      <c r="P783" t="s">
        <v>25</v>
      </c>
      <c r="Q783" t="s">
        <v>27</v>
      </c>
      <c r="R783" t="s">
        <v>28</v>
      </c>
      <c r="S783" t="s">
        <v>51</v>
      </c>
      <c r="T783" t="s">
        <v>54</v>
      </c>
    </row>
    <row r="784" spans="1:20">
      <c r="A784">
        <v>786</v>
      </c>
      <c r="B784" t="s">
        <v>919</v>
      </c>
      <c r="C784" t="s">
        <v>21</v>
      </c>
      <c r="D784" t="s">
        <v>848</v>
      </c>
      <c r="E784" t="s">
        <v>23</v>
      </c>
      <c r="F784">
        <v>9250</v>
      </c>
      <c r="G784">
        <v>19</v>
      </c>
      <c r="H784">
        <v>11007.5</v>
      </c>
      <c r="I784" t="s">
        <v>24</v>
      </c>
      <c r="J784" t="s">
        <v>25</v>
      </c>
      <c r="K784">
        <v>0</v>
      </c>
      <c r="L784">
        <v>0</v>
      </c>
      <c r="M784" t="s">
        <v>25</v>
      </c>
      <c r="N784" t="s">
        <v>25</v>
      </c>
      <c r="O784" t="s">
        <v>26</v>
      </c>
      <c r="P784" t="s">
        <v>25</v>
      </c>
      <c r="Q784" t="s">
        <v>27</v>
      </c>
      <c r="R784" t="s">
        <v>28</v>
      </c>
      <c r="S784" t="s">
        <v>48</v>
      </c>
      <c r="T784" t="s">
        <v>643</v>
      </c>
    </row>
    <row r="785" spans="1:20">
      <c r="A785">
        <v>787</v>
      </c>
      <c r="B785" t="s">
        <v>920</v>
      </c>
      <c r="C785" t="s">
        <v>21</v>
      </c>
      <c r="D785" t="s">
        <v>22</v>
      </c>
      <c r="E785" t="s">
        <v>23</v>
      </c>
      <c r="F785">
        <v>4500</v>
      </c>
      <c r="G785">
        <v>19</v>
      </c>
      <c r="H785">
        <v>5355</v>
      </c>
      <c r="I785" t="s">
        <v>24</v>
      </c>
      <c r="J785" t="s">
        <v>25</v>
      </c>
      <c r="K785">
        <v>0</v>
      </c>
      <c r="L785">
        <v>0</v>
      </c>
      <c r="M785" t="s">
        <v>25</v>
      </c>
      <c r="N785" t="s">
        <v>25</v>
      </c>
      <c r="O785" t="s">
        <v>26</v>
      </c>
      <c r="P785" t="s">
        <v>25</v>
      </c>
      <c r="Q785" t="s">
        <v>27</v>
      </c>
      <c r="R785" t="s">
        <v>28</v>
      </c>
      <c r="S785" t="s">
        <v>48</v>
      </c>
      <c r="T785" t="s">
        <v>643</v>
      </c>
    </row>
    <row r="786" spans="1:20">
      <c r="A786">
        <v>788</v>
      </c>
      <c r="B786" t="s">
        <v>921</v>
      </c>
      <c r="C786" t="s">
        <v>21</v>
      </c>
      <c r="D786" t="s">
        <v>22</v>
      </c>
      <c r="E786" t="s">
        <v>23</v>
      </c>
      <c r="F786">
        <v>18000</v>
      </c>
      <c r="G786">
        <v>19</v>
      </c>
      <c r="H786">
        <v>21420</v>
      </c>
      <c r="I786" t="s">
        <v>24</v>
      </c>
      <c r="J786" t="s">
        <v>25</v>
      </c>
      <c r="K786">
        <v>0</v>
      </c>
      <c r="L786">
        <v>0</v>
      </c>
      <c r="M786" t="s">
        <v>25</v>
      </c>
      <c r="N786" t="s">
        <v>25</v>
      </c>
      <c r="O786" t="s">
        <v>26</v>
      </c>
      <c r="P786" t="s">
        <v>25</v>
      </c>
      <c r="Q786" t="s">
        <v>27</v>
      </c>
      <c r="R786" t="s">
        <v>28</v>
      </c>
      <c r="S786" t="s">
        <v>48</v>
      </c>
      <c r="T786" t="s">
        <v>643</v>
      </c>
    </row>
    <row r="787" spans="1:20">
      <c r="A787">
        <v>789</v>
      </c>
      <c r="B787" t="s">
        <v>922</v>
      </c>
      <c r="C787" t="s">
        <v>21</v>
      </c>
      <c r="D787" t="s">
        <v>22</v>
      </c>
      <c r="E787" t="s">
        <v>23</v>
      </c>
      <c r="F787">
        <v>13650</v>
      </c>
      <c r="G787">
        <v>19</v>
      </c>
      <c r="H787">
        <v>16243.5</v>
      </c>
      <c r="I787" t="s">
        <v>24</v>
      </c>
      <c r="J787" t="s">
        <v>25</v>
      </c>
      <c r="K787">
        <v>0</v>
      </c>
      <c r="L787">
        <v>0</v>
      </c>
      <c r="M787" t="s">
        <v>25</v>
      </c>
      <c r="N787" t="s">
        <v>25</v>
      </c>
      <c r="O787" t="s">
        <v>26</v>
      </c>
      <c r="P787" t="s">
        <v>25</v>
      </c>
      <c r="Q787" t="s">
        <v>27</v>
      </c>
      <c r="R787" t="s">
        <v>28</v>
      </c>
      <c r="S787" t="s">
        <v>48</v>
      </c>
      <c r="T787" t="s">
        <v>49</v>
      </c>
    </row>
    <row r="788" spans="1:20">
      <c r="A788">
        <v>790</v>
      </c>
      <c r="B788" t="s">
        <v>923</v>
      </c>
      <c r="C788" t="s">
        <v>21</v>
      </c>
      <c r="D788" t="s">
        <v>22</v>
      </c>
      <c r="E788" t="s">
        <v>23</v>
      </c>
      <c r="F788">
        <v>190500</v>
      </c>
      <c r="G788">
        <v>19</v>
      </c>
      <c r="H788">
        <v>226695</v>
      </c>
      <c r="I788" t="s">
        <v>24</v>
      </c>
      <c r="J788" t="s">
        <v>25</v>
      </c>
      <c r="K788">
        <v>0</v>
      </c>
      <c r="L788">
        <v>0</v>
      </c>
      <c r="M788" t="s">
        <v>25</v>
      </c>
      <c r="N788" t="s">
        <v>25</v>
      </c>
      <c r="O788" t="s">
        <v>26</v>
      </c>
      <c r="P788" t="s">
        <v>25</v>
      </c>
      <c r="Q788" t="s">
        <v>27</v>
      </c>
      <c r="R788" t="s">
        <v>28</v>
      </c>
      <c r="S788" t="s">
        <v>48</v>
      </c>
      <c r="T788" t="s">
        <v>49</v>
      </c>
    </row>
    <row r="789" spans="1:20">
      <c r="A789">
        <v>791</v>
      </c>
      <c r="B789" t="s">
        <v>924</v>
      </c>
      <c r="C789" t="s">
        <v>21</v>
      </c>
      <c r="D789" t="s">
        <v>22</v>
      </c>
      <c r="E789" t="s">
        <v>23</v>
      </c>
      <c r="F789">
        <v>258000</v>
      </c>
      <c r="G789">
        <v>19</v>
      </c>
      <c r="H789">
        <v>307020</v>
      </c>
      <c r="I789" t="s">
        <v>24</v>
      </c>
      <c r="J789" t="s">
        <v>25</v>
      </c>
      <c r="K789">
        <v>0</v>
      </c>
      <c r="L789">
        <v>0</v>
      </c>
      <c r="M789" t="s">
        <v>25</v>
      </c>
      <c r="N789" t="s">
        <v>25</v>
      </c>
      <c r="O789" t="s">
        <v>26</v>
      </c>
      <c r="P789" t="s">
        <v>25</v>
      </c>
      <c r="Q789" t="s">
        <v>27</v>
      </c>
      <c r="R789" t="s">
        <v>28</v>
      </c>
      <c r="S789" t="s">
        <v>48</v>
      </c>
      <c r="T789" t="s">
        <v>49</v>
      </c>
    </row>
    <row r="790" spans="1:20">
      <c r="A790">
        <v>792</v>
      </c>
      <c r="B790" t="s">
        <v>925</v>
      </c>
      <c r="C790" t="s">
        <v>21</v>
      </c>
      <c r="D790" t="s">
        <v>22</v>
      </c>
      <c r="E790" t="s">
        <v>23</v>
      </c>
      <c r="F790">
        <v>44380</v>
      </c>
      <c r="G790">
        <v>19</v>
      </c>
      <c r="H790">
        <v>52812.2</v>
      </c>
      <c r="I790" t="s">
        <v>24</v>
      </c>
      <c r="J790" t="s">
        <v>25</v>
      </c>
      <c r="K790">
        <v>0</v>
      </c>
      <c r="L790">
        <v>0</v>
      </c>
      <c r="M790" t="s">
        <v>25</v>
      </c>
      <c r="N790" t="s">
        <v>25</v>
      </c>
      <c r="O790" t="s">
        <v>26</v>
      </c>
      <c r="P790" t="s">
        <v>25</v>
      </c>
      <c r="Q790" t="s">
        <v>27</v>
      </c>
      <c r="R790" t="s">
        <v>28</v>
      </c>
      <c r="S790" t="s">
        <v>48</v>
      </c>
      <c r="T790" t="s">
        <v>49</v>
      </c>
    </row>
    <row r="791" spans="1:20">
      <c r="A791">
        <v>793</v>
      </c>
      <c r="B791" t="s">
        <v>926</v>
      </c>
      <c r="C791" t="s">
        <v>21</v>
      </c>
      <c r="D791" t="s">
        <v>22</v>
      </c>
      <c r="E791" t="s">
        <v>23</v>
      </c>
      <c r="F791">
        <v>76800</v>
      </c>
      <c r="G791">
        <v>19</v>
      </c>
      <c r="H791">
        <v>91392</v>
      </c>
      <c r="I791" t="s">
        <v>24</v>
      </c>
      <c r="J791" t="s">
        <v>25</v>
      </c>
      <c r="K791">
        <v>0</v>
      </c>
      <c r="L791">
        <v>0</v>
      </c>
      <c r="M791" t="s">
        <v>25</v>
      </c>
      <c r="N791" t="s">
        <v>25</v>
      </c>
      <c r="O791" t="s">
        <v>26</v>
      </c>
      <c r="P791" t="s">
        <v>25</v>
      </c>
      <c r="Q791" t="s">
        <v>27</v>
      </c>
      <c r="R791" t="s">
        <v>28</v>
      </c>
      <c r="S791" t="s">
        <v>48</v>
      </c>
      <c r="T791" t="s">
        <v>49</v>
      </c>
    </row>
    <row r="792" spans="1:20">
      <c r="A792">
        <v>794</v>
      </c>
      <c r="B792" t="s">
        <v>927</v>
      </c>
      <c r="C792" t="s">
        <v>21</v>
      </c>
      <c r="D792" t="s">
        <v>22</v>
      </c>
      <c r="E792" t="s">
        <v>23</v>
      </c>
      <c r="F792">
        <v>86600</v>
      </c>
      <c r="G792">
        <v>19</v>
      </c>
      <c r="H792">
        <v>103054</v>
      </c>
      <c r="I792" t="s">
        <v>24</v>
      </c>
      <c r="J792" t="s">
        <v>25</v>
      </c>
      <c r="K792">
        <v>0</v>
      </c>
      <c r="L792">
        <v>0</v>
      </c>
      <c r="M792" t="s">
        <v>25</v>
      </c>
      <c r="N792" t="s">
        <v>25</v>
      </c>
      <c r="O792" t="s">
        <v>26</v>
      </c>
      <c r="P792" t="s">
        <v>25</v>
      </c>
      <c r="Q792" t="s">
        <v>27</v>
      </c>
      <c r="R792" t="s">
        <v>28</v>
      </c>
      <c r="S792" t="s">
        <v>48</v>
      </c>
      <c r="T792" t="s">
        <v>49</v>
      </c>
    </row>
    <row r="793" spans="1:20">
      <c r="A793">
        <v>795</v>
      </c>
      <c r="B793" t="s">
        <v>928</v>
      </c>
      <c r="C793" t="s">
        <v>21</v>
      </c>
      <c r="D793" t="s">
        <v>22</v>
      </c>
      <c r="E793" t="s">
        <v>23</v>
      </c>
      <c r="F793">
        <v>23000</v>
      </c>
      <c r="G793">
        <v>19</v>
      </c>
      <c r="H793">
        <v>27370</v>
      </c>
      <c r="I793" t="s">
        <v>24</v>
      </c>
      <c r="J793" t="s">
        <v>25</v>
      </c>
      <c r="K793">
        <v>0</v>
      </c>
      <c r="L793">
        <v>0</v>
      </c>
      <c r="M793" t="s">
        <v>25</v>
      </c>
      <c r="N793" t="s">
        <v>25</v>
      </c>
      <c r="O793" t="s">
        <v>26</v>
      </c>
      <c r="P793" t="s">
        <v>25</v>
      </c>
      <c r="Q793" t="s">
        <v>27</v>
      </c>
      <c r="R793" t="s">
        <v>28</v>
      </c>
      <c r="S793" t="s">
        <v>51</v>
      </c>
      <c r="T793" t="s">
        <v>656</v>
      </c>
    </row>
    <row r="794" spans="1:20">
      <c r="A794">
        <v>796</v>
      </c>
      <c r="B794" t="s">
        <v>929</v>
      </c>
      <c r="C794" t="s">
        <v>21</v>
      </c>
      <c r="D794" t="s">
        <v>22</v>
      </c>
      <c r="E794" t="s">
        <v>23</v>
      </c>
      <c r="F794">
        <v>28000</v>
      </c>
      <c r="G794">
        <v>19</v>
      </c>
      <c r="H794">
        <v>33320</v>
      </c>
      <c r="I794" t="s">
        <v>24</v>
      </c>
      <c r="J794" t="s">
        <v>25</v>
      </c>
      <c r="K794">
        <v>0</v>
      </c>
      <c r="L794">
        <v>0</v>
      </c>
      <c r="M794" t="s">
        <v>25</v>
      </c>
      <c r="N794" t="s">
        <v>25</v>
      </c>
      <c r="O794" t="s">
        <v>26</v>
      </c>
      <c r="P794" t="s">
        <v>25</v>
      </c>
      <c r="Q794" t="s">
        <v>27</v>
      </c>
      <c r="R794" t="s">
        <v>28</v>
      </c>
      <c r="S794" t="s">
        <v>51</v>
      </c>
      <c r="T794" t="s">
        <v>656</v>
      </c>
    </row>
    <row r="795" spans="1:20">
      <c r="A795">
        <v>797</v>
      </c>
      <c r="B795" t="s">
        <v>930</v>
      </c>
      <c r="C795" t="s">
        <v>21</v>
      </c>
      <c r="D795" t="s">
        <v>22</v>
      </c>
      <c r="E795" t="s">
        <v>23</v>
      </c>
      <c r="F795">
        <v>23000</v>
      </c>
      <c r="G795">
        <v>19</v>
      </c>
      <c r="H795">
        <v>2737000</v>
      </c>
      <c r="I795" t="s">
        <v>24</v>
      </c>
      <c r="J795" t="s">
        <v>25</v>
      </c>
      <c r="K795">
        <v>0</v>
      </c>
      <c r="L795">
        <v>0</v>
      </c>
      <c r="M795" t="s">
        <v>25</v>
      </c>
      <c r="N795" t="s">
        <v>25</v>
      </c>
      <c r="O795" t="s">
        <v>26</v>
      </c>
      <c r="P795" t="s">
        <v>25</v>
      </c>
      <c r="Q795" t="s">
        <v>27</v>
      </c>
      <c r="R795" t="s">
        <v>28</v>
      </c>
    </row>
    <row r="796" spans="1:20">
      <c r="A796">
        <v>798</v>
      </c>
      <c r="B796" t="s">
        <v>931</v>
      </c>
      <c r="C796" t="s">
        <v>21</v>
      </c>
      <c r="D796" t="s">
        <v>22</v>
      </c>
      <c r="E796" t="s">
        <v>23</v>
      </c>
      <c r="F796">
        <v>14500</v>
      </c>
      <c r="G796">
        <v>19</v>
      </c>
      <c r="H796">
        <v>1725500</v>
      </c>
      <c r="I796" t="s">
        <v>24</v>
      </c>
      <c r="J796" t="s">
        <v>25</v>
      </c>
      <c r="K796">
        <v>0</v>
      </c>
      <c r="L796">
        <v>0</v>
      </c>
      <c r="M796" t="s">
        <v>25</v>
      </c>
      <c r="N796" t="s">
        <v>25</v>
      </c>
      <c r="O796" t="s">
        <v>26</v>
      </c>
      <c r="P796" t="s">
        <v>25</v>
      </c>
      <c r="Q796" t="s">
        <v>27</v>
      </c>
      <c r="R796" t="s">
        <v>28</v>
      </c>
    </row>
    <row r="797" spans="1:20">
      <c r="A797">
        <v>799</v>
      </c>
      <c r="B797" t="s">
        <v>932</v>
      </c>
      <c r="C797" t="s">
        <v>21</v>
      </c>
      <c r="D797" t="s">
        <v>22</v>
      </c>
      <c r="E797" t="s">
        <v>23</v>
      </c>
      <c r="F797">
        <v>26500</v>
      </c>
      <c r="G797">
        <v>19</v>
      </c>
      <c r="H797">
        <v>31535</v>
      </c>
      <c r="I797" t="s">
        <v>24</v>
      </c>
      <c r="J797" t="s">
        <v>25</v>
      </c>
      <c r="K797">
        <v>0</v>
      </c>
      <c r="L797">
        <v>0</v>
      </c>
      <c r="M797" t="s">
        <v>25</v>
      </c>
      <c r="N797" t="s">
        <v>25</v>
      </c>
      <c r="O797" t="s">
        <v>26</v>
      </c>
      <c r="P797" t="s">
        <v>25</v>
      </c>
      <c r="Q797" t="s">
        <v>27</v>
      </c>
      <c r="R797" t="s">
        <v>28</v>
      </c>
      <c r="S797" t="s">
        <v>51</v>
      </c>
      <c r="T797" t="s">
        <v>91</v>
      </c>
    </row>
    <row r="798" spans="1:20">
      <c r="A798">
        <v>800</v>
      </c>
      <c r="B798" t="s">
        <v>933</v>
      </c>
      <c r="C798" t="s">
        <v>21</v>
      </c>
      <c r="D798" t="s">
        <v>32</v>
      </c>
      <c r="E798" t="s">
        <v>23</v>
      </c>
      <c r="F798">
        <v>1100</v>
      </c>
      <c r="G798">
        <v>19</v>
      </c>
      <c r="H798">
        <v>1309</v>
      </c>
      <c r="I798" t="s">
        <v>24</v>
      </c>
      <c r="J798" t="s">
        <v>25</v>
      </c>
      <c r="K798">
        <v>0</v>
      </c>
      <c r="L798">
        <v>0</v>
      </c>
      <c r="M798" t="s">
        <v>25</v>
      </c>
      <c r="N798" t="s">
        <v>25</v>
      </c>
      <c r="O798" t="s">
        <v>26</v>
      </c>
      <c r="P798" t="s">
        <v>25</v>
      </c>
      <c r="Q798" t="s">
        <v>27</v>
      </c>
      <c r="R798" t="s">
        <v>28</v>
      </c>
      <c r="S798" t="s">
        <v>51</v>
      </c>
      <c r="T798" t="s">
        <v>305</v>
      </c>
    </row>
    <row r="799" spans="1:20">
      <c r="A799">
        <v>801</v>
      </c>
      <c r="B799" t="s">
        <v>934</v>
      </c>
      <c r="C799" t="s">
        <v>21</v>
      </c>
      <c r="D799" t="s">
        <v>22</v>
      </c>
      <c r="E799" t="s">
        <v>23</v>
      </c>
      <c r="F799">
        <v>438000</v>
      </c>
      <c r="G799">
        <v>19</v>
      </c>
      <c r="H799">
        <v>521220</v>
      </c>
      <c r="I799" t="s">
        <v>24</v>
      </c>
      <c r="J799" t="s">
        <v>25</v>
      </c>
      <c r="K799">
        <v>0</v>
      </c>
      <c r="L799">
        <v>0</v>
      </c>
      <c r="M799" t="s">
        <v>25</v>
      </c>
      <c r="N799" t="s">
        <v>25</v>
      </c>
      <c r="O799" t="s">
        <v>26</v>
      </c>
      <c r="P799" t="s">
        <v>25</v>
      </c>
      <c r="Q799" t="s">
        <v>27</v>
      </c>
      <c r="R799" t="s">
        <v>28</v>
      </c>
      <c r="S799" t="s">
        <v>51</v>
      </c>
      <c r="T799" t="s">
        <v>935</v>
      </c>
    </row>
    <row r="800" spans="1:20">
      <c r="A800">
        <v>802</v>
      </c>
      <c r="B800" t="s">
        <v>936</v>
      </c>
      <c r="C800" t="s">
        <v>21</v>
      </c>
      <c r="D800" t="s">
        <v>22</v>
      </c>
      <c r="E800" t="s">
        <v>23</v>
      </c>
      <c r="F800">
        <v>0</v>
      </c>
      <c r="G800">
        <v>19</v>
      </c>
      <c r="H800">
        <v>0</v>
      </c>
      <c r="I800" t="s">
        <v>24</v>
      </c>
      <c r="J800" t="s">
        <v>25</v>
      </c>
      <c r="K800">
        <v>0</v>
      </c>
      <c r="L800">
        <v>0</v>
      </c>
      <c r="M800" t="s">
        <v>25</v>
      </c>
      <c r="N800" t="s">
        <v>25</v>
      </c>
      <c r="O800" t="s">
        <v>26</v>
      </c>
      <c r="P800" t="s">
        <v>25</v>
      </c>
      <c r="Q800" t="s">
        <v>27</v>
      </c>
      <c r="R800" t="s">
        <v>28</v>
      </c>
      <c r="S800" t="s">
        <v>51</v>
      </c>
      <c r="T800" t="s">
        <v>792</v>
      </c>
    </row>
    <row r="801" spans="1:20">
      <c r="A801">
        <v>803</v>
      </c>
      <c r="B801" t="s">
        <v>937</v>
      </c>
      <c r="C801" t="s">
        <v>21</v>
      </c>
      <c r="D801" t="s">
        <v>22</v>
      </c>
      <c r="E801" t="s">
        <v>23</v>
      </c>
      <c r="F801">
        <v>3500</v>
      </c>
      <c r="G801">
        <v>19</v>
      </c>
      <c r="H801">
        <v>4165</v>
      </c>
      <c r="I801" t="s">
        <v>24</v>
      </c>
      <c r="J801" t="s">
        <v>25</v>
      </c>
      <c r="K801">
        <v>0</v>
      </c>
      <c r="L801">
        <v>0</v>
      </c>
      <c r="M801" t="s">
        <v>25</v>
      </c>
      <c r="N801" t="s">
        <v>25</v>
      </c>
      <c r="O801" t="s">
        <v>26</v>
      </c>
      <c r="P801" t="s">
        <v>25</v>
      </c>
      <c r="Q801" t="s">
        <v>27</v>
      </c>
      <c r="R801" t="s">
        <v>28</v>
      </c>
      <c r="S801" t="s">
        <v>51</v>
      </c>
      <c r="T801" t="s">
        <v>792</v>
      </c>
    </row>
    <row r="802" spans="1:20">
      <c r="A802">
        <v>804</v>
      </c>
      <c r="B802" t="s">
        <v>938</v>
      </c>
      <c r="C802" t="s">
        <v>21</v>
      </c>
      <c r="D802" t="s">
        <v>22</v>
      </c>
      <c r="E802" t="s">
        <v>23</v>
      </c>
      <c r="F802">
        <v>4850</v>
      </c>
      <c r="G802">
        <v>19</v>
      </c>
      <c r="H802">
        <v>5771.5</v>
      </c>
      <c r="I802" t="s">
        <v>24</v>
      </c>
      <c r="J802" t="s">
        <v>25</v>
      </c>
      <c r="K802">
        <v>0</v>
      </c>
      <c r="L802">
        <v>0</v>
      </c>
      <c r="M802" t="s">
        <v>25</v>
      </c>
      <c r="N802" t="s">
        <v>25</v>
      </c>
      <c r="O802" t="s">
        <v>26</v>
      </c>
      <c r="P802" t="s">
        <v>25</v>
      </c>
      <c r="Q802" t="s">
        <v>27</v>
      </c>
      <c r="R802" t="s">
        <v>28</v>
      </c>
      <c r="S802" t="s">
        <v>51</v>
      </c>
      <c r="T802" t="s">
        <v>792</v>
      </c>
    </row>
    <row r="803" spans="1:20">
      <c r="A803">
        <v>805</v>
      </c>
      <c r="B803" t="s">
        <v>939</v>
      </c>
      <c r="C803" t="s">
        <v>21</v>
      </c>
      <c r="D803" t="s">
        <v>22</v>
      </c>
      <c r="E803" t="s">
        <v>23</v>
      </c>
      <c r="F803">
        <v>4800</v>
      </c>
      <c r="G803">
        <v>19</v>
      </c>
      <c r="H803">
        <v>571200</v>
      </c>
      <c r="I803" t="s">
        <v>24</v>
      </c>
      <c r="J803" t="s">
        <v>25</v>
      </c>
      <c r="K803">
        <v>0</v>
      </c>
      <c r="L803">
        <v>0</v>
      </c>
      <c r="M803" t="s">
        <v>25</v>
      </c>
      <c r="N803" t="s">
        <v>25</v>
      </c>
      <c r="O803" t="s">
        <v>26</v>
      </c>
      <c r="P803" t="s">
        <v>25</v>
      </c>
      <c r="Q803" t="s">
        <v>27</v>
      </c>
      <c r="R803" t="s">
        <v>28</v>
      </c>
    </row>
    <row r="804" spans="1:20">
      <c r="A804">
        <v>806</v>
      </c>
      <c r="B804" t="s">
        <v>940</v>
      </c>
      <c r="C804" t="s">
        <v>21</v>
      </c>
      <c r="D804" t="s">
        <v>22</v>
      </c>
      <c r="E804" t="s">
        <v>23</v>
      </c>
      <c r="F804">
        <v>6500</v>
      </c>
      <c r="G804">
        <v>19</v>
      </c>
      <c r="H804">
        <v>773500</v>
      </c>
      <c r="I804" t="s">
        <v>24</v>
      </c>
      <c r="J804" t="s">
        <v>25</v>
      </c>
      <c r="K804">
        <v>0</v>
      </c>
      <c r="L804">
        <v>0</v>
      </c>
      <c r="M804" t="s">
        <v>25</v>
      </c>
      <c r="N804" t="s">
        <v>25</v>
      </c>
      <c r="O804" t="s">
        <v>26</v>
      </c>
      <c r="P804" t="s">
        <v>25</v>
      </c>
      <c r="Q804" t="s">
        <v>27</v>
      </c>
      <c r="R804" t="s">
        <v>28</v>
      </c>
    </row>
    <row r="805" spans="1:20">
      <c r="A805">
        <v>807</v>
      </c>
      <c r="B805" t="s">
        <v>941</v>
      </c>
      <c r="C805" t="s">
        <v>21</v>
      </c>
      <c r="D805" t="s">
        <v>22</v>
      </c>
      <c r="E805" t="s">
        <v>23</v>
      </c>
      <c r="F805">
        <v>0</v>
      </c>
      <c r="G805">
        <v>19</v>
      </c>
      <c r="H805">
        <v>0</v>
      </c>
      <c r="I805" t="s">
        <v>24</v>
      </c>
      <c r="J805" t="s">
        <v>25</v>
      </c>
      <c r="K805">
        <v>0</v>
      </c>
      <c r="L805">
        <v>0</v>
      </c>
      <c r="M805" t="s">
        <v>25</v>
      </c>
      <c r="N805" t="s">
        <v>25</v>
      </c>
      <c r="O805" t="s">
        <v>26</v>
      </c>
      <c r="P805" t="s">
        <v>25</v>
      </c>
      <c r="Q805" t="s">
        <v>27</v>
      </c>
      <c r="R805" t="s">
        <v>28</v>
      </c>
    </row>
    <row r="806" spans="1:20">
      <c r="A806">
        <v>808</v>
      </c>
      <c r="B806" t="s">
        <v>942</v>
      </c>
      <c r="C806" t="s">
        <v>21</v>
      </c>
      <c r="D806" t="s">
        <v>22</v>
      </c>
      <c r="E806" t="s">
        <v>23</v>
      </c>
      <c r="F806">
        <v>6800</v>
      </c>
      <c r="G806">
        <v>19</v>
      </c>
      <c r="H806">
        <v>8092</v>
      </c>
      <c r="I806" t="s">
        <v>24</v>
      </c>
      <c r="J806" t="s">
        <v>25</v>
      </c>
      <c r="K806">
        <v>0</v>
      </c>
      <c r="L806">
        <v>0</v>
      </c>
      <c r="M806" t="s">
        <v>25</v>
      </c>
      <c r="N806" t="s">
        <v>25</v>
      </c>
      <c r="O806" t="s">
        <v>26</v>
      </c>
      <c r="P806" t="s">
        <v>25</v>
      </c>
      <c r="Q806" t="s">
        <v>27</v>
      </c>
      <c r="R806" t="s">
        <v>28</v>
      </c>
      <c r="S806" t="s">
        <v>51</v>
      </c>
      <c r="T806" t="s">
        <v>788</v>
      </c>
    </row>
    <row r="807" spans="1:20">
      <c r="A807">
        <v>809</v>
      </c>
      <c r="B807" t="s">
        <v>943</v>
      </c>
      <c r="C807" t="s">
        <v>21</v>
      </c>
      <c r="D807" t="s">
        <v>22</v>
      </c>
      <c r="E807" t="s">
        <v>23</v>
      </c>
      <c r="F807">
        <v>143000</v>
      </c>
      <c r="G807">
        <v>19</v>
      </c>
      <c r="H807">
        <v>170170</v>
      </c>
      <c r="I807" t="s">
        <v>24</v>
      </c>
      <c r="J807" t="s">
        <v>25</v>
      </c>
      <c r="K807">
        <v>0</v>
      </c>
      <c r="L807">
        <v>0</v>
      </c>
      <c r="M807" t="s">
        <v>25</v>
      </c>
      <c r="N807" t="s">
        <v>25</v>
      </c>
      <c r="O807" t="s">
        <v>26</v>
      </c>
      <c r="P807" t="s">
        <v>25</v>
      </c>
      <c r="Q807" t="s">
        <v>27</v>
      </c>
      <c r="R807" t="s">
        <v>28</v>
      </c>
      <c r="S807" t="s">
        <v>48</v>
      </c>
      <c r="T807" t="s">
        <v>49</v>
      </c>
    </row>
    <row r="808" spans="1:20">
      <c r="A808">
        <v>810</v>
      </c>
      <c r="B808" t="s">
        <v>944</v>
      </c>
      <c r="C808" t="s">
        <v>21</v>
      </c>
      <c r="D808" t="s">
        <v>22</v>
      </c>
      <c r="E808" t="s">
        <v>23</v>
      </c>
      <c r="F808">
        <v>21600</v>
      </c>
      <c r="G808">
        <v>19</v>
      </c>
      <c r="H808">
        <v>25704</v>
      </c>
      <c r="I808" t="s">
        <v>24</v>
      </c>
      <c r="J808" t="s">
        <v>25</v>
      </c>
      <c r="K808">
        <v>0</v>
      </c>
      <c r="L808">
        <v>0</v>
      </c>
      <c r="M808" t="s">
        <v>25</v>
      </c>
      <c r="N808" t="s">
        <v>25</v>
      </c>
      <c r="O808" t="s">
        <v>26</v>
      </c>
      <c r="P808" t="s">
        <v>25</v>
      </c>
      <c r="Q808" t="s">
        <v>27</v>
      </c>
      <c r="R808" t="s">
        <v>28</v>
      </c>
      <c r="S808" t="s">
        <v>51</v>
      </c>
      <c r="T808" t="s">
        <v>656</v>
      </c>
    </row>
    <row r="809" spans="1:20">
      <c r="A809">
        <v>811</v>
      </c>
      <c r="B809" t="s">
        <v>945</v>
      </c>
      <c r="C809" t="s">
        <v>21</v>
      </c>
      <c r="D809" t="s">
        <v>22</v>
      </c>
      <c r="E809" t="s">
        <v>23</v>
      </c>
      <c r="F809">
        <v>14500</v>
      </c>
      <c r="G809">
        <v>19</v>
      </c>
      <c r="H809">
        <v>1725500</v>
      </c>
      <c r="I809" t="s">
        <v>24</v>
      </c>
      <c r="J809" t="s">
        <v>25</v>
      </c>
      <c r="K809">
        <v>0</v>
      </c>
      <c r="L809">
        <v>0</v>
      </c>
      <c r="M809" t="s">
        <v>25</v>
      </c>
      <c r="N809" t="s">
        <v>25</v>
      </c>
      <c r="O809" t="s">
        <v>26</v>
      </c>
      <c r="P809" t="s">
        <v>25</v>
      </c>
      <c r="Q809" t="s">
        <v>27</v>
      </c>
      <c r="R809" t="s">
        <v>28</v>
      </c>
    </row>
    <row r="810" spans="1:20">
      <c r="A810">
        <v>812</v>
      </c>
      <c r="B810" t="s">
        <v>946</v>
      </c>
      <c r="C810" t="s">
        <v>21</v>
      </c>
      <c r="D810" t="s">
        <v>22</v>
      </c>
      <c r="E810" t="s">
        <v>23</v>
      </c>
      <c r="F810">
        <v>43000</v>
      </c>
      <c r="G810">
        <v>19</v>
      </c>
      <c r="H810">
        <v>5117000</v>
      </c>
      <c r="I810" t="s">
        <v>24</v>
      </c>
      <c r="J810" t="s">
        <v>25</v>
      </c>
      <c r="K810">
        <v>0</v>
      </c>
      <c r="L810">
        <v>0</v>
      </c>
      <c r="M810" t="s">
        <v>25</v>
      </c>
      <c r="N810" t="s">
        <v>25</v>
      </c>
      <c r="O810" t="s">
        <v>26</v>
      </c>
      <c r="P810" t="s">
        <v>25</v>
      </c>
      <c r="Q810" t="s">
        <v>27</v>
      </c>
      <c r="R810" t="s">
        <v>28</v>
      </c>
    </row>
    <row r="811" spans="1:20">
      <c r="A811">
        <v>813</v>
      </c>
      <c r="B811" t="s">
        <v>947</v>
      </c>
      <c r="C811" t="s">
        <v>21</v>
      </c>
      <c r="D811" t="s">
        <v>22</v>
      </c>
      <c r="E811" t="s">
        <v>23</v>
      </c>
      <c r="F811">
        <v>36250</v>
      </c>
      <c r="G811">
        <v>19</v>
      </c>
      <c r="H811">
        <v>43137.5</v>
      </c>
      <c r="I811" t="s">
        <v>24</v>
      </c>
      <c r="J811" t="s">
        <v>25</v>
      </c>
      <c r="K811">
        <v>0</v>
      </c>
      <c r="L811">
        <v>0</v>
      </c>
      <c r="M811" t="s">
        <v>25</v>
      </c>
      <c r="N811" t="s">
        <v>25</v>
      </c>
      <c r="O811" t="s">
        <v>26</v>
      </c>
      <c r="P811" t="s">
        <v>25</v>
      </c>
      <c r="Q811" t="s">
        <v>27</v>
      </c>
      <c r="R811" t="s">
        <v>28</v>
      </c>
      <c r="S811" t="s">
        <v>48</v>
      </c>
      <c r="T811" t="s">
        <v>643</v>
      </c>
    </row>
    <row r="812" spans="1:20">
      <c r="A812">
        <v>814</v>
      </c>
      <c r="B812" t="s">
        <v>948</v>
      </c>
      <c r="C812" t="s">
        <v>21</v>
      </c>
      <c r="D812" t="s">
        <v>22</v>
      </c>
      <c r="E812" t="s">
        <v>23</v>
      </c>
      <c r="F812">
        <v>125000</v>
      </c>
      <c r="G812">
        <v>19</v>
      </c>
      <c r="H812">
        <v>148750</v>
      </c>
      <c r="I812" t="s">
        <v>24</v>
      </c>
      <c r="J812" t="s">
        <v>25</v>
      </c>
      <c r="K812">
        <v>0</v>
      </c>
      <c r="L812">
        <v>0</v>
      </c>
      <c r="M812" t="s">
        <v>25</v>
      </c>
      <c r="N812" t="s">
        <v>25</v>
      </c>
      <c r="O812" t="s">
        <v>26</v>
      </c>
      <c r="P812" t="s">
        <v>25</v>
      </c>
      <c r="Q812" t="s">
        <v>27</v>
      </c>
      <c r="R812" t="s">
        <v>28</v>
      </c>
      <c r="S812" t="s">
        <v>51</v>
      </c>
      <c r="T812" t="s">
        <v>792</v>
      </c>
    </row>
    <row r="813" spans="1:20">
      <c r="A813">
        <v>815</v>
      </c>
      <c r="B813" t="s">
        <v>949</v>
      </c>
      <c r="C813" t="s">
        <v>21</v>
      </c>
      <c r="D813" t="s">
        <v>22</v>
      </c>
      <c r="E813" t="s">
        <v>23</v>
      </c>
      <c r="F813">
        <v>801720</v>
      </c>
      <c r="G813">
        <v>19</v>
      </c>
      <c r="H813">
        <v>954046.8</v>
      </c>
      <c r="I813" t="s">
        <v>24</v>
      </c>
      <c r="J813" t="s">
        <v>25</v>
      </c>
      <c r="K813">
        <v>0</v>
      </c>
      <c r="L813">
        <v>0</v>
      </c>
      <c r="M813" t="s">
        <v>25</v>
      </c>
      <c r="N813" t="s">
        <v>25</v>
      </c>
      <c r="O813" t="s">
        <v>26</v>
      </c>
      <c r="P813" t="s">
        <v>25</v>
      </c>
      <c r="Q813" t="s">
        <v>27</v>
      </c>
      <c r="R813" t="s">
        <v>28</v>
      </c>
      <c r="S813" t="s">
        <v>51</v>
      </c>
      <c r="T813" t="s">
        <v>792</v>
      </c>
    </row>
    <row r="814" spans="1:20">
      <c r="A814">
        <v>816</v>
      </c>
      <c r="B814" t="s">
        <v>950</v>
      </c>
      <c r="C814" t="s">
        <v>21</v>
      </c>
      <c r="D814" t="s">
        <v>22</v>
      </c>
      <c r="E814" t="s">
        <v>23</v>
      </c>
      <c r="F814">
        <v>129300</v>
      </c>
      <c r="G814">
        <v>19</v>
      </c>
      <c r="H814">
        <v>153867</v>
      </c>
      <c r="I814" t="s">
        <v>24</v>
      </c>
      <c r="J814" t="s">
        <v>25</v>
      </c>
      <c r="K814">
        <v>0</v>
      </c>
      <c r="L814">
        <v>0</v>
      </c>
      <c r="M814" t="s">
        <v>25</v>
      </c>
      <c r="N814" t="s">
        <v>25</v>
      </c>
      <c r="O814" t="s">
        <v>26</v>
      </c>
      <c r="P814" t="s">
        <v>25</v>
      </c>
      <c r="Q814" t="s">
        <v>27</v>
      </c>
      <c r="R814" t="s">
        <v>28</v>
      </c>
      <c r="S814" t="s">
        <v>48</v>
      </c>
      <c r="T814" t="s">
        <v>643</v>
      </c>
    </row>
    <row r="815" spans="1:20">
      <c r="A815">
        <v>817</v>
      </c>
      <c r="B815" t="s">
        <v>951</v>
      </c>
      <c r="C815" t="s">
        <v>21</v>
      </c>
      <c r="D815" t="s">
        <v>302</v>
      </c>
      <c r="E815" t="s">
        <v>23</v>
      </c>
      <c r="F815">
        <v>299500</v>
      </c>
      <c r="G815">
        <v>19</v>
      </c>
      <c r="H815">
        <v>356405</v>
      </c>
      <c r="I815" t="s">
        <v>24</v>
      </c>
      <c r="J815" t="s">
        <v>25</v>
      </c>
      <c r="K815">
        <v>0</v>
      </c>
      <c r="L815">
        <v>0</v>
      </c>
      <c r="M815" t="s">
        <v>25</v>
      </c>
      <c r="N815" t="s">
        <v>25</v>
      </c>
      <c r="O815" t="s">
        <v>26</v>
      </c>
      <c r="P815" t="s">
        <v>25</v>
      </c>
      <c r="Q815" t="s">
        <v>27</v>
      </c>
      <c r="R815" t="s">
        <v>28</v>
      </c>
      <c r="S815" t="s">
        <v>48</v>
      </c>
      <c r="T815" t="s">
        <v>643</v>
      </c>
    </row>
    <row r="816" spans="1:20">
      <c r="A816">
        <v>818</v>
      </c>
      <c r="B816" t="s">
        <v>952</v>
      </c>
      <c r="C816" t="s">
        <v>21</v>
      </c>
      <c r="D816" t="s">
        <v>302</v>
      </c>
      <c r="E816" t="s">
        <v>23</v>
      </c>
      <c r="F816">
        <v>480000</v>
      </c>
      <c r="G816">
        <v>19</v>
      </c>
      <c r="H816">
        <v>571200</v>
      </c>
      <c r="I816" t="s">
        <v>24</v>
      </c>
      <c r="J816" t="s">
        <v>25</v>
      </c>
      <c r="K816">
        <v>0</v>
      </c>
      <c r="L816">
        <v>0</v>
      </c>
      <c r="M816" t="s">
        <v>25</v>
      </c>
      <c r="N816" t="s">
        <v>25</v>
      </c>
      <c r="O816" t="s">
        <v>26</v>
      </c>
      <c r="P816" t="s">
        <v>25</v>
      </c>
      <c r="Q816" t="s">
        <v>27</v>
      </c>
      <c r="R816" t="s">
        <v>28</v>
      </c>
      <c r="S816" t="s">
        <v>48</v>
      </c>
      <c r="T816" t="s">
        <v>643</v>
      </c>
    </row>
    <row r="817" spans="1:20">
      <c r="A817">
        <v>819</v>
      </c>
      <c r="B817" t="s">
        <v>953</v>
      </c>
      <c r="C817" t="s">
        <v>21</v>
      </c>
      <c r="D817" t="s">
        <v>22</v>
      </c>
      <c r="E817" t="s">
        <v>23</v>
      </c>
      <c r="F817">
        <v>178000</v>
      </c>
      <c r="G817">
        <v>19</v>
      </c>
      <c r="H817">
        <v>211820</v>
      </c>
      <c r="I817" t="s">
        <v>24</v>
      </c>
      <c r="J817" t="s">
        <v>25</v>
      </c>
      <c r="K817">
        <v>0</v>
      </c>
      <c r="L817">
        <v>0</v>
      </c>
      <c r="M817" t="s">
        <v>25</v>
      </c>
      <c r="N817" t="s">
        <v>25</v>
      </c>
      <c r="O817" t="s">
        <v>26</v>
      </c>
      <c r="P817" t="s">
        <v>25</v>
      </c>
      <c r="Q817" t="s">
        <v>27</v>
      </c>
      <c r="R817" t="s">
        <v>28</v>
      </c>
      <c r="S817" t="s">
        <v>48</v>
      </c>
      <c r="T817" t="s">
        <v>643</v>
      </c>
    </row>
    <row r="818" spans="1:20">
      <c r="A818">
        <v>820</v>
      </c>
      <c r="B818" t="s">
        <v>954</v>
      </c>
      <c r="C818" t="s">
        <v>21</v>
      </c>
      <c r="D818" t="s">
        <v>22</v>
      </c>
      <c r="E818" t="s">
        <v>23</v>
      </c>
      <c r="F818">
        <v>156000</v>
      </c>
      <c r="G818">
        <v>19</v>
      </c>
      <c r="H818">
        <v>185640</v>
      </c>
      <c r="I818" t="s">
        <v>24</v>
      </c>
      <c r="J818" t="s">
        <v>25</v>
      </c>
      <c r="K818">
        <v>0</v>
      </c>
      <c r="L818">
        <v>0</v>
      </c>
      <c r="M818" t="s">
        <v>25</v>
      </c>
      <c r="N818" t="s">
        <v>25</v>
      </c>
      <c r="O818" t="s">
        <v>26</v>
      </c>
      <c r="P818" t="s">
        <v>25</v>
      </c>
      <c r="Q818" t="s">
        <v>27</v>
      </c>
      <c r="R818" t="s">
        <v>28</v>
      </c>
      <c r="S818" t="s">
        <v>48</v>
      </c>
      <c r="T818" t="s">
        <v>643</v>
      </c>
    </row>
    <row r="819" spans="1:20">
      <c r="A819">
        <v>821</v>
      </c>
      <c r="B819" t="s">
        <v>955</v>
      </c>
      <c r="C819" t="s">
        <v>21</v>
      </c>
      <c r="D819" t="s">
        <v>22</v>
      </c>
      <c r="E819" t="s">
        <v>23</v>
      </c>
      <c r="F819">
        <v>165000</v>
      </c>
      <c r="G819">
        <v>19</v>
      </c>
      <c r="H819">
        <v>196350</v>
      </c>
      <c r="I819" t="s">
        <v>24</v>
      </c>
      <c r="J819" t="s">
        <v>25</v>
      </c>
      <c r="K819">
        <v>0</v>
      </c>
      <c r="L819">
        <v>0</v>
      </c>
      <c r="M819" t="s">
        <v>25</v>
      </c>
      <c r="N819" t="s">
        <v>25</v>
      </c>
      <c r="O819" t="s">
        <v>26</v>
      </c>
      <c r="P819" t="s">
        <v>25</v>
      </c>
      <c r="Q819" t="s">
        <v>27</v>
      </c>
      <c r="R819" t="s">
        <v>28</v>
      </c>
      <c r="S819" t="s">
        <v>48</v>
      </c>
      <c r="T819" t="s">
        <v>643</v>
      </c>
    </row>
    <row r="820" spans="1:20">
      <c r="A820">
        <v>822</v>
      </c>
      <c r="B820" t="s">
        <v>956</v>
      </c>
      <c r="C820" t="s">
        <v>21</v>
      </c>
      <c r="D820" t="s">
        <v>22</v>
      </c>
      <c r="E820" t="s">
        <v>23</v>
      </c>
      <c r="F820">
        <v>11400</v>
      </c>
      <c r="G820">
        <v>19</v>
      </c>
      <c r="H820">
        <v>13566</v>
      </c>
      <c r="I820" t="s">
        <v>24</v>
      </c>
      <c r="J820" t="s">
        <v>25</v>
      </c>
      <c r="K820">
        <v>0</v>
      </c>
      <c r="L820">
        <v>0</v>
      </c>
      <c r="M820" t="s">
        <v>25</v>
      </c>
      <c r="N820" t="s">
        <v>25</v>
      </c>
      <c r="O820" t="s">
        <v>26</v>
      </c>
      <c r="P820" t="s">
        <v>25</v>
      </c>
      <c r="Q820" t="s">
        <v>27</v>
      </c>
      <c r="R820" t="s">
        <v>28</v>
      </c>
      <c r="S820" t="s">
        <v>48</v>
      </c>
      <c r="T820" t="s">
        <v>643</v>
      </c>
    </row>
    <row r="821" spans="1:20">
      <c r="A821">
        <v>823</v>
      </c>
      <c r="B821" t="s">
        <v>957</v>
      </c>
      <c r="C821" t="s">
        <v>21</v>
      </c>
      <c r="D821" t="s">
        <v>22</v>
      </c>
      <c r="E821" t="s">
        <v>23</v>
      </c>
      <c r="F821">
        <v>4200</v>
      </c>
      <c r="G821">
        <v>19</v>
      </c>
      <c r="H821">
        <v>4998</v>
      </c>
      <c r="I821" t="s">
        <v>24</v>
      </c>
      <c r="J821" t="s">
        <v>25</v>
      </c>
      <c r="K821">
        <v>0</v>
      </c>
      <c r="L821">
        <v>0</v>
      </c>
      <c r="M821" t="s">
        <v>25</v>
      </c>
      <c r="N821" t="s">
        <v>25</v>
      </c>
      <c r="O821" t="s">
        <v>26</v>
      </c>
      <c r="P821" t="s">
        <v>25</v>
      </c>
      <c r="Q821" t="s">
        <v>27</v>
      </c>
      <c r="R821" t="s">
        <v>28</v>
      </c>
      <c r="S821" t="s">
        <v>48</v>
      </c>
      <c r="T821" t="s">
        <v>49</v>
      </c>
    </row>
    <row r="822" spans="1:20">
      <c r="A822">
        <v>824</v>
      </c>
      <c r="B822" t="s">
        <v>958</v>
      </c>
      <c r="C822" t="s">
        <v>21</v>
      </c>
      <c r="D822" t="s">
        <v>22</v>
      </c>
      <c r="E822" t="s">
        <v>23</v>
      </c>
      <c r="F822">
        <v>7800</v>
      </c>
      <c r="G822">
        <v>19</v>
      </c>
      <c r="H822">
        <v>9282</v>
      </c>
      <c r="I822" t="s">
        <v>24</v>
      </c>
      <c r="J822" t="s">
        <v>25</v>
      </c>
      <c r="K822">
        <v>0</v>
      </c>
      <c r="L822">
        <v>0</v>
      </c>
      <c r="M822" t="s">
        <v>25</v>
      </c>
      <c r="N822" t="s">
        <v>25</v>
      </c>
      <c r="O822" t="s">
        <v>26</v>
      </c>
      <c r="P822" t="s">
        <v>25</v>
      </c>
      <c r="Q822" t="s">
        <v>27</v>
      </c>
      <c r="R822" t="s">
        <v>28</v>
      </c>
      <c r="S822" t="s">
        <v>48</v>
      </c>
      <c r="T822" t="s">
        <v>49</v>
      </c>
    </row>
    <row r="823" spans="1:20">
      <c r="A823">
        <v>825</v>
      </c>
      <c r="B823" t="s">
        <v>959</v>
      </c>
      <c r="C823" t="s">
        <v>21</v>
      </c>
      <c r="D823" t="s">
        <v>22</v>
      </c>
      <c r="E823" t="s">
        <v>23</v>
      </c>
      <c r="F823">
        <v>2400</v>
      </c>
      <c r="G823">
        <v>19</v>
      </c>
      <c r="H823">
        <v>2856</v>
      </c>
      <c r="I823" t="s">
        <v>24</v>
      </c>
      <c r="J823" t="s">
        <v>25</v>
      </c>
      <c r="K823">
        <v>0</v>
      </c>
      <c r="L823">
        <v>0</v>
      </c>
      <c r="M823" t="s">
        <v>25</v>
      </c>
      <c r="N823" t="s">
        <v>25</v>
      </c>
      <c r="O823" t="s">
        <v>26</v>
      </c>
      <c r="P823" t="s">
        <v>25</v>
      </c>
      <c r="Q823" t="s">
        <v>27</v>
      </c>
      <c r="R823" t="s">
        <v>28</v>
      </c>
      <c r="S823" t="s">
        <v>51</v>
      </c>
      <c r="T823" t="s">
        <v>656</v>
      </c>
    </row>
    <row r="824" spans="1:20">
      <c r="A824">
        <v>826</v>
      </c>
      <c r="B824" t="s">
        <v>960</v>
      </c>
      <c r="C824" t="s">
        <v>21</v>
      </c>
      <c r="D824" t="s">
        <v>22</v>
      </c>
      <c r="E824" t="s">
        <v>23</v>
      </c>
      <c r="F824">
        <v>122800</v>
      </c>
      <c r="G824">
        <v>19</v>
      </c>
      <c r="H824">
        <v>146132</v>
      </c>
      <c r="I824" t="s">
        <v>24</v>
      </c>
      <c r="J824" t="s">
        <v>25</v>
      </c>
      <c r="K824">
        <v>0</v>
      </c>
      <c r="L824">
        <v>0</v>
      </c>
      <c r="M824" t="s">
        <v>25</v>
      </c>
      <c r="N824" t="s">
        <v>25</v>
      </c>
      <c r="O824" t="s">
        <v>26</v>
      </c>
      <c r="P824" t="s">
        <v>25</v>
      </c>
      <c r="Q824" t="s">
        <v>27</v>
      </c>
      <c r="R824" t="s">
        <v>28</v>
      </c>
      <c r="S824" t="s">
        <v>51</v>
      </c>
      <c r="T824" t="s">
        <v>656</v>
      </c>
    </row>
    <row r="825" spans="1:20">
      <c r="A825">
        <v>827</v>
      </c>
      <c r="B825" t="s">
        <v>961</v>
      </c>
      <c r="C825" t="s">
        <v>21</v>
      </c>
      <c r="D825" t="s">
        <v>22</v>
      </c>
      <c r="E825" t="s">
        <v>23</v>
      </c>
      <c r="F825">
        <v>669750</v>
      </c>
      <c r="G825">
        <v>19</v>
      </c>
      <c r="H825">
        <v>797002.5</v>
      </c>
      <c r="I825" t="s">
        <v>24</v>
      </c>
      <c r="J825" t="s">
        <v>25</v>
      </c>
      <c r="K825">
        <v>0</v>
      </c>
      <c r="L825">
        <v>0</v>
      </c>
      <c r="M825" t="s">
        <v>25</v>
      </c>
      <c r="N825" t="s">
        <v>25</v>
      </c>
      <c r="O825" t="s">
        <v>26</v>
      </c>
      <c r="P825" t="s">
        <v>25</v>
      </c>
      <c r="Q825" t="s">
        <v>27</v>
      </c>
      <c r="R825" t="s">
        <v>28</v>
      </c>
      <c r="S825" t="s">
        <v>48</v>
      </c>
      <c r="T825" t="s">
        <v>643</v>
      </c>
    </row>
    <row r="826" spans="1:20">
      <c r="A826">
        <v>828</v>
      </c>
      <c r="B826" t="s">
        <v>962</v>
      </c>
      <c r="C826" t="s">
        <v>21</v>
      </c>
      <c r="D826" t="s">
        <v>22</v>
      </c>
      <c r="E826" t="s">
        <v>23</v>
      </c>
      <c r="F826">
        <v>122800</v>
      </c>
      <c r="G826">
        <v>19</v>
      </c>
      <c r="H826">
        <v>14613200</v>
      </c>
      <c r="I826" t="s">
        <v>24</v>
      </c>
      <c r="J826" t="s">
        <v>25</v>
      </c>
      <c r="K826">
        <v>0</v>
      </c>
      <c r="L826">
        <v>0</v>
      </c>
      <c r="M826" t="s">
        <v>25</v>
      </c>
      <c r="N826" t="s">
        <v>25</v>
      </c>
      <c r="O826" t="s">
        <v>26</v>
      </c>
      <c r="P826" t="s">
        <v>25</v>
      </c>
      <c r="Q826" t="s">
        <v>27</v>
      </c>
      <c r="R826" t="s">
        <v>28</v>
      </c>
      <c r="S826" t="s">
        <v>51</v>
      </c>
      <c r="T826" t="s">
        <v>656</v>
      </c>
    </row>
    <row r="827" spans="1:20">
      <c r="A827">
        <v>829</v>
      </c>
      <c r="B827" t="s">
        <v>963</v>
      </c>
      <c r="C827" t="s">
        <v>21</v>
      </c>
      <c r="D827" t="s">
        <v>22</v>
      </c>
      <c r="E827" t="s">
        <v>23</v>
      </c>
      <c r="F827">
        <v>427334</v>
      </c>
      <c r="G827">
        <v>19</v>
      </c>
      <c r="H827">
        <v>508527.46</v>
      </c>
      <c r="I827" t="s">
        <v>24</v>
      </c>
      <c r="J827" t="s">
        <v>25</v>
      </c>
      <c r="K827">
        <v>0</v>
      </c>
      <c r="L827">
        <v>0</v>
      </c>
      <c r="M827" t="s">
        <v>25</v>
      </c>
      <c r="N827" t="s">
        <v>25</v>
      </c>
      <c r="O827" t="s">
        <v>26</v>
      </c>
      <c r="P827" t="s">
        <v>25</v>
      </c>
      <c r="Q827" t="s">
        <v>27</v>
      </c>
      <c r="R827" t="s">
        <v>28</v>
      </c>
      <c r="S827" t="s">
        <v>48</v>
      </c>
      <c r="T827" t="s">
        <v>643</v>
      </c>
    </row>
    <row r="828" spans="1:20">
      <c r="A828">
        <v>830</v>
      </c>
      <c r="B828" t="s">
        <v>964</v>
      </c>
      <c r="C828" t="s">
        <v>21</v>
      </c>
      <c r="D828" t="s">
        <v>22</v>
      </c>
      <c r="E828" t="s">
        <v>23</v>
      </c>
      <c r="F828">
        <v>5200</v>
      </c>
      <c r="G828">
        <v>19</v>
      </c>
      <c r="H828">
        <v>6188</v>
      </c>
      <c r="I828" t="s">
        <v>24</v>
      </c>
      <c r="J828" t="s">
        <v>25</v>
      </c>
      <c r="K828">
        <v>0</v>
      </c>
      <c r="L828">
        <v>0</v>
      </c>
      <c r="M828" t="s">
        <v>25</v>
      </c>
      <c r="N828" t="s">
        <v>25</v>
      </c>
      <c r="O828" t="s">
        <v>26</v>
      </c>
      <c r="P828" t="s">
        <v>25</v>
      </c>
      <c r="Q828" t="s">
        <v>27</v>
      </c>
      <c r="R828" t="s">
        <v>28</v>
      </c>
      <c r="S828" t="s">
        <v>48</v>
      </c>
      <c r="T828" t="s">
        <v>49</v>
      </c>
    </row>
    <row r="829" spans="1:20">
      <c r="A829">
        <v>831</v>
      </c>
      <c r="B829" t="s">
        <v>965</v>
      </c>
      <c r="C829" t="s">
        <v>21</v>
      </c>
      <c r="D829" t="s">
        <v>22</v>
      </c>
      <c r="E829" t="s">
        <v>23</v>
      </c>
      <c r="F829">
        <v>8100</v>
      </c>
      <c r="G829">
        <v>19</v>
      </c>
      <c r="H829">
        <v>9639</v>
      </c>
      <c r="I829" t="s">
        <v>24</v>
      </c>
      <c r="J829" t="s">
        <v>25</v>
      </c>
      <c r="K829">
        <v>0</v>
      </c>
      <c r="L829">
        <v>0</v>
      </c>
      <c r="M829" t="s">
        <v>25</v>
      </c>
      <c r="N829" t="s">
        <v>25</v>
      </c>
      <c r="O829" t="s">
        <v>26</v>
      </c>
      <c r="P829" t="s">
        <v>25</v>
      </c>
      <c r="Q829" t="s">
        <v>27</v>
      </c>
      <c r="R829" t="s">
        <v>28</v>
      </c>
      <c r="S829" t="s">
        <v>48</v>
      </c>
      <c r="T829" t="s">
        <v>49</v>
      </c>
    </row>
    <row r="830" spans="1:20">
      <c r="A830">
        <v>832</v>
      </c>
      <c r="B830" t="s">
        <v>966</v>
      </c>
      <c r="C830" t="s">
        <v>21</v>
      </c>
      <c r="D830" t="s">
        <v>22</v>
      </c>
      <c r="E830" t="s">
        <v>23</v>
      </c>
      <c r="F830">
        <v>1369000</v>
      </c>
      <c r="G830">
        <v>19</v>
      </c>
      <c r="H830">
        <v>1629110</v>
      </c>
      <c r="I830" t="s">
        <v>24</v>
      </c>
      <c r="J830" t="s">
        <v>25</v>
      </c>
      <c r="K830">
        <v>0</v>
      </c>
      <c r="L830">
        <v>0</v>
      </c>
      <c r="M830" t="s">
        <v>25</v>
      </c>
      <c r="N830" t="s">
        <v>25</v>
      </c>
      <c r="O830" t="s">
        <v>26</v>
      </c>
      <c r="P830" t="s">
        <v>25</v>
      </c>
      <c r="Q830" t="s">
        <v>27</v>
      </c>
      <c r="R830" t="s">
        <v>28</v>
      </c>
      <c r="S830" t="s">
        <v>48</v>
      </c>
      <c r="T830" t="s">
        <v>49</v>
      </c>
    </row>
    <row r="831" spans="1:20">
      <c r="A831">
        <v>833</v>
      </c>
      <c r="B831" t="s">
        <v>967</v>
      </c>
      <c r="C831" t="s">
        <v>21</v>
      </c>
      <c r="D831" t="s">
        <v>302</v>
      </c>
      <c r="E831" t="s">
        <v>23</v>
      </c>
      <c r="F831">
        <v>8900</v>
      </c>
      <c r="G831">
        <v>19</v>
      </c>
      <c r="H831">
        <v>1059100</v>
      </c>
      <c r="I831" t="s">
        <v>24</v>
      </c>
      <c r="J831" t="s">
        <v>25</v>
      </c>
      <c r="K831">
        <v>0</v>
      </c>
      <c r="L831">
        <v>0</v>
      </c>
      <c r="M831" t="s">
        <v>25</v>
      </c>
      <c r="N831" t="s">
        <v>25</v>
      </c>
      <c r="O831" t="s">
        <v>26</v>
      </c>
      <c r="P831" t="s">
        <v>25</v>
      </c>
      <c r="Q831" t="s">
        <v>27</v>
      </c>
      <c r="R831" t="s">
        <v>28</v>
      </c>
    </row>
    <row r="832" spans="1:20">
      <c r="A832">
        <v>835</v>
      </c>
      <c r="B832" t="s">
        <v>968</v>
      </c>
      <c r="C832" t="s">
        <v>21</v>
      </c>
      <c r="D832" t="s">
        <v>22</v>
      </c>
      <c r="E832" t="s">
        <v>23</v>
      </c>
      <c r="F832">
        <v>61500</v>
      </c>
      <c r="G832">
        <v>19</v>
      </c>
      <c r="H832">
        <v>73185</v>
      </c>
      <c r="I832" t="s">
        <v>24</v>
      </c>
      <c r="J832" t="s">
        <v>25</v>
      </c>
      <c r="K832">
        <v>0</v>
      </c>
      <c r="L832">
        <v>0</v>
      </c>
      <c r="M832" t="s">
        <v>25</v>
      </c>
      <c r="N832" t="s">
        <v>25</v>
      </c>
      <c r="O832" t="s">
        <v>26</v>
      </c>
      <c r="P832" t="s">
        <v>25</v>
      </c>
      <c r="Q832" t="s">
        <v>27</v>
      </c>
      <c r="R832" t="s">
        <v>28</v>
      </c>
      <c r="S832" t="s">
        <v>51</v>
      </c>
      <c r="T832" t="s">
        <v>882</v>
      </c>
    </row>
    <row r="833" spans="1:20">
      <c r="A833">
        <v>836</v>
      </c>
      <c r="B833" t="s">
        <v>969</v>
      </c>
      <c r="C833" t="s">
        <v>21</v>
      </c>
      <c r="D833" t="s">
        <v>22</v>
      </c>
      <c r="E833" t="s">
        <v>23</v>
      </c>
      <c r="F833">
        <v>103950</v>
      </c>
      <c r="G833">
        <v>19</v>
      </c>
      <c r="H833">
        <v>123700.5</v>
      </c>
      <c r="I833" t="s">
        <v>24</v>
      </c>
      <c r="J833" t="s">
        <v>25</v>
      </c>
      <c r="K833">
        <v>0</v>
      </c>
      <c r="L833">
        <v>0</v>
      </c>
      <c r="M833" t="s">
        <v>25</v>
      </c>
      <c r="N833" t="s">
        <v>25</v>
      </c>
      <c r="O833" t="s">
        <v>26</v>
      </c>
      <c r="P833" t="s">
        <v>25</v>
      </c>
      <c r="Q833" t="s">
        <v>27</v>
      </c>
      <c r="R833" t="s">
        <v>28</v>
      </c>
      <c r="S833" t="s">
        <v>51</v>
      </c>
      <c r="T833" t="s">
        <v>416</v>
      </c>
    </row>
    <row r="834" spans="1:20">
      <c r="A834">
        <v>837</v>
      </c>
      <c r="B834" t="s">
        <v>970</v>
      </c>
      <c r="C834" t="s">
        <v>21</v>
      </c>
      <c r="D834" t="s">
        <v>22</v>
      </c>
      <c r="E834" t="s">
        <v>23</v>
      </c>
      <c r="F834">
        <v>103950</v>
      </c>
      <c r="G834">
        <v>19</v>
      </c>
      <c r="H834">
        <v>123700.5</v>
      </c>
      <c r="I834" t="s">
        <v>24</v>
      </c>
      <c r="J834" t="s">
        <v>25</v>
      </c>
      <c r="K834">
        <v>0</v>
      </c>
      <c r="L834">
        <v>0</v>
      </c>
      <c r="M834" t="s">
        <v>25</v>
      </c>
      <c r="N834" t="s">
        <v>25</v>
      </c>
      <c r="O834" t="s">
        <v>26</v>
      </c>
      <c r="P834" t="s">
        <v>25</v>
      </c>
      <c r="Q834" t="s">
        <v>27</v>
      </c>
      <c r="R834" t="s">
        <v>28</v>
      </c>
      <c r="S834" t="s">
        <v>51</v>
      </c>
      <c r="T834" t="s">
        <v>416</v>
      </c>
    </row>
    <row r="835" spans="1:20">
      <c r="A835">
        <v>838</v>
      </c>
      <c r="B835" t="s">
        <v>971</v>
      </c>
      <c r="C835" t="s">
        <v>21</v>
      </c>
      <c r="D835" t="s">
        <v>22</v>
      </c>
      <c r="E835" t="s">
        <v>23</v>
      </c>
      <c r="F835">
        <v>103500</v>
      </c>
      <c r="G835">
        <v>19</v>
      </c>
      <c r="H835">
        <v>123165</v>
      </c>
      <c r="I835" t="s">
        <v>24</v>
      </c>
      <c r="J835" t="s">
        <v>25</v>
      </c>
      <c r="K835">
        <v>0</v>
      </c>
      <c r="L835">
        <v>0</v>
      </c>
      <c r="M835" t="s">
        <v>25</v>
      </c>
      <c r="N835" t="s">
        <v>25</v>
      </c>
      <c r="O835" t="s">
        <v>26</v>
      </c>
      <c r="P835" t="s">
        <v>25</v>
      </c>
      <c r="Q835" t="s">
        <v>27</v>
      </c>
      <c r="R835" t="s">
        <v>28</v>
      </c>
      <c r="S835" t="s">
        <v>51</v>
      </c>
      <c r="T835" t="s">
        <v>416</v>
      </c>
    </row>
    <row r="836" spans="1:20">
      <c r="A836">
        <v>839</v>
      </c>
      <c r="B836" t="s">
        <v>972</v>
      </c>
      <c r="C836" t="s">
        <v>21</v>
      </c>
      <c r="D836" t="s">
        <v>22</v>
      </c>
      <c r="E836" t="s">
        <v>23</v>
      </c>
      <c r="F836">
        <v>0</v>
      </c>
      <c r="G836">
        <v>19</v>
      </c>
      <c r="H836">
        <v>0</v>
      </c>
      <c r="I836" t="s">
        <v>24</v>
      </c>
      <c r="J836" t="s">
        <v>25</v>
      </c>
      <c r="K836">
        <v>0</v>
      </c>
      <c r="L836">
        <v>0</v>
      </c>
      <c r="M836" t="s">
        <v>25</v>
      </c>
      <c r="N836" t="s">
        <v>25</v>
      </c>
      <c r="O836" t="s">
        <v>26</v>
      </c>
      <c r="P836" t="s">
        <v>25</v>
      </c>
      <c r="Q836" t="s">
        <v>27</v>
      </c>
      <c r="R836" t="s">
        <v>28</v>
      </c>
      <c r="S836" t="s">
        <v>51</v>
      </c>
      <c r="T836" t="s">
        <v>305</v>
      </c>
    </row>
    <row r="837" spans="1:20">
      <c r="A837">
        <v>840</v>
      </c>
      <c r="B837" t="s">
        <v>973</v>
      </c>
      <c r="C837" t="s">
        <v>21</v>
      </c>
      <c r="D837" t="s">
        <v>22</v>
      </c>
      <c r="E837" t="s">
        <v>23</v>
      </c>
      <c r="F837">
        <v>33000</v>
      </c>
      <c r="G837">
        <v>19</v>
      </c>
      <c r="H837">
        <v>39270</v>
      </c>
      <c r="I837" t="s">
        <v>24</v>
      </c>
      <c r="J837" t="s">
        <v>25</v>
      </c>
      <c r="K837">
        <v>0</v>
      </c>
      <c r="L837">
        <v>0</v>
      </c>
      <c r="M837" t="s">
        <v>25</v>
      </c>
      <c r="N837" t="s">
        <v>25</v>
      </c>
      <c r="O837" t="s">
        <v>26</v>
      </c>
      <c r="P837" t="s">
        <v>25</v>
      </c>
      <c r="Q837" t="s">
        <v>27</v>
      </c>
      <c r="R837" t="s">
        <v>28</v>
      </c>
      <c r="S837" t="s">
        <v>51</v>
      </c>
      <c r="T837" t="s">
        <v>974</v>
      </c>
    </row>
    <row r="838" spans="1:20">
      <c r="A838">
        <v>841</v>
      </c>
      <c r="B838" t="s">
        <v>975</v>
      </c>
      <c r="C838" t="s">
        <v>21</v>
      </c>
      <c r="D838" t="s">
        <v>22</v>
      </c>
      <c r="E838" t="s">
        <v>23</v>
      </c>
      <c r="F838">
        <v>19800</v>
      </c>
      <c r="G838">
        <v>19</v>
      </c>
      <c r="H838">
        <v>23562</v>
      </c>
      <c r="I838" t="s">
        <v>24</v>
      </c>
      <c r="J838" t="s">
        <v>25</v>
      </c>
      <c r="K838">
        <v>0</v>
      </c>
      <c r="L838">
        <v>0</v>
      </c>
      <c r="M838" t="s">
        <v>25</v>
      </c>
      <c r="N838" t="s">
        <v>25</v>
      </c>
      <c r="O838" t="s">
        <v>26</v>
      </c>
      <c r="P838" t="s">
        <v>25</v>
      </c>
      <c r="Q838" t="s">
        <v>27</v>
      </c>
      <c r="R838" t="s">
        <v>28</v>
      </c>
      <c r="S838" t="s">
        <v>51</v>
      </c>
      <c r="T838" t="s">
        <v>303</v>
      </c>
    </row>
    <row r="839" spans="1:20">
      <c r="A839">
        <v>842</v>
      </c>
      <c r="B839" t="s">
        <v>976</v>
      </c>
      <c r="C839" t="s">
        <v>21</v>
      </c>
      <c r="D839" t="s">
        <v>22</v>
      </c>
      <c r="E839" t="s">
        <v>23</v>
      </c>
      <c r="F839">
        <v>38000</v>
      </c>
      <c r="G839">
        <v>19</v>
      </c>
      <c r="H839">
        <v>45220</v>
      </c>
      <c r="I839" t="s">
        <v>24</v>
      </c>
      <c r="J839" t="s">
        <v>25</v>
      </c>
      <c r="K839">
        <v>0</v>
      </c>
      <c r="L839">
        <v>0</v>
      </c>
      <c r="M839" t="s">
        <v>25</v>
      </c>
      <c r="N839" t="s">
        <v>25</v>
      </c>
      <c r="O839" t="s">
        <v>26</v>
      </c>
      <c r="P839" t="s">
        <v>25</v>
      </c>
      <c r="Q839" t="s">
        <v>27</v>
      </c>
      <c r="R839" t="s">
        <v>28</v>
      </c>
      <c r="S839" t="s">
        <v>51</v>
      </c>
      <c r="T839" t="s">
        <v>52</v>
      </c>
    </row>
    <row r="840" spans="1:20">
      <c r="A840">
        <v>843</v>
      </c>
      <c r="B840" t="s">
        <v>977</v>
      </c>
      <c r="C840" t="s">
        <v>21</v>
      </c>
      <c r="D840" t="s">
        <v>22</v>
      </c>
      <c r="E840" t="s">
        <v>23</v>
      </c>
      <c r="F840">
        <v>18000</v>
      </c>
      <c r="G840">
        <v>19</v>
      </c>
      <c r="H840">
        <v>2142000</v>
      </c>
      <c r="I840" t="s">
        <v>24</v>
      </c>
      <c r="J840" t="s">
        <v>25</v>
      </c>
      <c r="K840">
        <v>0</v>
      </c>
      <c r="L840">
        <v>0</v>
      </c>
      <c r="M840" t="s">
        <v>25</v>
      </c>
      <c r="N840" t="s">
        <v>25</v>
      </c>
      <c r="O840" t="s">
        <v>26</v>
      </c>
      <c r="P840" t="s">
        <v>25</v>
      </c>
      <c r="Q840" t="s">
        <v>27</v>
      </c>
      <c r="R840" t="s">
        <v>28</v>
      </c>
    </row>
    <row r="841" spans="1:20">
      <c r="A841">
        <v>844</v>
      </c>
      <c r="B841" t="s">
        <v>978</v>
      </c>
      <c r="C841" t="s">
        <v>21</v>
      </c>
      <c r="D841" t="s">
        <v>22</v>
      </c>
      <c r="E841" t="s">
        <v>23</v>
      </c>
      <c r="F841">
        <v>49712</v>
      </c>
      <c r="G841">
        <v>19</v>
      </c>
      <c r="H841">
        <v>5915728</v>
      </c>
      <c r="I841" t="s">
        <v>24</v>
      </c>
      <c r="J841" t="s">
        <v>25</v>
      </c>
      <c r="K841">
        <v>0</v>
      </c>
      <c r="L841">
        <v>0</v>
      </c>
      <c r="M841" t="s">
        <v>25</v>
      </c>
      <c r="N841" t="s">
        <v>25</v>
      </c>
      <c r="O841" t="s">
        <v>26</v>
      </c>
      <c r="P841" t="s">
        <v>25</v>
      </c>
      <c r="Q841" t="s">
        <v>27</v>
      </c>
      <c r="R841" t="s">
        <v>28</v>
      </c>
    </row>
    <row r="842" spans="1:20">
      <c r="A842">
        <v>845</v>
      </c>
      <c r="B842" t="s">
        <v>979</v>
      </c>
      <c r="C842" t="s">
        <v>21</v>
      </c>
      <c r="D842" t="s">
        <v>22</v>
      </c>
      <c r="E842" t="s">
        <v>23</v>
      </c>
      <c r="F842">
        <v>1793350</v>
      </c>
      <c r="G842">
        <v>19</v>
      </c>
      <c r="H842">
        <v>2134086.5</v>
      </c>
      <c r="I842" t="s">
        <v>24</v>
      </c>
      <c r="J842" t="s">
        <v>25</v>
      </c>
      <c r="K842">
        <v>0</v>
      </c>
      <c r="L842">
        <v>0</v>
      </c>
      <c r="M842" t="s">
        <v>25</v>
      </c>
      <c r="N842" t="s">
        <v>25</v>
      </c>
      <c r="O842" t="s">
        <v>26</v>
      </c>
      <c r="P842" t="s">
        <v>25</v>
      </c>
      <c r="Q842" t="s">
        <v>27</v>
      </c>
      <c r="R842" t="s">
        <v>28</v>
      </c>
      <c r="S842" t="s">
        <v>48</v>
      </c>
      <c r="T842" t="s">
        <v>49</v>
      </c>
    </row>
    <row r="843" spans="1:20">
      <c r="A843">
        <v>846</v>
      </c>
      <c r="B843" t="s">
        <v>980</v>
      </c>
      <c r="C843" t="s">
        <v>21</v>
      </c>
      <c r="D843" t="s">
        <v>22</v>
      </c>
      <c r="E843" t="s">
        <v>23</v>
      </c>
      <c r="F843">
        <v>35000</v>
      </c>
      <c r="G843">
        <v>19</v>
      </c>
      <c r="H843">
        <v>4165000</v>
      </c>
      <c r="I843" t="s">
        <v>24</v>
      </c>
      <c r="J843" t="s">
        <v>25</v>
      </c>
      <c r="K843">
        <v>0</v>
      </c>
      <c r="L843">
        <v>0</v>
      </c>
      <c r="M843" t="s">
        <v>25</v>
      </c>
      <c r="N843" t="s">
        <v>25</v>
      </c>
      <c r="O843" t="s">
        <v>26</v>
      </c>
      <c r="P843" t="s">
        <v>25</v>
      </c>
      <c r="Q843" t="s">
        <v>27</v>
      </c>
      <c r="R843" t="s">
        <v>28</v>
      </c>
    </row>
    <row r="844" spans="1:20">
      <c r="A844">
        <v>847</v>
      </c>
      <c r="B844" t="s">
        <v>981</v>
      </c>
      <c r="C844" t="s">
        <v>21</v>
      </c>
      <c r="D844" t="s">
        <v>22</v>
      </c>
      <c r="E844" t="s">
        <v>23</v>
      </c>
      <c r="F844">
        <v>1739350</v>
      </c>
      <c r="G844">
        <v>19</v>
      </c>
      <c r="H844">
        <v>206982650</v>
      </c>
      <c r="I844" t="s">
        <v>24</v>
      </c>
      <c r="J844" t="s">
        <v>25</v>
      </c>
      <c r="K844">
        <v>0</v>
      </c>
      <c r="L844">
        <v>0</v>
      </c>
      <c r="M844" t="s">
        <v>25</v>
      </c>
      <c r="N844" t="s">
        <v>25</v>
      </c>
      <c r="O844" t="s">
        <v>26</v>
      </c>
      <c r="P844" t="s">
        <v>25</v>
      </c>
      <c r="Q844" t="s">
        <v>27</v>
      </c>
      <c r="R844" t="s">
        <v>28</v>
      </c>
    </row>
    <row r="845" spans="1:20">
      <c r="A845">
        <v>848</v>
      </c>
      <c r="B845" t="s">
        <v>982</v>
      </c>
      <c r="C845" t="s">
        <v>21</v>
      </c>
      <c r="D845" t="s">
        <v>449</v>
      </c>
      <c r="E845" t="s">
        <v>23</v>
      </c>
      <c r="F845">
        <v>94666</v>
      </c>
      <c r="G845">
        <v>19</v>
      </c>
      <c r="H845">
        <v>112652.54</v>
      </c>
      <c r="I845" t="s">
        <v>24</v>
      </c>
      <c r="J845" t="s">
        <v>25</v>
      </c>
      <c r="K845">
        <v>0</v>
      </c>
      <c r="L845">
        <v>0</v>
      </c>
      <c r="M845" t="s">
        <v>25</v>
      </c>
      <c r="N845" t="s">
        <v>25</v>
      </c>
      <c r="O845" t="s">
        <v>26</v>
      </c>
      <c r="P845" t="s">
        <v>25</v>
      </c>
      <c r="Q845" t="s">
        <v>27</v>
      </c>
      <c r="R845" t="s">
        <v>28</v>
      </c>
      <c r="S845" t="s">
        <v>51</v>
      </c>
      <c r="T845" t="s">
        <v>788</v>
      </c>
    </row>
    <row r="846" spans="1:20">
      <c r="A846">
        <v>849</v>
      </c>
      <c r="B846" t="s">
        <v>983</v>
      </c>
      <c r="C846" t="s">
        <v>21</v>
      </c>
      <c r="D846" t="s">
        <v>449</v>
      </c>
      <c r="E846" t="s">
        <v>23</v>
      </c>
      <c r="F846">
        <v>283998</v>
      </c>
      <c r="G846">
        <v>19</v>
      </c>
      <c r="H846">
        <v>337957.62</v>
      </c>
      <c r="I846" t="s">
        <v>24</v>
      </c>
      <c r="J846" t="s">
        <v>25</v>
      </c>
      <c r="K846">
        <v>0</v>
      </c>
      <c r="L846">
        <v>0</v>
      </c>
      <c r="M846" t="s">
        <v>25</v>
      </c>
      <c r="N846" t="s">
        <v>25</v>
      </c>
      <c r="O846" t="s">
        <v>26</v>
      </c>
      <c r="P846" t="s">
        <v>25</v>
      </c>
      <c r="Q846" t="s">
        <v>27</v>
      </c>
      <c r="R846" t="s">
        <v>28</v>
      </c>
      <c r="S846" t="s">
        <v>51</v>
      </c>
      <c r="T846" t="s">
        <v>788</v>
      </c>
    </row>
    <row r="847" spans="1:20">
      <c r="A847">
        <v>850</v>
      </c>
      <c r="B847" t="s">
        <v>984</v>
      </c>
      <c r="C847" t="s">
        <v>21</v>
      </c>
      <c r="D847" t="s">
        <v>22</v>
      </c>
      <c r="E847" t="s">
        <v>23</v>
      </c>
      <c r="F847">
        <v>26500</v>
      </c>
      <c r="G847">
        <v>19</v>
      </c>
      <c r="H847">
        <v>31535</v>
      </c>
      <c r="I847" t="s">
        <v>24</v>
      </c>
      <c r="J847" t="s">
        <v>25</v>
      </c>
      <c r="K847">
        <v>0</v>
      </c>
      <c r="L847">
        <v>0</v>
      </c>
      <c r="M847" t="s">
        <v>25</v>
      </c>
      <c r="N847" t="s">
        <v>25</v>
      </c>
      <c r="O847" t="s">
        <v>26</v>
      </c>
      <c r="P847" t="s">
        <v>25</v>
      </c>
      <c r="Q847" t="s">
        <v>27</v>
      </c>
      <c r="R847" t="s">
        <v>28</v>
      </c>
      <c r="S847" t="s">
        <v>51</v>
      </c>
      <c r="T847" t="s">
        <v>54</v>
      </c>
    </row>
    <row r="848" spans="1:20">
      <c r="A848">
        <v>851</v>
      </c>
      <c r="B848" t="s">
        <v>985</v>
      </c>
      <c r="C848" t="s">
        <v>21</v>
      </c>
      <c r="D848" t="s">
        <v>22</v>
      </c>
      <c r="E848" t="s">
        <v>23</v>
      </c>
      <c r="F848">
        <v>165400</v>
      </c>
      <c r="G848">
        <v>19</v>
      </c>
      <c r="H848">
        <v>19682600</v>
      </c>
      <c r="I848" t="s">
        <v>24</v>
      </c>
      <c r="J848" t="s">
        <v>25</v>
      </c>
      <c r="K848">
        <v>0</v>
      </c>
      <c r="L848">
        <v>0</v>
      </c>
      <c r="M848" t="s">
        <v>25</v>
      </c>
      <c r="N848" t="s">
        <v>25</v>
      </c>
      <c r="O848" t="s">
        <v>26</v>
      </c>
      <c r="P848" t="s">
        <v>25</v>
      </c>
      <c r="Q848" t="s">
        <v>27</v>
      </c>
      <c r="R848" t="s">
        <v>28</v>
      </c>
    </row>
    <row r="849" spans="1:20">
      <c r="A849">
        <v>852</v>
      </c>
      <c r="B849" t="s">
        <v>986</v>
      </c>
      <c r="C849" t="s">
        <v>21</v>
      </c>
      <c r="D849" t="s">
        <v>634</v>
      </c>
      <c r="E849" t="s">
        <v>23</v>
      </c>
      <c r="F849">
        <v>18500</v>
      </c>
      <c r="G849">
        <v>19</v>
      </c>
      <c r="H849">
        <v>2201500</v>
      </c>
      <c r="I849" t="s">
        <v>24</v>
      </c>
      <c r="J849" t="s">
        <v>25</v>
      </c>
      <c r="K849">
        <v>0</v>
      </c>
      <c r="L849">
        <v>0</v>
      </c>
      <c r="M849" t="s">
        <v>25</v>
      </c>
      <c r="N849" t="s">
        <v>25</v>
      </c>
      <c r="O849" t="s">
        <v>26</v>
      </c>
      <c r="P849" t="s">
        <v>25</v>
      </c>
      <c r="Q849" t="s">
        <v>27</v>
      </c>
      <c r="R849" t="s">
        <v>28</v>
      </c>
    </row>
    <row r="850" spans="1:20">
      <c r="A850">
        <v>853</v>
      </c>
      <c r="B850" t="s">
        <v>987</v>
      </c>
      <c r="C850" t="s">
        <v>21</v>
      </c>
      <c r="D850" t="s">
        <v>634</v>
      </c>
      <c r="E850" t="s">
        <v>23</v>
      </c>
      <c r="F850">
        <v>60000</v>
      </c>
      <c r="G850">
        <v>19</v>
      </c>
      <c r="H850">
        <v>7140000</v>
      </c>
      <c r="I850" t="s">
        <v>24</v>
      </c>
      <c r="J850" t="s">
        <v>25</v>
      </c>
      <c r="K850">
        <v>0</v>
      </c>
      <c r="L850">
        <v>0</v>
      </c>
      <c r="M850" t="s">
        <v>25</v>
      </c>
      <c r="N850" t="s">
        <v>25</v>
      </c>
      <c r="O850" t="s">
        <v>26</v>
      </c>
      <c r="P850" t="s">
        <v>25</v>
      </c>
      <c r="Q850" t="s">
        <v>27</v>
      </c>
      <c r="R850" t="s">
        <v>28</v>
      </c>
    </row>
    <row r="851" spans="1:20">
      <c r="A851">
        <v>854</v>
      </c>
      <c r="B851" t="s">
        <v>988</v>
      </c>
      <c r="C851" t="s">
        <v>21</v>
      </c>
      <c r="D851" t="s">
        <v>634</v>
      </c>
      <c r="E851" t="s">
        <v>23</v>
      </c>
      <c r="F851">
        <v>60000</v>
      </c>
      <c r="G851">
        <v>19</v>
      </c>
      <c r="H851">
        <v>7140000</v>
      </c>
      <c r="I851" t="s">
        <v>24</v>
      </c>
      <c r="J851" t="s">
        <v>25</v>
      </c>
      <c r="K851">
        <v>0</v>
      </c>
      <c r="L851">
        <v>0</v>
      </c>
      <c r="M851" t="s">
        <v>25</v>
      </c>
      <c r="N851" t="s">
        <v>25</v>
      </c>
      <c r="O851" t="s">
        <v>26</v>
      </c>
      <c r="P851" t="s">
        <v>25</v>
      </c>
      <c r="Q851" t="s">
        <v>27</v>
      </c>
      <c r="R851" t="s">
        <v>28</v>
      </c>
    </row>
    <row r="852" spans="1:20">
      <c r="A852">
        <v>855</v>
      </c>
      <c r="B852" t="s">
        <v>989</v>
      </c>
      <c r="C852" t="s">
        <v>21</v>
      </c>
      <c r="D852" t="s">
        <v>634</v>
      </c>
      <c r="E852" t="s">
        <v>23</v>
      </c>
      <c r="F852">
        <v>60000</v>
      </c>
      <c r="G852">
        <v>19</v>
      </c>
      <c r="H852">
        <v>7140000</v>
      </c>
      <c r="I852" t="s">
        <v>24</v>
      </c>
      <c r="J852" t="s">
        <v>25</v>
      </c>
      <c r="K852">
        <v>0</v>
      </c>
      <c r="L852">
        <v>0</v>
      </c>
      <c r="M852" t="s">
        <v>25</v>
      </c>
      <c r="N852" t="s">
        <v>25</v>
      </c>
      <c r="O852" t="s">
        <v>26</v>
      </c>
      <c r="P852" t="s">
        <v>25</v>
      </c>
      <c r="Q852" t="s">
        <v>27</v>
      </c>
      <c r="R852" t="s">
        <v>28</v>
      </c>
    </row>
    <row r="853" spans="1:20">
      <c r="A853">
        <v>856</v>
      </c>
      <c r="B853" t="s">
        <v>990</v>
      </c>
      <c r="C853" t="s">
        <v>21</v>
      </c>
      <c r="D853" t="s">
        <v>634</v>
      </c>
      <c r="E853" t="s">
        <v>23</v>
      </c>
      <c r="F853">
        <v>60000</v>
      </c>
      <c r="G853">
        <v>19</v>
      </c>
      <c r="H853">
        <v>7140000</v>
      </c>
      <c r="I853" t="s">
        <v>24</v>
      </c>
      <c r="J853" t="s">
        <v>25</v>
      </c>
      <c r="K853">
        <v>0</v>
      </c>
      <c r="L853">
        <v>0</v>
      </c>
      <c r="M853" t="s">
        <v>25</v>
      </c>
      <c r="N853" t="s">
        <v>25</v>
      </c>
      <c r="O853" t="s">
        <v>26</v>
      </c>
      <c r="P853" t="s">
        <v>25</v>
      </c>
      <c r="Q853" t="s">
        <v>27</v>
      </c>
      <c r="R853" t="s">
        <v>28</v>
      </c>
    </row>
    <row r="854" spans="1:20">
      <c r="A854">
        <v>857</v>
      </c>
      <c r="B854" t="s">
        <v>991</v>
      </c>
      <c r="C854" t="s">
        <v>21</v>
      </c>
      <c r="D854" t="s">
        <v>22</v>
      </c>
      <c r="E854" t="s">
        <v>23</v>
      </c>
      <c r="F854">
        <v>48500</v>
      </c>
      <c r="G854">
        <v>19</v>
      </c>
      <c r="H854">
        <v>57715</v>
      </c>
      <c r="I854" t="s">
        <v>24</v>
      </c>
      <c r="J854" t="s">
        <v>25</v>
      </c>
      <c r="K854">
        <v>0</v>
      </c>
      <c r="L854">
        <v>0</v>
      </c>
      <c r="M854" t="s">
        <v>25</v>
      </c>
      <c r="N854" t="s">
        <v>25</v>
      </c>
      <c r="O854" t="s">
        <v>26</v>
      </c>
      <c r="P854" t="s">
        <v>25</v>
      </c>
      <c r="Q854" t="s">
        <v>27</v>
      </c>
      <c r="R854" t="s">
        <v>28</v>
      </c>
      <c r="S854" t="s">
        <v>51</v>
      </c>
      <c r="T854" t="s">
        <v>992</v>
      </c>
    </row>
    <row r="855" spans="1:20">
      <c r="A855">
        <v>858</v>
      </c>
      <c r="B855" t="s">
        <v>993</v>
      </c>
      <c r="C855" t="s">
        <v>21</v>
      </c>
      <c r="D855" t="s">
        <v>22</v>
      </c>
      <c r="E855" t="s">
        <v>23</v>
      </c>
      <c r="F855">
        <v>17200</v>
      </c>
      <c r="G855">
        <v>19</v>
      </c>
      <c r="H855">
        <v>20468</v>
      </c>
      <c r="I855" t="s">
        <v>24</v>
      </c>
      <c r="J855" t="s">
        <v>25</v>
      </c>
      <c r="K855">
        <v>0</v>
      </c>
      <c r="L855">
        <v>0</v>
      </c>
      <c r="M855" t="s">
        <v>25</v>
      </c>
      <c r="N855" t="s">
        <v>25</v>
      </c>
      <c r="O855" t="s">
        <v>26</v>
      </c>
      <c r="P855" t="s">
        <v>25</v>
      </c>
      <c r="Q855" t="s">
        <v>27</v>
      </c>
      <c r="R855" t="s">
        <v>28</v>
      </c>
      <c r="S855" t="s">
        <v>48</v>
      </c>
      <c r="T855" t="s">
        <v>643</v>
      </c>
    </row>
    <row r="856" spans="1:20">
      <c r="A856">
        <v>859</v>
      </c>
      <c r="B856" t="s">
        <v>994</v>
      </c>
      <c r="C856" t="s">
        <v>21</v>
      </c>
      <c r="D856" t="s">
        <v>848</v>
      </c>
      <c r="E856" t="s">
        <v>23</v>
      </c>
      <c r="F856">
        <v>9250</v>
      </c>
      <c r="G856">
        <v>19</v>
      </c>
      <c r="H856">
        <v>11007.5</v>
      </c>
      <c r="I856" t="s">
        <v>24</v>
      </c>
      <c r="J856" t="s">
        <v>25</v>
      </c>
      <c r="K856">
        <v>0</v>
      </c>
      <c r="L856">
        <v>0</v>
      </c>
      <c r="M856" t="s">
        <v>25</v>
      </c>
      <c r="N856" t="s">
        <v>25</v>
      </c>
      <c r="O856" t="s">
        <v>26</v>
      </c>
      <c r="P856" t="s">
        <v>25</v>
      </c>
      <c r="Q856" t="s">
        <v>27</v>
      </c>
      <c r="R856" t="s">
        <v>28</v>
      </c>
      <c r="S856" t="s">
        <v>48</v>
      </c>
      <c r="T856" t="s">
        <v>643</v>
      </c>
    </row>
    <row r="857" spans="1:20">
      <c r="A857">
        <v>860</v>
      </c>
      <c r="B857" t="s">
        <v>995</v>
      </c>
      <c r="C857" t="s">
        <v>21</v>
      </c>
      <c r="D857" t="s">
        <v>848</v>
      </c>
      <c r="E857" t="s">
        <v>23</v>
      </c>
      <c r="F857">
        <v>189500</v>
      </c>
      <c r="G857">
        <v>19</v>
      </c>
      <c r="H857">
        <v>22550500</v>
      </c>
      <c r="I857" t="s">
        <v>24</v>
      </c>
      <c r="J857" t="s">
        <v>25</v>
      </c>
      <c r="K857">
        <v>0</v>
      </c>
      <c r="L857">
        <v>0</v>
      </c>
      <c r="M857" t="s">
        <v>25</v>
      </c>
      <c r="N857" t="s">
        <v>25</v>
      </c>
      <c r="O857" t="s">
        <v>26</v>
      </c>
      <c r="P857" t="s">
        <v>25</v>
      </c>
      <c r="Q857" t="s">
        <v>27</v>
      </c>
      <c r="R857" t="s">
        <v>28</v>
      </c>
    </row>
    <row r="858" spans="1:20">
      <c r="A858">
        <v>861</v>
      </c>
      <c r="B858" t="s">
        <v>996</v>
      </c>
      <c r="C858" t="s">
        <v>21</v>
      </c>
      <c r="D858" t="s">
        <v>22</v>
      </c>
      <c r="E858" t="s">
        <v>23</v>
      </c>
      <c r="F858">
        <v>9250</v>
      </c>
      <c r="G858">
        <v>19</v>
      </c>
      <c r="H858">
        <v>1100750</v>
      </c>
      <c r="I858" t="s">
        <v>24</v>
      </c>
      <c r="J858" t="s">
        <v>25</v>
      </c>
      <c r="K858">
        <v>0</v>
      </c>
      <c r="L858">
        <v>0</v>
      </c>
      <c r="M858" t="s">
        <v>25</v>
      </c>
      <c r="N858" t="s">
        <v>25</v>
      </c>
      <c r="O858" t="s">
        <v>26</v>
      </c>
      <c r="P858" t="s">
        <v>25</v>
      </c>
      <c r="Q858" t="s">
        <v>27</v>
      </c>
      <c r="R858" t="s">
        <v>28</v>
      </c>
    </row>
    <row r="859" spans="1:20">
      <c r="A859">
        <v>862</v>
      </c>
      <c r="B859" t="s">
        <v>997</v>
      </c>
      <c r="C859" t="s">
        <v>21</v>
      </c>
      <c r="D859" t="s">
        <v>22</v>
      </c>
      <c r="E859" t="s">
        <v>23</v>
      </c>
      <c r="F859">
        <v>34320</v>
      </c>
      <c r="G859">
        <v>19</v>
      </c>
      <c r="H859">
        <v>4084080</v>
      </c>
      <c r="I859" t="s">
        <v>24</v>
      </c>
      <c r="J859" t="s">
        <v>25</v>
      </c>
      <c r="K859">
        <v>0</v>
      </c>
      <c r="L859">
        <v>0</v>
      </c>
      <c r="M859" t="s">
        <v>25</v>
      </c>
      <c r="N859" t="s">
        <v>25</v>
      </c>
      <c r="O859" t="s">
        <v>26</v>
      </c>
      <c r="P859" t="s">
        <v>25</v>
      </c>
      <c r="Q859" t="s">
        <v>27</v>
      </c>
      <c r="R859" t="s">
        <v>28</v>
      </c>
    </row>
    <row r="860" spans="1:20">
      <c r="A860">
        <v>863</v>
      </c>
      <c r="B860" t="s">
        <v>998</v>
      </c>
      <c r="C860" t="s">
        <v>216</v>
      </c>
      <c r="D860" t="s">
        <v>22</v>
      </c>
      <c r="E860" t="s">
        <v>834</v>
      </c>
      <c r="F860">
        <v>34533</v>
      </c>
      <c r="G860">
        <v>19</v>
      </c>
      <c r="H860">
        <v>4109427</v>
      </c>
      <c r="I860" t="s">
        <v>24</v>
      </c>
      <c r="J860" t="s">
        <v>25</v>
      </c>
      <c r="K860">
        <v>0</v>
      </c>
      <c r="L860">
        <v>0</v>
      </c>
      <c r="M860" t="s">
        <v>25</v>
      </c>
      <c r="N860" t="s">
        <v>25</v>
      </c>
      <c r="O860" t="s">
        <v>26</v>
      </c>
      <c r="P860" t="s">
        <v>25</v>
      </c>
      <c r="Q860" t="s">
        <v>27</v>
      </c>
      <c r="R860" t="s">
        <v>28</v>
      </c>
    </row>
    <row r="861" spans="1:20">
      <c r="A861">
        <v>864</v>
      </c>
      <c r="B861" t="s">
        <v>999</v>
      </c>
      <c r="C861" t="s">
        <v>21</v>
      </c>
      <c r="D861" t="s">
        <v>22</v>
      </c>
      <c r="E861" t="s">
        <v>23</v>
      </c>
      <c r="F861">
        <v>1200</v>
      </c>
      <c r="G861">
        <v>19</v>
      </c>
      <c r="H861">
        <v>1428</v>
      </c>
      <c r="I861" t="s">
        <v>24</v>
      </c>
      <c r="J861" t="s">
        <v>25</v>
      </c>
      <c r="K861">
        <v>0</v>
      </c>
      <c r="L861">
        <v>0</v>
      </c>
      <c r="M861" t="s">
        <v>25</v>
      </c>
      <c r="N861" t="s">
        <v>25</v>
      </c>
      <c r="O861" t="s">
        <v>26</v>
      </c>
      <c r="P861" t="s">
        <v>25</v>
      </c>
      <c r="Q861" t="s">
        <v>27</v>
      </c>
      <c r="R861" t="s">
        <v>28</v>
      </c>
      <c r="S861" t="s">
        <v>51</v>
      </c>
      <c r="T861" t="s">
        <v>646</v>
      </c>
    </row>
    <row r="862" spans="1:20">
      <c r="A862">
        <v>865</v>
      </c>
      <c r="B862" t="s">
        <v>1000</v>
      </c>
      <c r="C862" t="s">
        <v>21</v>
      </c>
      <c r="D862" t="s">
        <v>22</v>
      </c>
      <c r="E862" t="s">
        <v>23</v>
      </c>
      <c r="F862">
        <v>0</v>
      </c>
      <c r="G862">
        <v>19</v>
      </c>
      <c r="H862">
        <v>0</v>
      </c>
      <c r="I862" t="s">
        <v>24</v>
      </c>
      <c r="J862" t="s">
        <v>25</v>
      </c>
      <c r="K862">
        <v>0</v>
      </c>
      <c r="L862">
        <v>0</v>
      </c>
      <c r="M862" t="s">
        <v>25</v>
      </c>
      <c r="N862" t="s">
        <v>25</v>
      </c>
      <c r="O862" t="s">
        <v>26</v>
      </c>
      <c r="P862" t="s">
        <v>25</v>
      </c>
      <c r="Q862" t="s">
        <v>27</v>
      </c>
      <c r="R862" t="s">
        <v>28</v>
      </c>
      <c r="S862" t="s">
        <v>51</v>
      </c>
      <c r="T862" t="s">
        <v>729</v>
      </c>
    </row>
    <row r="863" spans="1:20">
      <c r="A863">
        <v>866</v>
      </c>
      <c r="B863" t="s">
        <v>1001</v>
      </c>
      <c r="C863" t="s">
        <v>21</v>
      </c>
      <c r="D863" t="s">
        <v>22</v>
      </c>
      <c r="E863" t="s">
        <v>23</v>
      </c>
      <c r="F863">
        <v>1500</v>
      </c>
      <c r="G863">
        <v>19</v>
      </c>
      <c r="H863">
        <v>154700</v>
      </c>
      <c r="I863" t="s">
        <v>24</v>
      </c>
      <c r="J863" t="s">
        <v>25</v>
      </c>
      <c r="K863">
        <v>0</v>
      </c>
      <c r="L863">
        <v>0</v>
      </c>
      <c r="M863" t="s">
        <v>25</v>
      </c>
      <c r="N863" t="s">
        <v>25</v>
      </c>
      <c r="O863" t="s">
        <v>26</v>
      </c>
      <c r="P863" t="s">
        <v>25</v>
      </c>
      <c r="Q863" t="s">
        <v>27</v>
      </c>
      <c r="R863" t="s">
        <v>28</v>
      </c>
    </row>
    <row r="864" spans="1:20">
      <c r="A864">
        <v>867</v>
      </c>
      <c r="B864" t="s">
        <v>1002</v>
      </c>
      <c r="C864" t="s">
        <v>21</v>
      </c>
      <c r="D864" t="s">
        <v>22</v>
      </c>
      <c r="E864" t="s">
        <v>23</v>
      </c>
      <c r="F864">
        <v>453600</v>
      </c>
      <c r="G864">
        <v>19</v>
      </c>
      <c r="H864">
        <v>53978400</v>
      </c>
      <c r="I864" t="s">
        <v>24</v>
      </c>
      <c r="J864" t="s">
        <v>25</v>
      </c>
      <c r="K864">
        <v>0</v>
      </c>
      <c r="L864">
        <v>0</v>
      </c>
      <c r="M864" t="s">
        <v>25</v>
      </c>
      <c r="N864" t="s">
        <v>25</v>
      </c>
      <c r="O864" t="s">
        <v>26</v>
      </c>
      <c r="P864" t="s">
        <v>25</v>
      </c>
      <c r="Q864" t="s">
        <v>27</v>
      </c>
      <c r="R864" t="s">
        <v>28</v>
      </c>
    </row>
    <row r="865" spans="1:20">
      <c r="A865">
        <v>868</v>
      </c>
      <c r="B865" t="s">
        <v>1003</v>
      </c>
      <c r="C865" t="s">
        <v>21</v>
      </c>
      <c r="D865" t="s">
        <v>22</v>
      </c>
      <c r="E865" t="s">
        <v>23</v>
      </c>
      <c r="F865">
        <v>1500</v>
      </c>
      <c r="G865">
        <v>19</v>
      </c>
      <c r="H865">
        <v>178500</v>
      </c>
      <c r="I865" t="s">
        <v>24</v>
      </c>
      <c r="J865" t="s">
        <v>25</v>
      </c>
      <c r="K865">
        <v>0</v>
      </c>
      <c r="L865">
        <v>0</v>
      </c>
      <c r="M865" t="s">
        <v>25</v>
      </c>
      <c r="N865" t="s">
        <v>25</v>
      </c>
      <c r="O865" t="s">
        <v>26</v>
      </c>
      <c r="P865" t="s">
        <v>25</v>
      </c>
      <c r="Q865" t="s">
        <v>27</v>
      </c>
      <c r="R865" t="s">
        <v>28</v>
      </c>
    </row>
    <row r="866" spans="1:20">
      <c r="A866">
        <v>869</v>
      </c>
      <c r="B866" t="s">
        <v>1004</v>
      </c>
      <c r="C866" t="s">
        <v>21</v>
      </c>
      <c r="D866" t="s">
        <v>22</v>
      </c>
      <c r="E866" t="s">
        <v>23</v>
      </c>
      <c r="F866">
        <v>90850</v>
      </c>
      <c r="G866">
        <v>19</v>
      </c>
      <c r="H866">
        <v>10811150</v>
      </c>
      <c r="I866" t="s">
        <v>24</v>
      </c>
      <c r="J866" t="s">
        <v>25</v>
      </c>
      <c r="K866">
        <v>0</v>
      </c>
      <c r="L866">
        <v>0</v>
      </c>
      <c r="M866" t="s">
        <v>25</v>
      </c>
      <c r="N866" t="s">
        <v>25</v>
      </c>
      <c r="O866" t="s">
        <v>26</v>
      </c>
      <c r="P866" t="s">
        <v>25</v>
      </c>
      <c r="Q866" t="s">
        <v>27</v>
      </c>
      <c r="R866" t="s">
        <v>28</v>
      </c>
    </row>
    <row r="867" spans="1:20">
      <c r="A867">
        <v>870</v>
      </c>
      <c r="B867" t="s">
        <v>1005</v>
      </c>
      <c r="C867" t="s">
        <v>216</v>
      </c>
      <c r="D867" t="s">
        <v>22</v>
      </c>
      <c r="E867" t="s">
        <v>37</v>
      </c>
      <c r="F867">
        <v>16958</v>
      </c>
      <c r="G867">
        <v>19</v>
      </c>
      <c r="H867">
        <v>2018002</v>
      </c>
      <c r="I867" t="s">
        <v>24</v>
      </c>
      <c r="J867" t="s">
        <v>25</v>
      </c>
      <c r="K867">
        <v>0</v>
      </c>
      <c r="L867">
        <v>0</v>
      </c>
      <c r="M867" t="s">
        <v>25</v>
      </c>
      <c r="N867" t="s">
        <v>25</v>
      </c>
      <c r="O867" t="s">
        <v>26</v>
      </c>
      <c r="P867" t="s">
        <v>25</v>
      </c>
      <c r="Q867" t="s">
        <v>27</v>
      </c>
      <c r="R867" t="s">
        <v>28</v>
      </c>
      <c r="S867" t="s">
        <v>231</v>
      </c>
      <c r="T867" t="s">
        <v>1006</v>
      </c>
    </row>
    <row r="868" spans="1:20">
      <c r="A868">
        <v>871</v>
      </c>
      <c r="B868" t="s">
        <v>1007</v>
      </c>
      <c r="C868" t="s">
        <v>36</v>
      </c>
      <c r="D868" t="s">
        <v>22</v>
      </c>
      <c r="E868" t="s">
        <v>1008</v>
      </c>
      <c r="F868">
        <v>5984</v>
      </c>
      <c r="G868">
        <v>19</v>
      </c>
      <c r="H868">
        <v>712096</v>
      </c>
      <c r="I868" t="s">
        <v>24</v>
      </c>
      <c r="J868" t="s">
        <v>25</v>
      </c>
      <c r="K868">
        <v>0</v>
      </c>
      <c r="L868">
        <v>0</v>
      </c>
      <c r="M868" t="s">
        <v>25</v>
      </c>
      <c r="N868" t="s">
        <v>25</v>
      </c>
      <c r="O868" t="s">
        <v>26</v>
      </c>
      <c r="P868" t="s">
        <v>25</v>
      </c>
      <c r="Q868" t="s">
        <v>27</v>
      </c>
      <c r="R868" t="s">
        <v>28</v>
      </c>
      <c r="S868" t="s">
        <v>231</v>
      </c>
      <c r="T868" t="s">
        <v>1006</v>
      </c>
    </row>
    <row r="869" spans="1:20">
      <c r="A869">
        <v>872</v>
      </c>
      <c r="B869" t="s">
        <v>1009</v>
      </c>
      <c r="C869" t="s">
        <v>216</v>
      </c>
      <c r="D869" t="s">
        <v>217</v>
      </c>
      <c r="E869" t="s">
        <v>834</v>
      </c>
      <c r="F869">
        <v>840000</v>
      </c>
      <c r="G869">
        <v>19</v>
      </c>
      <c r="H869">
        <v>99960000</v>
      </c>
      <c r="I869" t="s">
        <v>24</v>
      </c>
      <c r="J869" t="s">
        <v>25</v>
      </c>
      <c r="K869">
        <v>0</v>
      </c>
      <c r="L869">
        <v>0</v>
      </c>
      <c r="M869" t="s">
        <v>25</v>
      </c>
      <c r="N869" t="s">
        <v>25</v>
      </c>
      <c r="O869" t="s">
        <v>26</v>
      </c>
      <c r="P869" t="s">
        <v>25</v>
      </c>
      <c r="Q869" t="s">
        <v>27</v>
      </c>
      <c r="R869" t="s">
        <v>28</v>
      </c>
    </row>
    <row r="870" spans="1:20">
      <c r="A870">
        <v>873</v>
      </c>
      <c r="B870" t="s">
        <v>1010</v>
      </c>
      <c r="C870" t="s">
        <v>36</v>
      </c>
      <c r="D870" t="s">
        <v>22</v>
      </c>
      <c r="E870" t="s">
        <v>37</v>
      </c>
      <c r="F870">
        <v>500000</v>
      </c>
      <c r="G870">
        <v>19</v>
      </c>
      <c r="H870">
        <v>59500000</v>
      </c>
      <c r="I870" t="s">
        <v>24</v>
      </c>
      <c r="J870" t="s">
        <v>25</v>
      </c>
      <c r="K870">
        <v>0</v>
      </c>
      <c r="L870">
        <v>0</v>
      </c>
      <c r="M870" t="s">
        <v>25</v>
      </c>
      <c r="N870" t="s">
        <v>25</v>
      </c>
      <c r="O870" t="s">
        <v>26</v>
      </c>
      <c r="P870" t="s">
        <v>25</v>
      </c>
      <c r="Q870" t="s">
        <v>27</v>
      </c>
      <c r="R870" t="s">
        <v>28</v>
      </c>
    </row>
    <row r="871" spans="1:20">
      <c r="A871">
        <v>874</v>
      </c>
      <c r="B871" t="s">
        <v>1011</v>
      </c>
      <c r="C871" t="s">
        <v>21</v>
      </c>
      <c r="D871" t="s">
        <v>217</v>
      </c>
      <c r="E871" t="s">
        <v>23</v>
      </c>
      <c r="F871">
        <v>0</v>
      </c>
      <c r="G871">
        <v>19</v>
      </c>
      <c r="H871">
        <v>0</v>
      </c>
      <c r="I871" t="s">
        <v>532</v>
      </c>
      <c r="J871" t="s">
        <v>25</v>
      </c>
      <c r="K871">
        <v>0</v>
      </c>
      <c r="L871">
        <v>0</v>
      </c>
      <c r="M871" t="s">
        <v>25</v>
      </c>
      <c r="N871" t="s">
        <v>25</v>
      </c>
      <c r="O871" t="s">
        <v>26</v>
      </c>
      <c r="P871" t="s">
        <v>25</v>
      </c>
      <c r="Q871" t="s">
        <v>27</v>
      </c>
      <c r="R871" t="s">
        <v>28</v>
      </c>
      <c r="S871" t="s">
        <v>51</v>
      </c>
      <c r="T871" t="s">
        <v>792</v>
      </c>
    </row>
    <row r="872" spans="1:20">
      <c r="A872">
        <v>875</v>
      </c>
      <c r="B872" t="s">
        <v>1012</v>
      </c>
      <c r="C872" t="s">
        <v>21</v>
      </c>
      <c r="D872" t="s">
        <v>22</v>
      </c>
      <c r="E872" t="s">
        <v>23</v>
      </c>
      <c r="F872">
        <v>251500</v>
      </c>
      <c r="G872">
        <v>19</v>
      </c>
      <c r="H872">
        <v>299285</v>
      </c>
      <c r="I872" t="s">
        <v>24</v>
      </c>
      <c r="J872" t="s">
        <v>25</v>
      </c>
      <c r="K872">
        <v>0</v>
      </c>
      <c r="L872">
        <v>0</v>
      </c>
      <c r="M872" t="s">
        <v>25</v>
      </c>
      <c r="N872" t="s">
        <v>25</v>
      </c>
      <c r="O872" t="s">
        <v>26</v>
      </c>
      <c r="P872" t="s">
        <v>25</v>
      </c>
      <c r="Q872" t="s">
        <v>27</v>
      </c>
      <c r="R872" t="s">
        <v>28</v>
      </c>
      <c r="S872" t="s">
        <v>51</v>
      </c>
      <c r="T872" t="s">
        <v>792</v>
      </c>
    </row>
    <row r="873" spans="1:20">
      <c r="A873">
        <v>876</v>
      </c>
      <c r="B873" t="s">
        <v>1013</v>
      </c>
      <c r="C873" t="s">
        <v>21</v>
      </c>
      <c r="D873" t="s">
        <v>22</v>
      </c>
      <c r="E873" t="s">
        <v>23</v>
      </c>
      <c r="F873">
        <v>32000</v>
      </c>
      <c r="G873">
        <v>19</v>
      </c>
      <c r="H873">
        <v>3808000</v>
      </c>
      <c r="I873" t="s">
        <v>24</v>
      </c>
      <c r="J873" t="s">
        <v>25</v>
      </c>
      <c r="K873">
        <v>0</v>
      </c>
      <c r="L873">
        <v>0</v>
      </c>
      <c r="M873" t="s">
        <v>25</v>
      </c>
      <c r="N873" t="s">
        <v>25</v>
      </c>
      <c r="O873" t="s">
        <v>26</v>
      </c>
      <c r="P873" t="s">
        <v>25</v>
      </c>
      <c r="Q873" t="s">
        <v>27</v>
      </c>
      <c r="R873" t="s">
        <v>28</v>
      </c>
    </row>
    <row r="874" spans="1:20">
      <c r="A874">
        <v>877</v>
      </c>
      <c r="B874" t="s">
        <v>1014</v>
      </c>
      <c r="C874" t="s">
        <v>21</v>
      </c>
      <c r="D874" t="s">
        <v>22</v>
      </c>
      <c r="E874" t="s">
        <v>23</v>
      </c>
      <c r="F874">
        <v>31900</v>
      </c>
      <c r="G874">
        <v>19</v>
      </c>
      <c r="H874">
        <v>37961</v>
      </c>
      <c r="I874" t="s">
        <v>532</v>
      </c>
      <c r="J874" t="s">
        <v>25</v>
      </c>
      <c r="K874">
        <v>0</v>
      </c>
      <c r="L874">
        <v>0</v>
      </c>
      <c r="M874" t="s">
        <v>25</v>
      </c>
      <c r="N874" t="s">
        <v>25</v>
      </c>
      <c r="O874" t="s">
        <v>26</v>
      </c>
      <c r="P874" t="s">
        <v>25</v>
      </c>
      <c r="Q874" t="s">
        <v>27</v>
      </c>
      <c r="R874" t="s">
        <v>28</v>
      </c>
      <c r="S874" t="s">
        <v>51</v>
      </c>
      <c r="T874" t="s">
        <v>52</v>
      </c>
    </row>
    <row r="875" spans="1:20">
      <c r="A875">
        <v>879</v>
      </c>
      <c r="B875" t="s">
        <v>1015</v>
      </c>
      <c r="C875" t="s">
        <v>216</v>
      </c>
      <c r="D875" t="s">
        <v>22</v>
      </c>
      <c r="E875" t="s">
        <v>834</v>
      </c>
      <c r="F875">
        <v>33000</v>
      </c>
      <c r="G875">
        <v>19</v>
      </c>
      <c r="H875">
        <v>3927000</v>
      </c>
      <c r="I875" t="s">
        <v>24</v>
      </c>
      <c r="J875" t="s">
        <v>25</v>
      </c>
      <c r="K875">
        <v>0</v>
      </c>
      <c r="L875">
        <v>0</v>
      </c>
      <c r="M875" t="s">
        <v>25</v>
      </c>
      <c r="N875" t="s">
        <v>25</v>
      </c>
      <c r="O875" t="s">
        <v>26</v>
      </c>
      <c r="P875" t="s">
        <v>25</v>
      </c>
      <c r="Q875" t="s">
        <v>27</v>
      </c>
      <c r="R875" t="s">
        <v>28</v>
      </c>
    </row>
    <row r="876" spans="1:20">
      <c r="A876">
        <v>880</v>
      </c>
      <c r="B876" t="s">
        <v>1016</v>
      </c>
      <c r="C876" t="s">
        <v>216</v>
      </c>
      <c r="D876" t="s">
        <v>1017</v>
      </c>
      <c r="E876" t="s">
        <v>834</v>
      </c>
      <c r="F876">
        <v>180000</v>
      </c>
      <c r="G876">
        <v>19</v>
      </c>
      <c r="H876">
        <v>21420000</v>
      </c>
      <c r="I876" t="s">
        <v>24</v>
      </c>
      <c r="J876" t="s">
        <v>25</v>
      </c>
      <c r="K876">
        <v>0</v>
      </c>
      <c r="L876">
        <v>0</v>
      </c>
      <c r="M876" t="s">
        <v>25</v>
      </c>
      <c r="N876" t="s">
        <v>25</v>
      </c>
      <c r="O876" t="s">
        <v>26</v>
      </c>
      <c r="P876" t="s">
        <v>25</v>
      </c>
      <c r="Q876" t="s">
        <v>27</v>
      </c>
      <c r="R876" t="s">
        <v>28</v>
      </c>
    </row>
    <row r="877" spans="1:20">
      <c r="A877">
        <v>881</v>
      </c>
      <c r="B877" t="s">
        <v>1018</v>
      </c>
      <c r="C877" t="s">
        <v>216</v>
      </c>
      <c r="D877" t="s">
        <v>814</v>
      </c>
      <c r="E877" t="s">
        <v>834</v>
      </c>
      <c r="F877">
        <v>1440000</v>
      </c>
      <c r="G877">
        <v>19</v>
      </c>
      <c r="H877">
        <v>171360000</v>
      </c>
      <c r="I877" t="s">
        <v>24</v>
      </c>
      <c r="J877" t="s">
        <v>25</v>
      </c>
      <c r="K877">
        <v>0</v>
      </c>
      <c r="L877">
        <v>0</v>
      </c>
      <c r="M877" t="s">
        <v>25</v>
      </c>
      <c r="N877" t="s">
        <v>25</v>
      </c>
      <c r="O877" t="s">
        <v>26</v>
      </c>
      <c r="P877" t="s">
        <v>25</v>
      </c>
      <c r="Q877" t="s">
        <v>27</v>
      </c>
      <c r="R877" t="s">
        <v>28</v>
      </c>
    </row>
    <row r="878" spans="1:20">
      <c r="A878">
        <v>882</v>
      </c>
      <c r="B878" t="s">
        <v>1019</v>
      </c>
      <c r="C878" t="s">
        <v>36</v>
      </c>
      <c r="D878" t="s">
        <v>1017</v>
      </c>
      <c r="E878" t="s">
        <v>37</v>
      </c>
      <c r="F878">
        <v>110000</v>
      </c>
      <c r="G878">
        <v>19</v>
      </c>
      <c r="H878">
        <v>13090000</v>
      </c>
      <c r="I878" t="s">
        <v>24</v>
      </c>
      <c r="J878" t="s">
        <v>25</v>
      </c>
      <c r="K878">
        <v>0</v>
      </c>
      <c r="L878">
        <v>0</v>
      </c>
      <c r="M878" t="s">
        <v>25</v>
      </c>
      <c r="N878" t="s">
        <v>25</v>
      </c>
      <c r="O878" t="s">
        <v>26</v>
      </c>
      <c r="P878" t="s">
        <v>25</v>
      </c>
      <c r="Q878" t="s">
        <v>27</v>
      </c>
      <c r="R878" t="s">
        <v>28</v>
      </c>
    </row>
    <row r="879" spans="1:20">
      <c r="A879">
        <v>883</v>
      </c>
      <c r="B879" t="s">
        <v>1020</v>
      </c>
      <c r="C879" t="s">
        <v>216</v>
      </c>
      <c r="D879" t="s">
        <v>1017</v>
      </c>
      <c r="E879" t="s">
        <v>834</v>
      </c>
      <c r="F879">
        <v>110000</v>
      </c>
      <c r="G879">
        <v>19</v>
      </c>
      <c r="H879">
        <v>13090000</v>
      </c>
      <c r="I879" t="s">
        <v>24</v>
      </c>
      <c r="J879" t="s">
        <v>25</v>
      </c>
      <c r="K879">
        <v>0</v>
      </c>
      <c r="L879">
        <v>0</v>
      </c>
      <c r="M879" t="s">
        <v>25</v>
      </c>
      <c r="N879" t="s">
        <v>25</v>
      </c>
      <c r="O879" t="s">
        <v>26</v>
      </c>
      <c r="P879" t="s">
        <v>25</v>
      </c>
      <c r="Q879" t="s">
        <v>27</v>
      </c>
      <c r="R879" t="s">
        <v>28</v>
      </c>
    </row>
    <row r="880" spans="1:20">
      <c r="A880">
        <v>884</v>
      </c>
      <c r="B880" t="s">
        <v>1021</v>
      </c>
      <c r="C880" t="s">
        <v>36</v>
      </c>
      <c r="D880" t="s">
        <v>283</v>
      </c>
      <c r="E880" t="s">
        <v>37</v>
      </c>
      <c r="F880">
        <v>2000000</v>
      </c>
      <c r="G880">
        <v>19</v>
      </c>
      <c r="H880">
        <v>2380000</v>
      </c>
      <c r="I880" t="s">
        <v>24</v>
      </c>
      <c r="J880" t="s">
        <v>25</v>
      </c>
      <c r="K880">
        <v>0</v>
      </c>
      <c r="L880">
        <v>0</v>
      </c>
      <c r="M880" t="s">
        <v>25</v>
      </c>
      <c r="N880" t="s">
        <v>25</v>
      </c>
      <c r="O880" t="s">
        <v>26</v>
      </c>
      <c r="P880" t="s">
        <v>25</v>
      </c>
      <c r="Q880" t="s">
        <v>27</v>
      </c>
      <c r="R880" t="s">
        <v>28</v>
      </c>
    </row>
    <row r="881" spans="1:18">
      <c r="A881">
        <v>885</v>
      </c>
      <c r="B881" t="s">
        <v>1022</v>
      </c>
      <c r="C881" t="s">
        <v>216</v>
      </c>
      <c r="D881" t="s">
        <v>814</v>
      </c>
      <c r="E881" t="s">
        <v>834</v>
      </c>
      <c r="F881">
        <v>1100000</v>
      </c>
      <c r="G881">
        <v>19</v>
      </c>
      <c r="H881">
        <v>1309000</v>
      </c>
      <c r="I881" t="s">
        <v>24</v>
      </c>
      <c r="J881" t="s">
        <v>25</v>
      </c>
      <c r="K881">
        <v>0</v>
      </c>
      <c r="L881">
        <v>0</v>
      </c>
      <c r="M881" t="s">
        <v>25</v>
      </c>
      <c r="N881" t="s">
        <v>25</v>
      </c>
      <c r="O881" t="s">
        <v>26</v>
      </c>
      <c r="P881" t="s">
        <v>25</v>
      </c>
      <c r="Q881" t="s">
        <v>27</v>
      </c>
      <c r="R881" t="s">
        <v>28</v>
      </c>
    </row>
    <row r="882" spans="1:18">
      <c r="A882">
        <v>886</v>
      </c>
      <c r="B882" t="s">
        <v>1023</v>
      </c>
      <c r="C882" t="s">
        <v>21</v>
      </c>
      <c r="D882" t="s">
        <v>848</v>
      </c>
      <c r="E882" t="s">
        <v>23</v>
      </c>
      <c r="F882">
        <v>0</v>
      </c>
      <c r="G882">
        <v>19</v>
      </c>
      <c r="H882">
        <v>0</v>
      </c>
      <c r="I882" t="s">
        <v>24</v>
      </c>
      <c r="J882" t="s">
        <v>25</v>
      </c>
      <c r="K882">
        <v>0</v>
      </c>
      <c r="L882">
        <v>0</v>
      </c>
      <c r="M882" t="s">
        <v>25</v>
      </c>
      <c r="N882" t="s">
        <v>25</v>
      </c>
      <c r="O882" t="s">
        <v>26</v>
      </c>
      <c r="P882" t="s">
        <v>25</v>
      </c>
      <c r="Q882" t="s">
        <v>27</v>
      </c>
      <c r="R882" t="s">
        <v>28</v>
      </c>
    </row>
    <row r="883" spans="1:18">
      <c r="A883">
        <v>887</v>
      </c>
      <c r="B883" t="s">
        <v>1024</v>
      </c>
      <c r="C883" t="s">
        <v>21</v>
      </c>
      <c r="D883" t="s">
        <v>634</v>
      </c>
      <c r="E883" t="s">
        <v>23</v>
      </c>
      <c r="F883">
        <v>0</v>
      </c>
      <c r="G883">
        <v>19</v>
      </c>
      <c r="H883">
        <v>0</v>
      </c>
      <c r="I883" t="s">
        <v>24</v>
      </c>
      <c r="J883" t="s">
        <v>25</v>
      </c>
      <c r="K883">
        <v>0</v>
      </c>
      <c r="L883">
        <v>0</v>
      </c>
      <c r="M883" t="s">
        <v>25</v>
      </c>
      <c r="N883" t="s">
        <v>25</v>
      </c>
      <c r="O883" t="s">
        <v>26</v>
      </c>
      <c r="P883" t="s">
        <v>25</v>
      </c>
      <c r="Q883" t="s">
        <v>27</v>
      </c>
      <c r="R883" t="s">
        <v>28</v>
      </c>
    </row>
    <row r="884" spans="1:18">
      <c r="A884">
        <v>888</v>
      </c>
      <c r="B884" t="s">
        <v>1025</v>
      </c>
      <c r="C884" t="s">
        <v>21</v>
      </c>
      <c r="D884" t="s">
        <v>851</v>
      </c>
      <c r="E884" t="s">
        <v>23</v>
      </c>
      <c r="F884">
        <v>0</v>
      </c>
      <c r="G884">
        <v>19</v>
      </c>
      <c r="H884">
        <v>0</v>
      </c>
      <c r="I884" t="s">
        <v>24</v>
      </c>
      <c r="J884" t="s">
        <v>25</v>
      </c>
      <c r="K884">
        <v>0</v>
      </c>
      <c r="L884">
        <v>0</v>
      </c>
      <c r="M884" t="s">
        <v>25</v>
      </c>
      <c r="N884" t="s">
        <v>25</v>
      </c>
      <c r="O884" t="s">
        <v>26</v>
      </c>
      <c r="P884" t="s">
        <v>25</v>
      </c>
      <c r="Q884" t="s">
        <v>27</v>
      </c>
      <c r="R884" t="s">
        <v>28</v>
      </c>
    </row>
    <row r="885" spans="1:18">
      <c r="A885">
        <v>889</v>
      </c>
      <c r="B885" t="s">
        <v>1026</v>
      </c>
      <c r="C885" t="s">
        <v>21</v>
      </c>
      <c r="D885" t="s">
        <v>22</v>
      </c>
      <c r="E885" t="s">
        <v>23</v>
      </c>
      <c r="F885">
        <v>0</v>
      </c>
      <c r="G885">
        <v>19</v>
      </c>
      <c r="H885">
        <v>0</v>
      </c>
      <c r="I885" t="s">
        <v>24</v>
      </c>
      <c r="J885" t="s">
        <v>25</v>
      </c>
      <c r="K885">
        <v>0</v>
      </c>
      <c r="L885">
        <v>0</v>
      </c>
      <c r="M885" t="s">
        <v>25</v>
      </c>
      <c r="N885" t="s">
        <v>25</v>
      </c>
      <c r="O885" t="s">
        <v>26</v>
      </c>
      <c r="P885" t="s">
        <v>25</v>
      </c>
      <c r="Q885" t="s">
        <v>27</v>
      </c>
      <c r="R885" t="s">
        <v>28</v>
      </c>
    </row>
    <row r="886" spans="1:18">
      <c r="A886">
        <v>890</v>
      </c>
      <c r="B886" t="s">
        <v>1027</v>
      </c>
      <c r="C886" t="s">
        <v>21</v>
      </c>
      <c r="D886" t="s">
        <v>851</v>
      </c>
      <c r="E886" t="s">
        <v>23</v>
      </c>
      <c r="F886">
        <v>0</v>
      </c>
      <c r="G886">
        <v>19</v>
      </c>
      <c r="H886">
        <v>0</v>
      </c>
      <c r="I886" t="s">
        <v>24</v>
      </c>
      <c r="J886" t="s">
        <v>25</v>
      </c>
      <c r="K886">
        <v>0</v>
      </c>
      <c r="L886">
        <v>0</v>
      </c>
      <c r="M886" t="s">
        <v>25</v>
      </c>
      <c r="N886" t="s">
        <v>25</v>
      </c>
      <c r="O886" t="s">
        <v>26</v>
      </c>
      <c r="P886" t="s">
        <v>25</v>
      </c>
      <c r="Q886" t="s">
        <v>27</v>
      </c>
      <c r="R886" t="s">
        <v>28</v>
      </c>
    </row>
    <row r="887" spans="1:18">
      <c r="A887">
        <v>891</v>
      </c>
      <c r="B887" t="s">
        <v>1028</v>
      </c>
      <c r="C887" t="s">
        <v>21</v>
      </c>
      <c r="D887" t="s">
        <v>851</v>
      </c>
      <c r="E887" t="s">
        <v>23</v>
      </c>
      <c r="F887">
        <v>0</v>
      </c>
      <c r="G887">
        <v>19</v>
      </c>
      <c r="H887">
        <v>0</v>
      </c>
      <c r="I887" t="s">
        <v>24</v>
      </c>
      <c r="J887" t="s">
        <v>25</v>
      </c>
      <c r="K887">
        <v>0</v>
      </c>
      <c r="L887">
        <v>0</v>
      </c>
      <c r="M887" t="s">
        <v>25</v>
      </c>
      <c r="N887" t="s">
        <v>25</v>
      </c>
      <c r="O887" t="s">
        <v>26</v>
      </c>
      <c r="P887" t="s">
        <v>25</v>
      </c>
      <c r="Q887" t="s">
        <v>27</v>
      </c>
      <c r="R887" t="s">
        <v>28</v>
      </c>
    </row>
    <row r="888" spans="1:18">
      <c r="A888">
        <v>892</v>
      </c>
      <c r="B888" t="s">
        <v>1029</v>
      </c>
      <c r="C888" t="s">
        <v>21</v>
      </c>
      <c r="D888" t="s">
        <v>22</v>
      </c>
      <c r="E888" t="s">
        <v>23</v>
      </c>
      <c r="F888">
        <v>0</v>
      </c>
      <c r="G888">
        <v>19</v>
      </c>
      <c r="H888">
        <v>0</v>
      </c>
      <c r="I888" t="s">
        <v>24</v>
      </c>
      <c r="J888" t="s">
        <v>25</v>
      </c>
      <c r="K888">
        <v>0</v>
      </c>
      <c r="L888">
        <v>0</v>
      </c>
      <c r="M888" t="s">
        <v>25</v>
      </c>
      <c r="N888" t="s">
        <v>25</v>
      </c>
      <c r="O888" t="s">
        <v>26</v>
      </c>
      <c r="P888" t="s">
        <v>25</v>
      </c>
      <c r="Q888" t="s">
        <v>27</v>
      </c>
      <c r="R888" t="s">
        <v>28</v>
      </c>
    </row>
    <row r="889" spans="1:18">
      <c r="A889">
        <v>893</v>
      </c>
      <c r="B889" t="s">
        <v>1030</v>
      </c>
      <c r="C889" t="s">
        <v>36</v>
      </c>
      <c r="D889" t="s">
        <v>634</v>
      </c>
      <c r="E889" t="s">
        <v>1031</v>
      </c>
      <c r="F889">
        <v>0</v>
      </c>
      <c r="G889">
        <v>19</v>
      </c>
      <c r="H889">
        <v>0</v>
      </c>
      <c r="I889" t="s">
        <v>24</v>
      </c>
      <c r="J889" t="s">
        <v>25</v>
      </c>
      <c r="K889">
        <v>0</v>
      </c>
      <c r="L889">
        <v>0</v>
      </c>
      <c r="M889" t="s">
        <v>25</v>
      </c>
      <c r="N889" t="s">
        <v>25</v>
      </c>
      <c r="O889" t="s">
        <v>26</v>
      </c>
      <c r="P889" t="s">
        <v>25</v>
      </c>
      <c r="Q889" t="s">
        <v>27</v>
      </c>
      <c r="R889" t="s">
        <v>28</v>
      </c>
    </row>
    <row r="890" spans="1:18">
      <c r="A890">
        <v>894</v>
      </c>
      <c r="B890" t="s">
        <v>1032</v>
      </c>
      <c r="C890" t="s">
        <v>36</v>
      </c>
      <c r="D890" t="s">
        <v>32</v>
      </c>
      <c r="E890" t="s">
        <v>1031</v>
      </c>
      <c r="F890">
        <v>0</v>
      </c>
      <c r="G890">
        <v>19</v>
      </c>
      <c r="H890">
        <v>0</v>
      </c>
      <c r="I890" t="s">
        <v>24</v>
      </c>
      <c r="J890" t="s">
        <v>25</v>
      </c>
      <c r="K890">
        <v>0</v>
      </c>
      <c r="L890">
        <v>0</v>
      </c>
      <c r="M890" t="s">
        <v>25</v>
      </c>
      <c r="N890" t="s">
        <v>25</v>
      </c>
      <c r="O890" t="s">
        <v>26</v>
      </c>
      <c r="P890" t="s">
        <v>25</v>
      </c>
      <c r="Q890" t="s">
        <v>27</v>
      </c>
      <c r="R890" t="s">
        <v>28</v>
      </c>
    </row>
    <row r="891" spans="1:18">
      <c r="A891">
        <v>895</v>
      </c>
      <c r="B891" t="s">
        <v>1033</v>
      </c>
      <c r="C891" t="s">
        <v>36</v>
      </c>
      <c r="D891" t="s">
        <v>634</v>
      </c>
      <c r="E891" t="s">
        <v>1031</v>
      </c>
      <c r="F891">
        <v>0</v>
      </c>
      <c r="G891">
        <v>19</v>
      </c>
      <c r="H891">
        <v>0</v>
      </c>
      <c r="I891" t="s">
        <v>24</v>
      </c>
      <c r="J891" t="s">
        <v>25</v>
      </c>
      <c r="K891">
        <v>0</v>
      </c>
      <c r="L891">
        <v>0</v>
      </c>
      <c r="M891" t="s">
        <v>25</v>
      </c>
      <c r="N891" t="s">
        <v>25</v>
      </c>
      <c r="O891" t="s">
        <v>26</v>
      </c>
      <c r="P891" t="s">
        <v>25</v>
      </c>
      <c r="Q891" t="s">
        <v>27</v>
      </c>
      <c r="R891" t="s">
        <v>28</v>
      </c>
    </row>
    <row r="892" spans="1:18">
      <c r="A892">
        <v>896</v>
      </c>
      <c r="B892" t="s">
        <v>1034</v>
      </c>
      <c r="C892" t="s">
        <v>36</v>
      </c>
      <c r="D892" t="s">
        <v>634</v>
      </c>
      <c r="E892" t="s">
        <v>1031</v>
      </c>
      <c r="F892">
        <v>0</v>
      </c>
      <c r="G892">
        <v>19</v>
      </c>
      <c r="H892">
        <v>0</v>
      </c>
      <c r="I892" t="s">
        <v>24</v>
      </c>
      <c r="J892" t="s">
        <v>25</v>
      </c>
      <c r="K892">
        <v>0</v>
      </c>
      <c r="L892">
        <v>0</v>
      </c>
      <c r="M892" t="s">
        <v>25</v>
      </c>
      <c r="N892" t="s">
        <v>25</v>
      </c>
      <c r="O892" t="s">
        <v>26</v>
      </c>
      <c r="P892" t="s">
        <v>25</v>
      </c>
      <c r="Q892" t="s">
        <v>27</v>
      </c>
      <c r="R892" t="s">
        <v>28</v>
      </c>
    </row>
    <row r="893" spans="1:18">
      <c r="A893">
        <v>897</v>
      </c>
      <c r="B893" t="s">
        <v>1035</v>
      </c>
      <c r="C893" t="s">
        <v>21</v>
      </c>
      <c r="D893" t="s">
        <v>32</v>
      </c>
      <c r="E893" t="s">
        <v>23</v>
      </c>
      <c r="F893">
        <v>0</v>
      </c>
      <c r="G893">
        <v>19</v>
      </c>
      <c r="H893">
        <v>0</v>
      </c>
      <c r="I893" t="s">
        <v>24</v>
      </c>
      <c r="J893" t="s">
        <v>25</v>
      </c>
      <c r="K893">
        <v>0</v>
      </c>
      <c r="L893">
        <v>0</v>
      </c>
      <c r="M893" t="s">
        <v>25</v>
      </c>
      <c r="N893" t="s">
        <v>25</v>
      </c>
      <c r="O893" t="s">
        <v>26</v>
      </c>
      <c r="P893" t="s">
        <v>25</v>
      </c>
      <c r="Q893" t="s">
        <v>27</v>
      </c>
      <c r="R893" t="s">
        <v>28</v>
      </c>
    </row>
    <row r="894" spans="1:18">
      <c r="A894">
        <v>898</v>
      </c>
      <c r="B894" t="s">
        <v>1036</v>
      </c>
      <c r="C894" t="s">
        <v>21</v>
      </c>
      <c r="D894" t="s">
        <v>32</v>
      </c>
      <c r="E894" t="s">
        <v>23</v>
      </c>
      <c r="F894">
        <v>0</v>
      </c>
      <c r="G894">
        <v>19</v>
      </c>
      <c r="H894">
        <v>0</v>
      </c>
      <c r="I894" t="s">
        <v>24</v>
      </c>
      <c r="J894" t="s">
        <v>25</v>
      </c>
      <c r="K894">
        <v>0</v>
      </c>
      <c r="L894">
        <v>0</v>
      </c>
      <c r="M894" t="s">
        <v>25</v>
      </c>
      <c r="N894" t="s">
        <v>25</v>
      </c>
      <c r="O894" t="s">
        <v>26</v>
      </c>
      <c r="P894" t="s">
        <v>25</v>
      </c>
      <c r="Q894" t="s">
        <v>27</v>
      </c>
      <c r="R894" t="s">
        <v>28</v>
      </c>
    </row>
    <row r="895" spans="1:18">
      <c r="A895">
        <v>899</v>
      </c>
      <c r="B895" t="s">
        <v>1037</v>
      </c>
      <c r="C895" t="s">
        <v>36</v>
      </c>
      <c r="D895" t="s">
        <v>32</v>
      </c>
      <c r="E895" t="s">
        <v>1031</v>
      </c>
      <c r="F895">
        <v>0</v>
      </c>
      <c r="G895">
        <v>19</v>
      </c>
      <c r="H895">
        <v>0</v>
      </c>
      <c r="I895" t="s">
        <v>24</v>
      </c>
      <c r="J895" t="s">
        <v>25</v>
      </c>
      <c r="K895">
        <v>0</v>
      </c>
      <c r="L895">
        <v>0</v>
      </c>
      <c r="M895" t="s">
        <v>25</v>
      </c>
      <c r="N895" t="s">
        <v>25</v>
      </c>
      <c r="O895" t="s">
        <v>26</v>
      </c>
      <c r="P895" t="s">
        <v>25</v>
      </c>
      <c r="Q895" t="s">
        <v>27</v>
      </c>
      <c r="R895" t="s">
        <v>28</v>
      </c>
    </row>
    <row r="896" spans="1:18">
      <c r="A896">
        <v>900</v>
      </c>
      <c r="B896" t="s">
        <v>1038</v>
      </c>
      <c r="C896" t="s">
        <v>21</v>
      </c>
      <c r="D896" t="s">
        <v>851</v>
      </c>
      <c r="E896" t="s">
        <v>23</v>
      </c>
      <c r="F896">
        <v>0</v>
      </c>
      <c r="G896">
        <v>19</v>
      </c>
      <c r="H896">
        <v>0</v>
      </c>
      <c r="I896" t="s">
        <v>24</v>
      </c>
      <c r="J896" t="s">
        <v>25</v>
      </c>
      <c r="K896">
        <v>0</v>
      </c>
      <c r="L896">
        <v>0</v>
      </c>
      <c r="M896" t="s">
        <v>25</v>
      </c>
      <c r="N896" t="s">
        <v>25</v>
      </c>
      <c r="O896" t="s">
        <v>26</v>
      </c>
      <c r="P896" t="s">
        <v>25</v>
      </c>
      <c r="Q896" t="s">
        <v>27</v>
      </c>
      <c r="R896" t="s">
        <v>28</v>
      </c>
    </row>
    <row r="897" spans="1:20">
      <c r="A897">
        <v>901</v>
      </c>
      <c r="B897" t="s">
        <v>1039</v>
      </c>
      <c r="C897" t="s">
        <v>21</v>
      </c>
      <c r="D897" t="s">
        <v>851</v>
      </c>
      <c r="E897" t="s">
        <v>23</v>
      </c>
      <c r="F897">
        <v>0</v>
      </c>
      <c r="G897">
        <v>19</v>
      </c>
      <c r="H897">
        <v>0</v>
      </c>
      <c r="I897" t="s">
        <v>24</v>
      </c>
      <c r="J897" t="s">
        <v>25</v>
      </c>
      <c r="K897">
        <v>0</v>
      </c>
      <c r="L897">
        <v>0</v>
      </c>
      <c r="M897" t="s">
        <v>25</v>
      </c>
      <c r="N897" t="s">
        <v>25</v>
      </c>
      <c r="O897" t="s">
        <v>26</v>
      </c>
      <c r="P897" t="s">
        <v>25</v>
      </c>
      <c r="Q897" t="s">
        <v>27</v>
      </c>
      <c r="R897" t="s">
        <v>28</v>
      </c>
    </row>
    <row r="898" spans="1:20">
      <c r="A898">
        <v>902</v>
      </c>
      <c r="B898" t="s">
        <v>1040</v>
      </c>
      <c r="C898" t="s">
        <v>21</v>
      </c>
      <c r="D898" t="s">
        <v>22</v>
      </c>
      <c r="E898" t="s">
        <v>23</v>
      </c>
      <c r="F898">
        <v>0</v>
      </c>
      <c r="G898">
        <v>19</v>
      </c>
      <c r="H898">
        <v>0</v>
      </c>
      <c r="I898" t="s">
        <v>24</v>
      </c>
      <c r="J898" t="s">
        <v>25</v>
      </c>
      <c r="K898">
        <v>0</v>
      </c>
      <c r="L898">
        <v>0</v>
      </c>
      <c r="M898" t="s">
        <v>25</v>
      </c>
      <c r="N898" t="s">
        <v>25</v>
      </c>
      <c r="O898" t="s">
        <v>26</v>
      </c>
      <c r="P898" t="s">
        <v>25</v>
      </c>
      <c r="Q898" t="s">
        <v>27</v>
      </c>
      <c r="R898" t="s">
        <v>28</v>
      </c>
    </row>
    <row r="899" spans="1:20">
      <c r="A899">
        <v>903</v>
      </c>
      <c r="B899" t="s">
        <v>1041</v>
      </c>
      <c r="C899" t="s">
        <v>21</v>
      </c>
      <c r="D899" t="s">
        <v>634</v>
      </c>
      <c r="E899" t="s">
        <v>23</v>
      </c>
      <c r="F899">
        <v>0</v>
      </c>
      <c r="G899">
        <v>19</v>
      </c>
      <c r="H899">
        <v>0</v>
      </c>
      <c r="I899" t="s">
        <v>24</v>
      </c>
      <c r="J899" t="s">
        <v>25</v>
      </c>
      <c r="K899">
        <v>0</v>
      </c>
      <c r="L899">
        <v>0</v>
      </c>
      <c r="M899" t="s">
        <v>25</v>
      </c>
      <c r="N899" t="s">
        <v>25</v>
      </c>
      <c r="O899" t="s">
        <v>26</v>
      </c>
      <c r="P899" t="s">
        <v>25</v>
      </c>
      <c r="Q899" t="s">
        <v>27</v>
      </c>
      <c r="R899" t="s">
        <v>28</v>
      </c>
    </row>
    <row r="900" spans="1:20">
      <c r="A900">
        <v>904</v>
      </c>
      <c r="B900" t="s">
        <v>1042</v>
      </c>
      <c r="C900" t="s">
        <v>21</v>
      </c>
      <c r="D900" t="s">
        <v>634</v>
      </c>
      <c r="E900" t="s">
        <v>23</v>
      </c>
      <c r="F900">
        <v>0</v>
      </c>
      <c r="G900">
        <v>19</v>
      </c>
      <c r="H900">
        <v>0</v>
      </c>
      <c r="I900" t="s">
        <v>24</v>
      </c>
      <c r="J900" t="s">
        <v>25</v>
      </c>
      <c r="K900">
        <v>0</v>
      </c>
      <c r="L900">
        <v>0</v>
      </c>
      <c r="M900" t="s">
        <v>25</v>
      </c>
      <c r="N900" t="s">
        <v>25</v>
      </c>
      <c r="O900" t="s">
        <v>26</v>
      </c>
      <c r="P900" t="s">
        <v>25</v>
      </c>
      <c r="Q900" t="s">
        <v>27</v>
      </c>
      <c r="R900" t="s">
        <v>28</v>
      </c>
    </row>
    <row r="901" spans="1:20">
      <c r="A901">
        <v>905</v>
      </c>
      <c r="B901" t="s">
        <v>1043</v>
      </c>
      <c r="C901" t="s">
        <v>21</v>
      </c>
      <c r="D901" t="s">
        <v>22</v>
      </c>
      <c r="E901" t="s">
        <v>23</v>
      </c>
      <c r="F901">
        <v>245000</v>
      </c>
      <c r="G901">
        <v>19</v>
      </c>
      <c r="H901">
        <v>291550</v>
      </c>
      <c r="I901" t="s">
        <v>24</v>
      </c>
      <c r="J901" t="s">
        <v>25</v>
      </c>
      <c r="K901">
        <v>0</v>
      </c>
      <c r="L901">
        <v>0</v>
      </c>
      <c r="M901" t="s">
        <v>25</v>
      </c>
      <c r="N901" t="s">
        <v>25</v>
      </c>
      <c r="O901" t="s">
        <v>26</v>
      </c>
      <c r="P901" t="s">
        <v>25</v>
      </c>
      <c r="Q901" t="s">
        <v>27</v>
      </c>
      <c r="R901" t="s">
        <v>28</v>
      </c>
      <c r="S901" t="s">
        <v>51</v>
      </c>
      <c r="T901" t="s">
        <v>1044</v>
      </c>
    </row>
    <row r="902" spans="1:20">
      <c r="A902">
        <v>906</v>
      </c>
      <c r="B902" t="s">
        <v>1045</v>
      </c>
      <c r="C902" t="s">
        <v>21</v>
      </c>
      <c r="D902" t="s">
        <v>32</v>
      </c>
      <c r="E902" t="s">
        <v>23</v>
      </c>
      <c r="F902">
        <v>0</v>
      </c>
      <c r="G902">
        <v>19</v>
      </c>
      <c r="H902">
        <v>0</v>
      </c>
      <c r="I902" t="s">
        <v>24</v>
      </c>
      <c r="J902" t="s">
        <v>25</v>
      </c>
      <c r="K902">
        <v>0</v>
      </c>
      <c r="L902">
        <v>0</v>
      </c>
      <c r="M902" t="s">
        <v>25</v>
      </c>
      <c r="N902" t="s">
        <v>25</v>
      </c>
      <c r="O902" t="s">
        <v>26</v>
      </c>
      <c r="P902" t="s">
        <v>25</v>
      </c>
      <c r="Q902" t="s">
        <v>27</v>
      </c>
      <c r="R902" t="s">
        <v>28</v>
      </c>
    </row>
    <row r="903" spans="1:20">
      <c r="A903">
        <v>907</v>
      </c>
      <c r="B903" t="s">
        <v>1046</v>
      </c>
      <c r="C903" t="s">
        <v>21</v>
      </c>
      <c r="D903" t="s">
        <v>851</v>
      </c>
      <c r="E903" t="s">
        <v>23</v>
      </c>
      <c r="F903">
        <v>0</v>
      </c>
      <c r="G903">
        <v>19</v>
      </c>
      <c r="H903">
        <v>0</v>
      </c>
      <c r="I903" t="s">
        <v>24</v>
      </c>
      <c r="J903" t="s">
        <v>25</v>
      </c>
      <c r="K903">
        <v>0</v>
      </c>
      <c r="L903">
        <v>0</v>
      </c>
      <c r="M903" t="s">
        <v>25</v>
      </c>
      <c r="N903" t="s">
        <v>25</v>
      </c>
      <c r="O903" t="s">
        <v>26</v>
      </c>
      <c r="P903" t="s">
        <v>25</v>
      </c>
      <c r="Q903" t="s">
        <v>27</v>
      </c>
      <c r="R903" t="s">
        <v>28</v>
      </c>
    </row>
    <row r="904" spans="1:20">
      <c r="A904">
        <v>908</v>
      </c>
      <c r="B904" t="s">
        <v>1047</v>
      </c>
      <c r="C904" t="s">
        <v>21</v>
      </c>
      <c r="D904" t="s">
        <v>32</v>
      </c>
      <c r="E904" t="s">
        <v>23</v>
      </c>
      <c r="F904">
        <v>0</v>
      </c>
      <c r="G904">
        <v>19</v>
      </c>
      <c r="H904">
        <v>0</v>
      </c>
      <c r="I904" t="s">
        <v>24</v>
      </c>
      <c r="J904" t="s">
        <v>25</v>
      </c>
      <c r="K904">
        <v>0</v>
      </c>
      <c r="L904">
        <v>0</v>
      </c>
      <c r="M904" t="s">
        <v>25</v>
      </c>
      <c r="N904" t="s">
        <v>25</v>
      </c>
      <c r="O904" t="s">
        <v>26</v>
      </c>
      <c r="P904" t="s">
        <v>25</v>
      </c>
      <c r="Q904" t="s">
        <v>27</v>
      </c>
      <c r="R904" t="s">
        <v>28</v>
      </c>
    </row>
    <row r="905" spans="1:20">
      <c r="A905">
        <v>909</v>
      </c>
      <c r="B905" t="s">
        <v>1048</v>
      </c>
      <c r="C905" t="s">
        <v>21</v>
      </c>
      <c r="D905" t="s">
        <v>851</v>
      </c>
      <c r="E905" t="s">
        <v>23</v>
      </c>
      <c r="F905">
        <v>0</v>
      </c>
      <c r="G905">
        <v>19</v>
      </c>
      <c r="H905">
        <v>0</v>
      </c>
      <c r="I905" t="s">
        <v>24</v>
      </c>
      <c r="J905" t="s">
        <v>25</v>
      </c>
      <c r="K905">
        <v>0</v>
      </c>
      <c r="L905">
        <v>0</v>
      </c>
      <c r="M905" t="s">
        <v>25</v>
      </c>
      <c r="N905" t="s">
        <v>25</v>
      </c>
      <c r="O905" t="s">
        <v>26</v>
      </c>
      <c r="P905" t="s">
        <v>25</v>
      </c>
      <c r="Q905" t="s">
        <v>27</v>
      </c>
      <c r="R905" t="s">
        <v>28</v>
      </c>
    </row>
    <row r="906" spans="1:20">
      <c r="A906">
        <v>910</v>
      </c>
      <c r="B906" t="s">
        <v>1049</v>
      </c>
      <c r="C906" t="s">
        <v>21</v>
      </c>
      <c r="D906" t="s">
        <v>851</v>
      </c>
      <c r="E906" t="s">
        <v>23</v>
      </c>
      <c r="F906">
        <v>0</v>
      </c>
      <c r="G906">
        <v>19</v>
      </c>
      <c r="H906">
        <v>0</v>
      </c>
      <c r="I906" t="s">
        <v>24</v>
      </c>
      <c r="J906" t="s">
        <v>25</v>
      </c>
      <c r="K906">
        <v>0</v>
      </c>
      <c r="L906">
        <v>0</v>
      </c>
      <c r="M906" t="s">
        <v>25</v>
      </c>
      <c r="N906" t="s">
        <v>25</v>
      </c>
      <c r="O906" t="s">
        <v>26</v>
      </c>
      <c r="P906" t="s">
        <v>25</v>
      </c>
      <c r="Q906" t="s">
        <v>27</v>
      </c>
      <c r="R906" t="s">
        <v>28</v>
      </c>
    </row>
    <row r="907" spans="1:20">
      <c r="A907">
        <v>911</v>
      </c>
      <c r="B907" t="s">
        <v>1050</v>
      </c>
      <c r="C907" t="s">
        <v>21</v>
      </c>
      <c r="D907" t="s">
        <v>634</v>
      </c>
      <c r="E907" t="s">
        <v>23</v>
      </c>
      <c r="F907">
        <v>0</v>
      </c>
      <c r="G907">
        <v>19</v>
      </c>
      <c r="H907">
        <v>0</v>
      </c>
      <c r="I907" t="s">
        <v>24</v>
      </c>
      <c r="J907" t="s">
        <v>25</v>
      </c>
      <c r="K907">
        <v>0</v>
      </c>
      <c r="L907">
        <v>0</v>
      </c>
      <c r="M907" t="s">
        <v>25</v>
      </c>
      <c r="N907" t="s">
        <v>25</v>
      </c>
      <c r="O907" t="s">
        <v>26</v>
      </c>
      <c r="P907" t="s">
        <v>25</v>
      </c>
      <c r="Q907" t="s">
        <v>27</v>
      </c>
      <c r="R907" t="s">
        <v>28</v>
      </c>
    </row>
    <row r="908" spans="1:20">
      <c r="A908">
        <v>912</v>
      </c>
      <c r="B908" t="s">
        <v>1051</v>
      </c>
      <c r="C908" t="s">
        <v>21</v>
      </c>
      <c r="D908" t="s">
        <v>22</v>
      </c>
      <c r="E908" t="s">
        <v>23</v>
      </c>
      <c r="F908">
        <v>897500</v>
      </c>
      <c r="G908">
        <v>19</v>
      </c>
      <c r="H908">
        <v>1068025</v>
      </c>
      <c r="I908" t="s">
        <v>24</v>
      </c>
      <c r="J908" t="s">
        <v>25</v>
      </c>
      <c r="K908">
        <v>0</v>
      </c>
      <c r="L908">
        <v>0</v>
      </c>
      <c r="M908" t="s">
        <v>25</v>
      </c>
      <c r="N908" t="s">
        <v>25</v>
      </c>
      <c r="O908" t="s">
        <v>26</v>
      </c>
      <c r="P908" t="s">
        <v>25</v>
      </c>
      <c r="Q908" t="s">
        <v>27</v>
      </c>
      <c r="R908" t="s">
        <v>28</v>
      </c>
      <c r="S908" t="s">
        <v>51</v>
      </c>
      <c r="T908" t="s">
        <v>65</v>
      </c>
    </row>
    <row r="909" spans="1:20">
      <c r="A909">
        <v>913</v>
      </c>
      <c r="B909" t="s">
        <v>1052</v>
      </c>
      <c r="C909" t="s">
        <v>21</v>
      </c>
      <c r="D909" t="s">
        <v>634</v>
      </c>
      <c r="E909" t="s">
        <v>23</v>
      </c>
      <c r="F909">
        <v>0</v>
      </c>
      <c r="G909">
        <v>19</v>
      </c>
      <c r="H909">
        <v>0</v>
      </c>
      <c r="I909" t="s">
        <v>24</v>
      </c>
      <c r="J909" t="s">
        <v>25</v>
      </c>
      <c r="K909">
        <v>0</v>
      </c>
      <c r="L909">
        <v>0</v>
      </c>
      <c r="M909" t="s">
        <v>25</v>
      </c>
      <c r="N909" t="s">
        <v>25</v>
      </c>
      <c r="O909" t="s">
        <v>26</v>
      </c>
      <c r="P909" t="s">
        <v>25</v>
      </c>
      <c r="Q909" t="s">
        <v>27</v>
      </c>
      <c r="R909" t="s">
        <v>28</v>
      </c>
    </row>
    <row r="910" spans="1:20">
      <c r="A910">
        <v>914</v>
      </c>
      <c r="B910" t="s">
        <v>1053</v>
      </c>
      <c r="C910" t="s">
        <v>21</v>
      </c>
      <c r="D910" t="s">
        <v>634</v>
      </c>
      <c r="E910" t="s">
        <v>23</v>
      </c>
      <c r="F910">
        <v>0</v>
      </c>
      <c r="G910">
        <v>19</v>
      </c>
      <c r="H910">
        <v>0</v>
      </c>
      <c r="I910" t="s">
        <v>24</v>
      </c>
      <c r="J910" t="s">
        <v>25</v>
      </c>
      <c r="K910">
        <v>0</v>
      </c>
      <c r="L910">
        <v>0</v>
      </c>
      <c r="M910" t="s">
        <v>25</v>
      </c>
      <c r="N910" t="s">
        <v>25</v>
      </c>
      <c r="O910" t="s">
        <v>26</v>
      </c>
      <c r="P910" t="s">
        <v>25</v>
      </c>
      <c r="Q910" t="s">
        <v>27</v>
      </c>
      <c r="R910" t="s">
        <v>28</v>
      </c>
    </row>
    <row r="911" spans="1:20">
      <c r="A911">
        <v>915</v>
      </c>
      <c r="B911" t="s">
        <v>1054</v>
      </c>
      <c r="C911" t="s">
        <v>21</v>
      </c>
      <c r="D911" t="s">
        <v>32</v>
      </c>
      <c r="E911" t="s">
        <v>23</v>
      </c>
      <c r="F911">
        <v>0</v>
      </c>
      <c r="G911">
        <v>19</v>
      </c>
      <c r="H911">
        <v>0</v>
      </c>
      <c r="I911" t="s">
        <v>24</v>
      </c>
      <c r="J911" t="s">
        <v>25</v>
      </c>
      <c r="K911">
        <v>0</v>
      </c>
      <c r="L911">
        <v>0</v>
      </c>
      <c r="M911" t="s">
        <v>25</v>
      </c>
      <c r="N911" t="s">
        <v>25</v>
      </c>
      <c r="O911" t="s">
        <v>26</v>
      </c>
      <c r="P911" t="s">
        <v>25</v>
      </c>
      <c r="Q911" t="s">
        <v>27</v>
      </c>
      <c r="R911" t="s">
        <v>28</v>
      </c>
    </row>
    <row r="912" spans="1:20">
      <c r="A912">
        <v>916</v>
      </c>
      <c r="B912" t="s">
        <v>1055</v>
      </c>
      <c r="C912" t="s">
        <v>21</v>
      </c>
      <c r="D912" t="s">
        <v>634</v>
      </c>
      <c r="E912" t="s">
        <v>23</v>
      </c>
      <c r="F912">
        <v>0</v>
      </c>
      <c r="G912">
        <v>19</v>
      </c>
      <c r="H912">
        <v>0</v>
      </c>
      <c r="I912" t="s">
        <v>24</v>
      </c>
      <c r="J912" t="s">
        <v>25</v>
      </c>
      <c r="K912">
        <v>0</v>
      </c>
      <c r="L912">
        <v>0</v>
      </c>
      <c r="M912" t="s">
        <v>25</v>
      </c>
      <c r="N912" t="s">
        <v>25</v>
      </c>
      <c r="O912" t="s">
        <v>26</v>
      </c>
      <c r="P912" t="s">
        <v>25</v>
      </c>
      <c r="Q912" t="s">
        <v>27</v>
      </c>
      <c r="R912" t="s">
        <v>28</v>
      </c>
    </row>
    <row r="913" spans="1:18">
      <c r="A913">
        <v>917</v>
      </c>
      <c r="B913" t="s">
        <v>1056</v>
      </c>
      <c r="C913" t="s">
        <v>21</v>
      </c>
      <c r="D913" t="s">
        <v>634</v>
      </c>
      <c r="E913" t="s">
        <v>23</v>
      </c>
      <c r="F913">
        <v>0</v>
      </c>
      <c r="G913">
        <v>19</v>
      </c>
      <c r="H913">
        <v>0</v>
      </c>
      <c r="I913" t="s">
        <v>24</v>
      </c>
      <c r="J913" t="s">
        <v>25</v>
      </c>
      <c r="K913">
        <v>0</v>
      </c>
      <c r="L913">
        <v>0</v>
      </c>
      <c r="M913" t="s">
        <v>25</v>
      </c>
      <c r="N913" t="s">
        <v>25</v>
      </c>
      <c r="O913" t="s">
        <v>26</v>
      </c>
      <c r="P913" t="s">
        <v>25</v>
      </c>
      <c r="Q913" t="s">
        <v>27</v>
      </c>
      <c r="R913" t="s">
        <v>28</v>
      </c>
    </row>
    <row r="914" spans="1:18">
      <c r="A914">
        <v>918</v>
      </c>
      <c r="B914" t="s">
        <v>1057</v>
      </c>
      <c r="C914" t="s">
        <v>21</v>
      </c>
      <c r="D914" t="s">
        <v>851</v>
      </c>
      <c r="E914" t="s">
        <v>23</v>
      </c>
      <c r="F914">
        <v>0</v>
      </c>
      <c r="G914">
        <v>19</v>
      </c>
      <c r="H914">
        <v>0</v>
      </c>
      <c r="I914" t="s">
        <v>24</v>
      </c>
      <c r="J914" t="s">
        <v>25</v>
      </c>
      <c r="K914">
        <v>0</v>
      </c>
      <c r="L914">
        <v>0</v>
      </c>
      <c r="M914" t="s">
        <v>25</v>
      </c>
      <c r="N914" t="s">
        <v>25</v>
      </c>
      <c r="O914" t="s">
        <v>26</v>
      </c>
      <c r="P914" t="s">
        <v>25</v>
      </c>
      <c r="Q914" t="s">
        <v>27</v>
      </c>
      <c r="R914" t="s">
        <v>28</v>
      </c>
    </row>
    <row r="915" spans="1:18">
      <c r="A915">
        <v>919</v>
      </c>
      <c r="B915" t="s">
        <v>1058</v>
      </c>
      <c r="C915" t="s">
        <v>21</v>
      </c>
      <c r="D915" t="s">
        <v>22</v>
      </c>
      <c r="E915" t="s">
        <v>23</v>
      </c>
      <c r="F915">
        <v>0</v>
      </c>
      <c r="G915">
        <v>19</v>
      </c>
      <c r="H915">
        <v>0</v>
      </c>
      <c r="I915" t="s">
        <v>24</v>
      </c>
      <c r="J915" t="s">
        <v>25</v>
      </c>
      <c r="K915">
        <v>0</v>
      </c>
      <c r="L915">
        <v>0</v>
      </c>
      <c r="M915" t="s">
        <v>25</v>
      </c>
      <c r="N915" t="s">
        <v>25</v>
      </c>
      <c r="O915" t="s">
        <v>26</v>
      </c>
      <c r="P915" t="s">
        <v>25</v>
      </c>
      <c r="Q915" t="s">
        <v>27</v>
      </c>
      <c r="R915" t="s">
        <v>28</v>
      </c>
    </row>
    <row r="916" spans="1:18">
      <c r="A916">
        <v>920</v>
      </c>
      <c r="B916" t="s">
        <v>1059</v>
      </c>
      <c r="C916" t="s">
        <v>21</v>
      </c>
      <c r="D916" t="s">
        <v>22</v>
      </c>
      <c r="E916" t="s">
        <v>23</v>
      </c>
      <c r="F916">
        <v>0</v>
      </c>
      <c r="G916">
        <v>19</v>
      </c>
      <c r="H916">
        <v>0</v>
      </c>
      <c r="I916" t="s">
        <v>24</v>
      </c>
      <c r="J916" t="s">
        <v>25</v>
      </c>
      <c r="K916">
        <v>0</v>
      </c>
      <c r="L916">
        <v>0</v>
      </c>
      <c r="M916" t="s">
        <v>25</v>
      </c>
      <c r="N916" t="s">
        <v>25</v>
      </c>
      <c r="O916" t="s">
        <v>26</v>
      </c>
      <c r="P916" t="s">
        <v>25</v>
      </c>
      <c r="Q916" t="s">
        <v>27</v>
      </c>
      <c r="R916" t="s">
        <v>28</v>
      </c>
    </row>
    <row r="917" spans="1:18">
      <c r="A917">
        <v>921</v>
      </c>
      <c r="B917" t="s">
        <v>1060</v>
      </c>
      <c r="C917" t="s">
        <v>21</v>
      </c>
      <c r="D917" t="s">
        <v>283</v>
      </c>
      <c r="E917" t="s">
        <v>23</v>
      </c>
      <c r="F917">
        <v>0</v>
      </c>
      <c r="G917">
        <v>19</v>
      </c>
      <c r="H917">
        <v>0</v>
      </c>
      <c r="I917" t="s">
        <v>24</v>
      </c>
      <c r="J917" t="s">
        <v>25</v>
      </c>
      <c r="K917">
        <v>0</v>
      </c>
      <c r="L917">
        <v>0</v>
      </c>
      <c r="M917" t="s">
        <v>25</v>
      </c>
      <c r="N917" t="s">
        <v>25</v>
      </c>
      <c r="O917" t="s">
        <v>26</v>
      </c>
      <c r="P917" t="s">
        <v>25</v>
      </c>
      <c r="Q917" t="s">
        <v>27</v>
      </c>
      <c r="R917" t="s">
        <v>28</v>
      </c>
    </row>
    <row r="918" spans="1:18">
      <c r="A918">
        <v>922</v>
      </c>
      <c r="B918" t="s">
        <v>1061</v>
      </c>
      <c r="C918" t="s">
        <v>21</v>
      </c>
      <c r="D918" t="s">
        <v>32</v>
      </c>
      <c r="E918" t="s">
        <v>23</v>
      </c>
      <c r="F918">
        <v>0</v>
      </c>
      <c r="G918">
        <v>19</v>
      </c>
      <c r="H918">
        <v>0</v>
      </c>
      <c r="I918" t="s">
        <v>24</v>
      </c>
      <c r="J918" t="s">
        <v>25</v>
      </c>
      <c r="K918">
        <v>0</v>
      </c>
      <c r="L918">
        <v>0</v>
      </c>
      <c r="M918" t="s">
        <v>25</v>
      </c>
      <c r="N918" t="s">
        <v>25</v>
      </c>
      <c r="O918" t="s">
        <v>26</v>
      </c>
      <c r="P918" t="s">
        <v>25</v>
      </c>
      <c r="Q918" t="s">
        <v>27</v>
      </c>
      <c r="R918" t="s">
        <v>28</v>
      </c>
    </row>
    <row r="919" spans="1:18">
      <c r="A919">
        <v>923</v>
      </c>
      <c r="B919" t="s">
        <v>1062</v>
      </c>
      <c r="C919" t="s">
        <v>21</v>
      </c>
      <c r="D919" t="s">
        <v>634</v>
      </c>
      <c r="E919" t="s">
        <v>23</v>
      </c>
      <c r="F919">
        <v>0</v>
      </c>
      <c r="G919">
        <v>19</v>
      </c>
      <c r="H919">
        <v>0</v>
      </c>
      <c r="I919" t="s">
        <v>24</v>
      </c>
      <c r="J919" t="s">
        <v>25</v>
      </c>
      <c r="K919">
        <v>0</v>
      </c>
      <c r="L919">
        <v>0</v>
      </c>
      <c r="M919" t="s">
        <v>25</v>
      </c>
      <c r="N919" t="s">
        <v>25</v>
      </c>
      <c r="O919" t="s">
        <v>26</v>
      </c>
      <c r="P919" t="s">
        <v>25</v>
      </c>
      <c r="Q919" t="s">
        <v>27</v>
      </c>
      <c r="R919" t="s">
        <v>28</v>
      </c>
    </row>
    <row r="920" spans="1:18">
      <c r="A920">
        <v>924</v>
      </c>
      <c r="B920" t="s">
        <v>1063</v>
      </c>
      <c r="C920" t="s">
        <v>21</v>
      </c>
      <c r="D920" t="s">
        <v>634</v>
      </c>
      <c r="E920" t="s">
        <v>23</v>
      </c>
      <c r="F920">
        <v>0</v>
      </c>
      <c r="G920">
        <v>19</v>
      </c>
      <c r="H920">
        <v>0</v>
      </c>
      <c r="I920" t="s">
        <v>24</v>
      </c>
      <c r="J920" t="s">
        <v>25</v>
      </c>
      <c r="K920">
        <v>0</v>
      </c>
      <c r="L920">
        <v>0</v>
      </c>
      <c r="M920" t="s">
        <v>25</v>
      </c>
      <c r="N920" t="s">
        <v>25</v>
      </c>
      <c r="O920" t="s">
        <v>26</v>
      </c>
      <c r="P920" t="s">
        <v>25</v>
      </c>
      <c r="Q920" t="s">
        <v>27</v>
      </c>
      <c r="R920" t="s">
        <v>28</v>
      </c>
    </row>
    <row r="921" spans="1:18">
      <c r="A921">
        <v>925</v>
      </c>
      <c r="B921" t="s">
        <v>1064</v>
      </c>
      <c r="C921" t="s">
        <v>21</v>
      </c>
      <c r="D921" t="s">
        <v>634</v>
      </c>
      <c r="E921" t="s">
        <v>23</v>
      </c>
      <c r="F921">
        <v>0</v>
      </c>
      <c r="G921">
        <v>19</v>
      </c>
      <c r="H921">
        <v>0</v>
      </c>
      <c r="I921" t="s">
        <v>24</v>
      </c>
      <c r="J921" t="s">
        <v>25</v>
      </c>
      <c r="K921">
        <v>0</v>
      </c>
      <c r="L921">
        <v>0</v>
      </c>
      <c r="M921" t="s">
        <v>25</v>
      </c>
      <c r="N921" t="s">
        <v>25</v>
      </c>
      <c r="O921" t="s">
        <v>26</v>
      </c>
      <c r="P921" t="s">
        <v>25</v>
      </c>
      <c r="Q921" t="s">
        <v>27</v>
      </c>
      <c r="R921" t="s">
        <v>28</v>
      </c>
    </row>
    <row r="922" spans="1:18">
      <c r="A922">
        <v>926</v>
      </c>
      <c r="B922" t="s">
        <v>1065</v>
      </c>
      <c r="C922" t="s">
        <v>21</v>
      </c>
      <c r="D922" t="s">
        <v>283</v>
      </c>
      <c r="E922" t="s">
        <v>23</v>
      </c>
      <c r="F922">
        <v>0</v>
      </c>
      <c r="G922">
        <v>19</v>
      </c>
      <c r="H922">
        <v>0</v>
      </c>
      <c r="I922" t="s">
        <v>24</v>
      </c>
      <c r="J922" t="s">
        <v>25</v>
      </c>
      <c r="K922">
        <v>0</v>
      </c>
      <c r="L922">
        <v>0</v>
      </c>
      <c r="M922" t="s">
        <v>25</v>
      </c>
      <c r="N922" t="s">
        <v>25</v>
      </c>
      <c r="O922" t="s">
        <v>26</v>
      </c>
      <c r="P922" t="s">
        <v>25</v>
      </c>
      <c r="Q922" t="s">
        <v>27</v>
      </c>
      <c r="R922" t="s">
        <v>28</v>
      </c>
    </row>
    <row r="923" spans="1:18">
      <c r="A923">
        <v>927</v>
      </c>
      <c r="B923" t="s">
        <v>1066</v>
      </c>
      <c r="C923" t="s">
        <v>21</v>
      </c>
      <c r="D923" t="s">
        <v>283</v>
      </c>
      <c r="E923" t="s">
        <v>23</v>
      </c>
      <c r="F923">
        <v>0</v>
      </c>
      <c r="G923">
        <v>19</v>
      </c>
      <c r="H923">
        <v>0</v>
      </c>
      <c r="I923" t="s">
        <v>24</v>
      </c>
      <c r="J923" t="s">
        <v>25</v>
      </c>
      <c r="K923">
        <v>0</v>
      </c>
      <c r="L923">
        <v>0</v>
      </c>
      <c r="M923" t="s">
        <v>25</v>
      </c>
      <c r="N923" t="s">
        <v>25</v>
      </c>
      <c r="O923" t="s">
        <v>26</v>
      </c>
      <c r="P923" t="s">
        <v>25</v>
      </c>
      <c r="Q923" t="s">
        <v>27</v>
      </c>
      <c r="R923" t="s">
        <v>28</v>
      </c>
    </row>
    <row r="924" spans="1:18">
      <c r="A924">
        <v>928</v>
      </c>
      <c r="B924" t="s">
        <v>1067</v>
      </c>
      <c r="C924" t="s">
        <v>21</v>
      </c>
      <c r="D924" t="s">
        <v>22</v>
      </c>
      <c r="E924" t="s">
        <v>23</v>
      </c>
      <c r="F924">
        <v>0</v>
      </c>
      <c r="G924">
        <v>19</v>
      </c>
      <c r="H924">
        <v>0</v>
      </c>
      <c r="I924" t="s">
        <v>24</v>
      </c>
      <c r="J924" t="s">
        <v>25</v>
      </c>
      <c r="K924">
        <v>0</v>
      </c>
      <c r="L924">
        <v>0</v>
      </c>
      <c r="M924" t="s">
        <v>25</v>
      </c>
      <c r="N924" t="s">
        <v>25</v>
      </c>
      <c r="O924" t="s">
        <v>26</v>
      </c>
      <c r="P924" t="s">
        <v>25</v>
      </c>
      <c r="Q924" t="s">
        <v>27</v>
      </c>
      <c r="R924" t="s">
        <v>28</v>
      </c>
    </row>
    <row r="925" spans="1:18">
      <c r="A925">
        <v>929</v>
      </c>
      <c r="B925" t="s">
        <v>1068</v>
      </c>
      <c r="C925" t="s">
        <v>21</v>
      </c>
      <c r="D925" t="s">
        <v>851</v>
      </c>
      <c r="E925" t="s">
        <v>23</v>
      </c>
      <c r="F925">
        <v>0</v>
      </c>
      <c r="G925">
        <v>19</v>
      </c>
      <c r="H925">
        <v>0</v>
      </c>
      <c r="I925" t="s">
        <v>24</v>
      </c>
      <c r="J925" t="s">
        <v>25</v>
      </c>
      <c r="K925">
        <v>0</v>
      </c>
      <c r="L925">
        <v>0</v>
      </c>
      <c r="M925" t="s">
        <v>25</v>
      </c>
      <c r="N925" t="s">
        <v>25</v>
      </c>
      <c r="O925" t="s">
        <v>26</v>
      </c>
      <c r="P925" t="s">
        <v>25</v>
      </c>
      <c r="Q925" t="s">
        <v>27</v>
      </c>
      <c r="R925" t="s">
        <v>28</v>
      </c>
    </row>
    <row r="926" spans="1:18">
      <c r="A926">
        <v>930</v>
      </c>
      <c r="B926" t="s">
        <v>1069</v>
      </c>
      <c r="C926" t="s">
        <v>21</v>
      </c>
      <c r="D926" t="s">
        <v>851</v>
      </c>
      <c r="E926" t="s">
        <v>23</v>
      </c>
      <c r="F926">
        <v>0</v>
      </c>
      <c r="G926">
        <v>19</v>
      </c>
      <c r="H926">
        <v>0</v>
      </c>
      <c r="I926" t="s">
        <v>24</v>
      </c>
      <c r="J926" t="s">
        <v>25</v>
      </c>
      <c r="K926">
        <v>0</v>
      </c>
      <c r="L926">
        <v>0</v>
      </c>
      <c r="M926" t="s">
        <v>25</v>
      </c>
      <c r="N926" t="s">
        <v>25</v>
      </c>
      <c r="O926" t="s">
        <v>26</v>
      </c>
      <c r="P926" t="s">
        <v>25</v>
      </c>
      <c r="Q926" t="s">
        <v>27</v>
      </c>
      <c r="R926" t="s">
        <v>28</v>
      </c>
    </row>
    <row r="927" spans="1:18">
      <c r="A927">
        <v>931</v>
      </c>
      <c r="B927" t="s">
        <v>1070</v>
      </c>
      <c r="C927" t="s">
        <v>21</v>
      </c>
      <c r="D927" t="s">
        <v>851</v>
      </c>
      <c r="E927" t="s">
        <v>23</v>
      </c>
      <c r="F927">
        <v>0</v>
      </c>
      <c r="G927">
        <v>19</v>
      </c>
      <c r="H927">
        <v>0</v>
      </c>
      <c r="I927" t="s">
        <v>24</v>
      </c>
      <c r="J927" t="s">
        <v>25</v>
      </c>
      <c r="K927">
        <v>0</v>
      </c>
      <c r="L927">
        <v>0</v>
      </c>
      <c r="M927" t="s">
        <v>25</v>
      </c>
      <c r="N927" t="s">
        <v>25</v>
      </c>
      <c r="O927" t="s">
        <v>26</v>
      </c>
      <c r="P927" t="s">
        <v>25</v>
      </c>
      <c r="Q927" t="s">
        <v>27</v>
      </c>
      <c r="R927" t="s">
        <v>28</v>
      </c>
    </row>
    <row r="928" spans="1:18">
      <c r="A928">
        <v>932</v>
      </c>
      <c r="B928" t="s">
        <v>1071</v>
      </c>
      <c r="C928" t="s">
        <v>21</v>
      </c>
      <c r="D928" t="s">
        <v>851</v>
      </c>
      <c r="E928" t="s">
        <v>23</v>
      </c>
      <c r="F928">
        <v>0</v>
      </c>
      <c r="G928">
        <v>19</v>
      </c>
      <c r="H928">
        <v>0</v>
      </c>
      <c r="I928" t="s">
        <v>24</v>
      </c>
      <c r="J928" t="s">
        <v>25</v>
      </c>
      <c r="K928">
        <v>0</v>
      </c>
      <c r="L928">
        <v>0</v>
      </c>
      <c r="M928" t="s">
        <v>25</v>
      </c>
      <c r="N928" t="s">
        <v>25</v>
      </c>
      <c r="O928" t="s">
        <v>26</v>
      </c>
      <c r="P928" t="s">
        <v>25</v>
      </c>
      <c r="Q928" t="s">
        <v>27</v>
      </c>
      <c r="R928" t="s">
        <v>28</v>
      </c>
    </row>
    <row r="929" spans="1:20">
      <c r="A929">
        <v>933</v>
      </c>
      <c r="B929" t="s">
        <v>1072</v>
      </c>
      <c r="C929" t="s">
        <v>21</v>
      </c>
      <c r="D929" t="s">
        <v>22</v>
      </c>
      <c r="E929" t="s">
        <v>23</v>
      </c>
      <c r="F929">
        <v>225500</v>
      </c>
      <c r="G929">
        <v>19</v>
      </c>
      <c r="H929">
        <v>268345</v>
      </c>
      <c r="I929" t="s">
        <v>24</v>
      </c>
      <c r="J929" t="s">
        <v>25</v>
      </c>
      <c r="K929">
        <v>0</v>
      </c>
      <c r="L929">
        <v>0</v>
      </c>
      <c r="M929" t="s">
        <v>25</v>
      </c>
      <c r="N929" t="s">
        <v>25</v>
      </c>
      <c r="O929" t="s">
        <v>26</v>
      </c>
      <c r="P929" t="s">
        <v>25</v>
      </c>
      <c r="Q929" t="s">
        <v>27</v>
      </c>
      <c r="R929" t="s">
        <v>28</v>
      </c>
      <c r="S929" t="s">
        <v>51</v>
      </c>
      <c r="T929" t="s">
        <v>729</v>
      </c>
    </row>
    <row r="930" spans="1:20">
      <c r="A930">
        <v>934</v>
      </c>
      <c r="B930" t="s">
        <v>1073</v>
      </c>
      <c r="C930" t="s">
        <v>21</v>
      </c>
      <c r="D930" t="s">
        <v>22</v>
      </c>
      <c r="E930" t="s">
        <v>23</v>
      </c>
      <c r="F930">
        <v>548000</v>
      </c>
      <c r="G930">
        <v>19</v>
      </c>
      <c r="H930">
        <v>652120</v>
      </c>
      <c r="I930" t="s">
        <v>24</v>
      </c>
      <c r="J930" t="s">
        <v>25</v>
      </c>
      <c r="K930">
        <v>0</v>
      </c>
      <c r="L930">
        <v>0</v>
      </c>
      <c r="M930" t="s">
        <v>25</v>
      </c>
      <c r="N930" t="s">
        <v>25</v>
      </c>
      <c r="O930" t="s">
        <v>26</v>
      </c>
      <c r="P930" t="s">
        <v>25</v>
      </c>
      <c r="Q930" t="s">
        <v>27</v>
      </c>
      <c r="R930" t="s">
        <v>28</v>
      </c>
      <c r="S930" t="s">
        <v>51</v>
      </c>
      <c r="T930" t="s">
        <v>729</v>
      </c>
    </row>
    <row r="931" spans="1:20">
      <c r="A931">
        <v>935</v>
      </c>
      <c r="B931" t="s">
        <v>1074</v>
      </c>
      <c r="C931" t="s">
        <v>21</v>
      </c>
      <c r="D931" t="s">
        <v>22</v>
      </c>
      <c r="E931" t="s">
        <v>23</v>
      </c>
      <c r="F931">
        <v>0</v>
      </c>
      <c r="G931">
        <v>19</v>
      </c>
      <c r="H931">
        <v>0</v>
      </c>
      <c r="I931" t="s">
        <v>24</v>
      </c>
      <c r="J931" t="s">
        <v>25</v>
      </c>
      <c r="K931">
        <v>0</v>
      </c>
      <c r="L931">
        <v>0</v>
      </c>
      <c r="M931" t="s">
        <v>25</v>
      </c>
      <c r="N931" t="s">
        <v>25</v>
      </c>
      <c r="O931" t="s">
        <v>26</v>
      </c>
      <c r="P931" t="s">
        <v>25</v>
      </c>
      <c r="Q931" t="s">
        <v>27</v>
      </c>
      <c r="R931" t="s">
        <v>28</v>
      </c>
    </row>
    <row r="932" spans="1:20">
      <c r="A932">
        <v>936</v>
      </c>
      <c r="B932" t="s">
        <v>1075</v>
      </c>
      <c r="C932" t="s">
        <v>21</v>
      </c>
      <c r="D932" t="s">
        <v>851</v>
      </c>
      <c r="E932" t="s">
        <v>23</v>
      </c>
      <c r="F932">
        <v>0</v>
      </c>
      <c r="G932">
        <v>19</v>
      </c>
      <c r="H932">
        <v>0</v>
      </c>
      <c r="I932" t="s">
        <v>24</v>
      </c>
      <c r="J932" t="s">
        <v>25</v>
      </c>
      <c r="K932">
        <v>0</v>
      </c>
      <c r="L932">
        <v>0</v>
      </c>
      <c r="M932" t="s">
        <v>25</v>
      </c>
      <c r="N932" t="s">
        <v>25</v>
      </c>
      <c r="O932" t="s">
        <v>26</v>
      </c>
      <c r="P932" t="s">
        <v>25</v>
      </c>
      <c r="Q932" t="s">
        <v>27</v>
      </c>
      <c r="R932" t="s">
        <v>28</v>
      </c>
    </row>
    <row r="933" spans="1:20">
      <c r="A933">
        <v>937</v>
      </c>
      <c r="B933" t="s">
        <v>1076</v>
      </c>
      <c r="C933" t="s">
        <v>21</v>
      </c>
      <c r="D933" t="s">
        <v>851</v>
      </c>
      <c r="E933" t="s">
        <v>23</v>
      </c>
      <c r="F933">
        <v>0</v>
      </c>
      <c r="G933">
        <v>19</v>
      </c>
      <c r="H933">
        <v>0</v>
      </c>
      <c r="I933" t="s">
        <v>24</v>
      </c>
      <c r="J933" t="s">
        <v>25</v>
      </c>
      <c r="K933">
        <v>0</v>
      </c>
      <c r="L933">
        <v>0</v>
      </c>
      <c r="M933" t="s">
        <v>25</v>
      </c>
      <c r="N933" t="s">
        <v>25</v>
      </c>
      <c r="O933" t="s">
        <v>26</v>
      </c>
      <c r="P933" t="s">
        <v>25</v>
      </c>
      <c r="Q933" t="s">
        <v>27</v>
      </c>
      <c r="R933" t="s">
        <v>28</v>
      </c>
    </row>
    <row r="934" spans="1:20">
      <c r="A934">
        <v>938</v>
      </c>
      <c r="B934" t="s">
        <v>1077</v>
      </c>
      <c r="C934" t="s">
        <v>21</v>
      </c>
      <c r="D934" t="s">
        <v>851</v>
      </c>
      <c r="E934" t="s">
        <v>23</v>
      </c>
      <c r="F934">
        <v>0</v>
      </c>
      <c r="G934">
        <v>19</v>
      </c>
      <c r="H934">
        <v>0</v>
      </c>
      <c r="I934" t="s">
        <v>24</v>
      </c>
      <c r="J934" t="s">
        <v>25</v>
      </c>
      <c r="K934">
        <v>0</v>
      </c>
      <c r="L934">
        <v>0</v>
      </c>
      <c r="M934" t="s">
        <v>25</v>
      </c>
      <c r="N934" t="s">
        <v>25</v>
      </c>
      <c r="O934" t="s">
        <v>26</v>
      </c>
      <c r="P934" t="s">
        <v>25</v>
      </c>
      <c r="Q934" t="s">
        <v>27</v>
      </c>
      <c r="R934" t="s">
        <v>28</v>
      </c>
    </row>
    <row r="935" spans="1:20">
      <c r="A935">
        <v>939</v>
      </c>
      <c r="B935" t="s">
        <v>1078</v>
      </c>
      <c r="C935" t="s">
        <v>21</v>
      </c>
      <c r="D935" t="s">
        <v>22</v>
      </c>
      <c r="E935" t="s">
        <v>23</v>
      </c>
      <c r="F935">
        <v>0</v>
      </c>
      <c r="G935">
        <v>19</v>
      </c>
      <c r="H935">
        <v>0</v>
      </c>
      <c r="I935" t="s">
        <v>24</v>
      </c>
      <c r="J935" t="s">
        <v>25</v>
      </c>
      <c r="K935">
        <v>0</v>
      </c>
      <c r="L935">
        <v>0</v>
      </c>
      <c r="M935" t="s">
        <v>25</v>
      </c>
      <c r="N935" t="s">
        <v>25</v>
      </c>
      <c r="O935" t="s">
        <v>26</v>
      </c>
      <c r="P935" t="s">
        <v>25</v>
      </c>
      <c r="Q935" t="s">
        <v>27</v>
      </c>
      <c r="R935" t="s">
        <v>28</v>
      </c>
    </row>
    <row r="936" spans="1:20">
      <c r="A936">
        <v>940</v>
      </c>
      <c r="B936" t="s">
        <v>1079</v>
      </c>
      <c r="C936" t="s">
        <v>21</v>
      </c>
      <c r="D936" t="s">
        <v>851</v>
      </c>
      <c r="E936" t="s">
        <v>23</v>
      </c>
      <c r="F936">
        <v>0</v>
      </c>
      <c r="G936">
        <v>19</v>
      </c>
      <c r="H936">
        <v>0</v>
      </c>
      <c r="I936" t="s">
        <v>24</v>
      </c>
      <c r="J936" t="s">
        <v>25</v>
      </c>
      <c r="K936">
        <v>0</v>
      </c>
      <c r="L936">
        <v>0</v>
      </c>
      <c r="M936" t="s">
        <v>25</v>
      </c>
      <c r="N936" t="s">
        <v>25</v>
      </c>
      <c r="O936" t="s">
        <v>26</v>
      </c>
      <c r="P936" t="s">
        <v>25</v>
      </c>
      <c r="Q936" t="s">
        <v>27</v>
      </c>
      <c r="R936" t="s">
        <v>28</v>
      </c>
    </row>
    <row r="937" spans="1:20">
      <c r="A937">
        <v>941</v>
      </c>
      <c r="B937" t="s">
        <v>1080</v>
      </c>
      <c r="C937" t="s">
        <v>21</v>
      </c>
      <c r="D937" t="s">
        <v>22</v>
      </c>
      <c r="E937" t="s">
        <v>23</v>
      </c>
      <c r="F937">
        <v>874800</v>
      </c>
      <c r="G937">
        <v>19</v>
      </c>
      <c r="H937">
        <v>1041012</v>
      </c>
      <c r="I937" t="s">
        <v>24</v>
      </c>
      <c r="J937" t="s">
        <v>25</v>
      </c>
      <c r="K937">
        <v>0</v>
      </c>
      <c r="L937">
        <v>0</v>
      </c>
      <c r="M937" t="s">
        <v>25</v>
      </c>
      <c r="N937" t="s">
        <v>25</v>
      </c>
      <c r="O937" t="s">
        <v>26</v>
      </c>
      <c r="P937" t="s">
        <v>25</v>
      </c>
      <c r="Q937" t="s">
        <v>27</v>
      </c>
      <c r="R937" t="s">
        <v>28</v>
      </c>
      <c r="S937" t="s">
        <v>51</v>
      </c>
      <c r="T937" t="s">
        <v>729</v>
      </c>
    </row>
    <row r="938" spans="1:20">
      <c r="A938">
        <v>942</v>
      </c>
      <c r="B938" t="s">
        <v>1081</v>
      </c>
      <c r="C938" t="s">
        <v>21</v>
      </c>
      <c r="D938" t="s">
        <v>22</v>
      </c>
      <c r="E938" t="s">
        <v>23</v>
      </c>
      <c r="F938">
        <v>1608850</v>
      </c>
      <c r="G938">
        <v>19</v>
      </c>
      <c r="H938">
        <v>1914531.5</v>
      </c>
      <c r="I938" t="s">
        <v>24</v>
      </c>
      <c r="J938" t="s">
        <v>25</v>
      </c>
      <c r="K938">
        <v>0</v>
      </c>
      <c r="L938">
        <v>0</v>
      </c>
      <c r="M938" t="s">
        <v>25</v>
      </c>
      <c r="N938" t="s">
        <v>25</v>
      </c>
      <c r="O938" t="s">
        <v>26</v>
      </c>
      <c r="P938" t="s">
        <v>25</v>
      </c>
      <c r="Q938" t="s">
        <v>27</v>
      </c>
      <c r="R938" t="s">
        <v>28</v>
      </c>
      <c r="S938" t="s">
        <v>51</v>
      </c>
      <c r="T938" t="s">
        <v>729</v>
      </c>
    </row>
    <row r="939" spans="1:20">
      <c r="A939">
        <v>943</v>
      </c>
      <c r="B939" t="s">
        <v>1082</v>
      </c>
      <c r="C939" t="s">
        <v>21</v>
      </c>
      <c r="D939" t="s">
        <v>851</v>
      </c>
      <c r="E939" t="s">
        <v>23</v>
      </c>
      <c r="F939">
        <v>0</v>
      </c>
      <c r="G939">
        <v>19</v>
      </c>
      <c r="H939">
        <v>0</v>
      </c>
      <c r="I939" t="s">
        <v>24</v>
      </c>
      <c r="J939" t="s">
        <v>25</v>
      </c>
      <c r="K939">
        <v>0</v>
      </c>
      <c r="L939">
        <v>0</v>
      </c>
      <c r="M939" t="s">
        <v>25</v>
      </c>
      <c r="N939" t="s">
        <v>25</v>
      </c>
      <c r="O939" t="s">
        <v>26</v>
      </c>
      <c r="P939" t="s">
        <v>25</v>
      </c>
      <c r="Q939" t="s">
        <v>27</v>
      </c>
      <c r="R939" t="s">
        <v>28</v>
      </c>
    </row>
    <row r="940" spans="1:20">
      <c r="A940">
        <v>944</v>
      </c>
      <c r="B940" t="s">
        <v>1083</v>
      </c>
      <c r="C940" t="s">
        <v>36</v>
      </c>
      <c r="D940" t="s">
        <v>851</v>
      </c>
      <c r="E940" t="s">
        <v>1031</v>
      </c>
      <c r="F940">
        <v>0</v>
      </c>
      <c r="G940">
        <v>19</v>
      </c>
      <c r="H940">
        <v>0</v>
      </c>
      <c r="I940" t="s">
        <v>24</v>
      </c>
      <c r="J940" t="s">
        <v>25</v>
      </c>
      <c r="K940">
        <v>0</v>
      </c>
      <c r="L940">
        <v>0</v>
      </c>
      <c r="M940" t="s">
        <v>25</v>
      </c>
      <c r="N940" t="s">
        <v>25</v>
      </c>
      <c r="O940" t="s">
        <v>26</v>
      </c>
      <c r="P940" t="s">
        <v>25</v>
      </c>
      <c r="Q940" t="s">
        <v>27</v>
      </c>
      <c r="R940" t="s">
        <v>28</v>
      </c>
    </row>
    <row r="941" spans="1:20">
      <c r="A941">
        <v>945</v>
      </c>
      <c r="B941" t="s">
        <v>1084</v>
      </c>
      <c r="C941" t="s">
        <v>36</v>
      </c>
      <c r="D941" t="s">
        <v>32</v>
      </c>
      <c r="E941" t="s">
        <v>1031</v>
      </c>
      <c r="F941">
        <v>0</v>
      </c>
      <c r="G941">
        <v>19</v>
      </c>
      <c r="H941">
        <v>0</v>
      </c>
      <c r="I941" t="s">
        <v>24</v>
      </c>
      <c r="J941" t="s">
        <v>25</v>
      </c>
      <c r="K941">
        <v>0</v>
      </c>
      <c r="L941">
        <v>0</v>
      </c>
      <c r="M941" t="s">
        <v>25</v>
      </c>
      <c r="N941" t="s">
        <v>25</v>
      </c>
      <c r="O941" t="s">
        <v>26</v>
      </c>
      <c r="P941" t="s">
        <v>25</v>
      </c>
      <c r="Q941" t="s">
        <v>27</v>
      </c>
      <c r="R941" t="s">
        <v>28</v>
      </c>
    </row>
    <row r="942" spans="1:20">
      <c r="A942">
        <v>946</v>
      </c>
      <c r="B942" t="s">
        <v>1085</v>
      </c>
      <c r="C942" t="s">
        <v>21</v>
      </c>
      <c r="D942" t="s">
        <v>634</v>
      </c>
      <c r="E942" t="s">
        <v>23</v>
      </c>
      <c r="F942">
        <v>0</v>
      </c>
      <c r="G942">
        <v>19</v>
      </c>
      <c r="H942">
        <v>0</v>
      </c>
      <c r="I942" t="s">
        <v>24</v>
      </c>
      <c r="J942" t="s">
        <v>25</v>
      </c>
      <c r="K942">
        <v>0</v>
      </c>
      <c r="L942">
        <v>0</v>
      </c>
      <c r="M942" t="s">
        <v>25</v>
      </c>
      <c r="N942" t="s">
        <v>25</v>
      </c>
      <c r="O942" t="s">
        <v>26</v>
      </c>
      <c r="P942" t="s">
        <v>25</v>
      </c>
      <c r="Q942" t="s">
        <v>27</v>
      </c>
      <c r="R942" t="s">
        <v>28</v>
      </c>
    </row>
    <row r="943" spans="1:20">
      <c r="A943">
        <v>947</v>
      </c>
      <c r="B943" t="s">
        <v>1086</v>
      </c>
      <c r="C943" t="s">
        <v>21</v>
      </c>
      <c r="D943" t="s">
        <v>634</v>
      </c>
      <c r="E943" t="s">
        <v>23</v>
      </c>
      <c r="F943">
        <v>0</v>
      </c>
      <c r="G943">
        <v>19</v>
      </c>
      <c r="H943">
        <v>0</v>
      </c>
      <c r="I943" t="s">
        <v>24</v>
      </c>
      <c r="J943" t="s">
        <v>25</v>
      </c>
      <c r="K943">
        <v>0</v>
      </c>
      <c r="L943">
        <v>0</v>
      </c>
      <c r="M943" t="s">
        <v>25</v>
      </c>
      <c r="N943" t="s">
        <v>25</v>
      </c>
      <c r="O943" t="s">
        <v>26</v>
      </c>
      <c r="P943" t="s">
        <v>25</v>
      </c>
      <c r="Q943" t="s">
        <v>27</v>
      </c>
      <c r="R943" t="s">
        <v>28</v>
      </c>
    </row>
    <row r="944" spans="1:20">
      <c r="A944">
        <v>948</v>
      </c>
      <c r="B944" t="s">
        <v>1087</v>
      </c>
      <c r="C944" t="s">
        <v>21</v>
      </c>
      <c r="D944" t="s">
        <v>283</v>
      </c>
      <c r="E944" t="s">
        <v>23</v>
      </c>
      <c r="F944">
        <v>0</v>
      </c>
      <c r="G944">
        <v>19</v>
      </c>
      <c r="H944">
        <v>0</v>
      </c>
      <c r="I944" t="s">
        <v>24</v>
      </c>
      <c r="J944" t="s">
        <v>25</v>
      </c>
      <c r="K944">
        <v>0</v>
      </c>
      <c r="L944">
        <v>0</v>
      </c>
      <c r="M944" t="s">
        <v>25</v>
      </c>
      <c r="N944" t="s">
        <v>25</v>
      </c>
      <c r="O944" t="s">
        <v>26</v>
      </c>
      <c r="P944" t="s">
        <v>25</v>
      </c>
      <c r="Q944" t="s">
        <v>27</v>
      </c>
      <c r="R944" t="s">
        <v>28</v>
      </c>
    </row>
    <row r="945" spans="1:18">
      <c r="A945">
        <v>949</v>
      </c>
      <c r="B945" t="s">
        <v>1088</v>
      </c>
      <c r="C945" t="s">
        <v>21</v>
      </c>
      <c r="D945" t="s">
        <v>22</v>
      </c>
      <c r="E945" t="s">
        <v>23</v>
      </c>
      <c r="F945">
        <v>0</v>
      </c>
      <c r="G945">
        <v>19</v>
      </c>
      <c r="H945">
        <v>0</v>
      </c>
      <c r="I945" t="s">
        <v>24</v>
      </c>
      <c r="J945" t="s">
        <v>25</v>
      </c>
      <c r="K945">
        <v>0</v>
      </c>
      <c r="L945">
        <v>0</v>
      </c>
      <c r="M945" t="s">
        <v>25</v>
      </c>
      <c r="N945" t="s">
        <v>25</v>
      </c>
      <c r="O945" t="s">
        <v>26</v>
      </c>
      <c r="P945" t="s">
        <v>25</v>
      </c>
      <c r="Q945" t="s">
        <v>27</v>
      </c>
      <c r="R945" t="s">
        <v>28</v>
      </c>
    </row>
    <row r="946" spans="1:18">
      <c r="A946">
        <v>950</v>
      </c>
      <c r="B946" t="s">
        <v>1089</v>
      </c>
      <c r="C946" t="s">
        <v>21</v>
      </c>
      <c r="D946" t="s">
        <v>851</v>
      </c>
      <c r="E946" t="s">
        <v>23</v>
      </c>
      <c r="F946">
        <v>0</v>
      </c>
      <c r="G946">
        <v>19</v>
      </c>
      <c r="H946">
        <v>0</v>
      </c>
      <c r="I946" t="s">
        <v>24</v>
      </c>
      <c r="J946" t="s">
        <v>25</v>
      </c>
      <c r="K946">
        <v>0</v>
      </c>
      <c r="L946">
        <v>0</v>
      </c>
      <c r="M946" t="s">
        <v>25</v>
      </c>
      <c r="N946" t="s">
        <v>25</v>
      </c>
      <c r="O946" t="s">
        <v>26</v>
      </c>
      <c r="P946" t="s">
        <v>25</v>
      </c>
      <c r="Q946" t="s">
        <v>27</v>
      </c>
      <c r="R946" t="s">
        <v>28</v>
      </c>
    </row>
    <row r="947" spans="1:18">
      <c r="A947">
        <v>951</v>
      </c>
      <c r="B947" t="s">
        <v>1090</v>
      </c>
      <c r="C947" t="s">
        <v>21</v>
      </c>
      <c r="D947" t="s">
        <v>851</v>
      </c>
      <c r="E947" t="s">
        <v>23</v>
      </c>
      <c r="F947">
        <v>0</v>
      </c>
      <c r="G947">
        <v>19</v>
      </c>
      <c r="H947">
        <v>0</v>
      </c>
      <c r="I947" t="s">
        <v>24</v>
      </c>
      <c r="J947" t="s">
        <v>25</v>
      </c>
      <c r="K947">
        <v>0</v>
      </c>
      <c r="L947">
        <v>0</v>
      </c>
      <c r="M947" t="s">
        <v>25</v>
      </c>
      <c r="N947" t="s">
        <v>25</v>
      </c>
      <c r="O947" t="s">
        <v>26</v>
      </c>
      <c r="P947" t="s">
        <v>25</v>
      </c>
      <c r="Q947" t="s">
        <v>27</v>
      </c>
      <c r="R947" t="s">
        <v>28</v>
      </c>
    </row>
    <row r="948" spans="1:18">
      <c r="A948">
        <v>952</v>
      </c>
      <c r="B948" t="s">
        <v>1091</v>
      </c>
      <c r="C948" t="s">
        <v>21</v>
      </c>
      <c r="D948" t="s">
        <v>851</v>
      </c>
      <c r="E948" t="s">
        <v>23</v>
      </c>
      <c r="F948">
        <v>0</v>
      </c>
      <c r="G948">
        <v>19</v>
      </c>
      <c r="H948">
        <v>0</v>
      </c>
      <c r="I948" t="s">
        <v>24</v>
      </c>
      <c r="J948" t="s">
        <v>25</v>
      </c>
      <c r="K948">
        <v>0</v>
      </c>
      <c r="L948">
        <v>0</v>
      </c>
      <c r="M948" t="s">
        <v>25</v>
      </c>
      <c r="N948" t="s">
        <v>25</v>
      </c>
      <c r="O948" t="s">
        <v>26</v>
      </c>
      <c r="P948" t="s">
        <v>25</v>
      </c>
      <c r="Q948" t="s">
        <v>27</v>
      </c>
      <c r="R948" t="s">
        <v>28</v>
      </c>
    </row>
    <row r="949" spans="1:18">
      <c r="A949">
        <v>953</v>
      </c>
      <c r="B949" t="s">
        <v>1092</v>
      </c>
      <c r="C949" t="s">
        <v>21</v>
      </c>
      <c r="D949" t="s">
        <v>851</v>
      </c>
      <c r="E949" t="s">
        <v>23</v>
      </c>
      <c r="F949">
        <v>0</v>
      </c>
      <c r="G949">
        <v>19</v>
      </c>
      <c r="H949">
        <v>0</v>
      </c>
      <c r="I949" t="s">
        <v>24</v>
      </c>
      <c r="J949" t="s">
        <v>25</v>
      </c>
      <c r="K949">
        <v>0</v>
      </c>
      <c r="L949">
        <v>0</v>
      </c>
      <c r="M949" t="s">
        <v>25</v>
      </c>
      <c r="N949" t="s">
        <v>25</v>
      </c>
      <c r="O949" t="s">
        <v>26</v>
      </c>
      <c r="P949" t="s">
        <v>25</v>
      </c>
      <c r="Q949" t="s">
        <v>27</v>
      </c>
      <c r="R949" t="s">
        <v>28</v>
      </c>
    </row>
    <row r="950" spans="1:18">
      <c r="A950">
        <v>954</v>
      </c>
      <c r="B950" t="s">
        <v>1093</v>
      </c>
      <c r="C950" t="s">
        <v>21</v>
      </c>
      <c r="D950" t="s">
        <v>851</v>
      </c>
      <c r="E950" t="s">
        <v>23</v>
      </c>
      <c r="F950">
        <v>0</v>
      </c>
      <c r="G950">
        <v>19</v>
      </c>
      <c r="H950">
        <v>0</v>
      </c>
      <c r="I950" t="s">
        <v>24</v>
      </c>
      <c r="J950" t="s">
        <v>25</v>
      </c>
      <c r="K950">
        <v>0</v>
      </c>
      <c r="L950">
        <v>0</v>
      </c>
      <c r="M950" t="s">
        <v>25</v>
      </c>
      <c r="N950" t="s">
        <v>25</v>
      </c>
      <c r="O950" t="s">
        <v>26</v>
      </c>
      <c r="P950" t="s">
        <v>25</v>
      </c>
      <c r="Q950" t="s">
        <v>27</v>
      </c>
      <c r="R950" t="s">
        <v>28</v>
      </c>
    </row>
    <row r="951" spans="1:18">
      <c r="A951">
        <v>955</v>
      </c>
      <c r="B951" t="s">
        <v>1094</v>
      </c>
      <c r="C951" t="s">
        <v>21</v>
      </c>
      <c r="D951" t="s">
        <v>634</v>
      </c>
      <c r="E951" t="s">
        <v>23</v>
      </c>
      <c r="F951">
        <v>0</v>
      </c>
      <c r="G951">
        <v>19</v>
      </c>
      <c r="H951">
        <v>0</v>
      </c>
      <c r="I951" t="s">
        <v>24</v>
      </c>
      <c r="J951" t="s">
        <v>25</v>
      </c>
      <c r="K951">
        <v>0</v>
      </c>
      <c r="L951">
        <v>0</v>
      </c>
      <c r="M951" t="s">
        <v>25</v>
      </c>
      <c r="N951" t="s">
        <v>25</v>
      </c>
      <c r="O951" t="s">
        <v>26</v>
      </c>
      <c r="P951" t="s">
        <v>25</v>
      </c>
      <c r="Q951" t="s">
        <v>27</v>
      </c>
      <c r="R951" t="s">
        <v>28</v>
      </c>
    </row>
    <row r="952" spans="1:18">
      <c r="A952">
        <v>956</v>
      </c>
      <c r="B952" t="s">
        <v>1095</v>
      </c>
      <c r="C952" t="s">
        <v>21</v>
      </c>
      <c r="D952" t="s">
        <v>851</v>
      </c>
      <c r="E952" t="s">
        <v>23</v>
      </c>
      <c r="F952">
        <v>0</v>
      </c>
      <c r="G952">
        <v>19</v>
      </c>
      <c r="H952">
        <v>0</v>
      </c>
      <c r="I952" t="s">
        <v>24</v>
      </c>
      <c r="J952" t="s">
        <v>25</v>
      </c>
      <c r="K952">
        <v>0</v>
      </c>
      <c r="L952">
        <v>0</v>
      </c>
      <c r="M952" t="s">
        <v>25</v>
      </c>
      <c r="N952" t="s">
        <v>25</v>
      </c>
      <c r="O952" t="s">
        <v>26</v>
      </c>
      <c r="P952" t="s">
        <v>25</v>
      </c>
      <c r="Q952" t="s">
        <v>27</v>
      </c>
      <c r="R952" t="s">
        <v>28</v>
      </c>
    </row>
    <row r="953" spans="1:18">
      <c r="A953">
        <v>957</v>
      </c>
      <c r="B953" t="s">
        <v>1096</v>
      </c>
      <c r="C953" t="s">
        <v>21</v>
      </c>
      <c r="D953" t="s">
        <v>851</v>
      </c>
      <c r="E953" t="s">
        <v>23</v>
      </c>
      <c r="F953">
        <v>0</v>
      </c>
      <c r="G953">
        <v>19</v>
      </c>
      <c r="H953">
        <v>0</v>
      </c>
      <c r="I953" t="s">
        <v>24</v>
      </c>
      <c r="J953" t="s">
        <v>25</v>
      </c>
      <c r="K953">
        <v>0</v>
      </c>
      <c r="L953">
        <v>0</v>
      </c>
      <c r="M953" t="s">
        <v>25</v>
      </c>
      <c r="N953" t="s">
        <v>25</v>
      </c>
      <c r="O953" t="s">
        <v>26</v>
      </c>
      <c r="P953" t="s">
        <v>25</v>
      </c>
      <c r="Q953" t="s">
        <v>27</v>
      </c>
      <c r="R953" t="s">
        <v>28</v>
      </c>
    </row>
    <row r="954" spans="1:18">
      <c r="A954">
        <v>958</v>
      </c>
      <c r="B954" t="s">
        <v>1097</v>
      </c>
      <c r="C954" t="s">
        <v>21</v>
      </c>
      <c r="D954" t="s">
        <v>32</v>
      </c>
      <c r="E954" t="s">
        <v>23</v>
      </c>
      <c r="F954">
        <v>0</v>
      </c>
      <c r="G954">
        <v>19</v>
      </c>
      <c r="H954">
        <v>0</v>
      </c>
      <c r="I954" t="s">
        <v>24</v>
      </c>
      <c r="J954" t="s">
        <v>25</v>
      </c>
      <c r="K954">
        <v>0</v>
      </c>
      <c r="L954">
        <v>0</v>
      </c>
      <c r="M954" t="s">
        <v>25</v>
      </c>
      <c r="N954" t="s">
        <v>25</v>
      </c>
      <c r="O954" t="s">
        <v>26</v>
      </c>
      <c r="P954" t="s">
        <v>25</v>
      </c>
      <c r="Q954" t="s">
        <v>27</v>
      </c>
      <c r="R954" t="s">
        <v>28</v>
      </c>
    </row>
    <row r="955" spans="1:18">
      <c r="A955">
        <v>959</v>
      </c>
      <c r="B955" t="s">
        <v>1098</v>
      </c>
      <c r="C955" t="s">
        <v>21</v>
      </c>
      <c r="D955" t="s">
        <v>634</v>
      </c>
      <c r="E955" t="s">
        <v>23</v>
      </c>
      <c r="F955">
        <v>0</v>
      </c>
      <c r="G955">
        <v>19</v>
      </c>
      <c r="H955">
        <v>0</v>
      </c>
      <c r="I955" t="s">
        <v>24</v>
      </c>
      <c r="J955" t="s">
        <v>25</v>
      </c>
      <c r="K955">
        <v>0</v>
      </c>
      <c r="L955">
        <v>0</v>
      </c>
      <c r="M955" t="s">
        <v>25</v>
      </c>
      <c r="N955" t="s">
        <v>25</v>
      </c>
      <c r="O955" t="s">
        <v>26</v>
      </c>
      <c r="P955" t="s">
        <v>25</v>
      </c>
      <c r="Q955" t="s">
        <v>27</v>
      </c>
      <c r="R955" t="s">
        <v>28</v>
      </c>
    </row>
    <row r="956" spans="1:18">
      <c r="A956">
        <v>960</v>
      </c>
      <c r="B956" t="s">
        <v>1099</v>
      </c>
      <c r="C956" t="s">
        <v>21</v>
      </c>
      <c r="D956" t="s">
        <v>22</v>
      </c>
      <c r="E956" t="s">
        <v>23</v>
      </c>
      <c r="F956">
        <v>0</v>
      </c>
      <c r="G956">
        <v>19</v>
      </c>
      <c r="H956">
        <v>0</v>
      </c>
      <c r="I956" t="s">
        <v>24</v>
      </c>
      <c r="J956" t="s">
        <v>25</v>
      </c>
      <c r="K956">
        <v>0</v>
      </c>
      <c r="L956">
        <v>0</v>
      </c>
      <c r="M956" t="s">
        <v>25</v>
      </c>
      <c r="N956" t="s">
        <v>25</v>
      </c>
      <c r="O956" t="s">
        <v>26</v>
      </c>
      <c r="P956" t="s">
        <v>25</v>
      </c>
      <c r="Q956" t="s">
        <v>27</v>
      </c>
      <c r="R956" t="s">
        <v>28</v>
      </c>
    </row>
    <row r="957" spans="1:18">
      <c r="A957">
        <v>961</v>
      </c>
      <c r="B957" t="s">
        <v>1100</v>
      </c>
      <c r="C957" t="s">
        <v>21</v>
      </c>
      <c r="D957" t="s">
        <v>22</v>
      </c>
      <c r="E957" t="s">
        <v>23</v>
      </c>
      <c r="F957">
        <v>0</v>
      </c>
      <c r="G957">
        <v>19</v>
      </c>
      <c r="H957">
        <v>0</v>
      </c>
      <c r="I957" t="s">
        <v>24</v>
      </c>
      <c r="J957" t="s">
        <v>25</v>
      </c>
      <c r="K957">
        <v>0</v>
      </c>
      <c r="L957">
        <v>0</v>
      </c>
      <c r="M957" t="s">
        <v>25</v>
      </c>
      <c r="N957" t="s">
        <v>25</v>
      </c>
      <c r="O957" t="s">
        <v>26</v>
      </c>
      <c r="P957" t="s">
        <v>25</v>
      </c>
      <c r="Q957" t="s">
        <v>27</v>
      </c>
      <c r="R957" t="s">
        <v>28</v>
      </c>
    </row>
    <row r="958" spans="1:18">
      <c r="A958">
        <v>962</v>
      </c>
      <c r="B958" t="s">
        <v>1101</v>
      </c>
      <c r="C958" t="s">
        <v>21</v>
      </c>
      <c r="D958" t="s">
        <v>32</v>
      </c>
      <c r="E958" t="s">
        <v>23</v>
      </c>
      <c r="F958">
        <v>0</v>
      </c>
      <c r="G958">
        <v>19</v>
      </c>
      <c r="H958">
        <v>0</v>
      </c>
      <c r="I958" t="s">
        <v>24</v>
      </c>
      <c r="J958" t="s">
        <v>25</v>
      </c>
      <c r="K958">
        <v>0</v>
      </c>
      <c r="L958">
        <v>0</v>
      </c>
      <c r="M958" t="s">
        <v>25</v>
      </c>
      <c r="N958" t="s">
        <v>25</v>
      </c>
      <c r="O958" t="s">
        <v>26</v>
      </c>
      <c r="P958" t="s">
        <v>25</v>
      </c>
      <c r="Q958" t="s">
        <v>27</v>
      </c>
      <c r="R958" t="s">
        <v>28</v>
      </c>
    </row>
    <row r="959" spans="1:18">
      <c r="A959">
        <v>963</v>
      </c>
      <c r="B959" t="s">
        <v>1102</v>
      </c>
      <c r="C959" t="s">
        <v>21</v>
      </c>
      <c r="D959" t="s">
        <v>32</v>
      </c>
      <c r="E959" t="s">
        <v>23</v>
      </c>
      <c r="F959">
        <v>0</v>
      </c>
      <c r="G959">
        <v>19</v>
      </c>
      <c r="H959">
        <v>0</v>
      </c>
      <c r="I959" t="s">
        <v>24</v>
      </c>
      <c r="J959" t="s">
        <v>25</v>
      </c>
      <c r="K959">
        <v>0</v>
      </c>
      <c r="L959">
        <v>0</v>
      </c>
      <c r="M959" t="s">
        <v>25</v>
      </c>
      <c r="N959" t="s">
        <v>25</v>
      </c>
      <c r="O959" t="s">
        <v>26</v>
      </c>
      <c r="P959" t="s">
        <v>25</v>
      </c>
      <c r="Q959" t="s">
        <v>27</v>
      </c>
      <c r="R959" t="s">
        <v>28</v>
      </c>
    </row>
    <row r="960" spans="1:18">
      <c r="A960">
        <v>964</v>
      </c>
      <c r="B960" t="s">
        <v>1103</v>
      </c>
      <c r="C960" t="s">
        <v>21</v>
      </c>
      <c r="D960" t="s">
        <v>32</v>
      </c>
      <c r="E960" t="s">
        <v>23</v>
      </c>
      <c r="F960">
        <v>0</v>
      </c>
      <c r="G960">
        <v>19</v>
      </c>
      <c r="H960">
        <v>0</v>
      </c>
      <c r="I960" t="s">
        <v>24</v>
      </c>
      <c r="J960" t="s">
        <v>25</v>
      </c>
      <c r="K960">
        <v>0</v>
      </c>
      <c r="L960">
        <v>0</v>
      </c>
      <c r="M960" t="s">
        <v>25</v>
      </c>
      <c r="N960" t="s">
        <v>25</v>
      </c>
      <c r="O960" t="s">
        <v>26</v>
      </c>
      <c r="P960" t="s">
        <v>25</v>
      </c>
      <c r="Q960" t="s">
        <v>27</v>
      </c>
      <c r="R960" t="s">
        <v>28</v>
      </c>
    </row>
    <row r="961" spans="1:18">
      <c r="A961">
        <v>965</v>
      </c>
      <c r="B961" t="s">
        <v>1104</v>
      </c>
      <c r="C961" t="s">
        <v>21</v>
      </c>
      <c r="D961" t="s">
        <v>851</v>
      </c>
      <c r="E961" t="s">
        <v>23</v>
      </c>
      <c r="F961">
        <v>0</v>
      </c>
      <c r="G961">
        <v>19</v>
      </c>
      <c r="H961">
        <v>0</v>
      </c>
      <c r="I961" t="s">
        <v>24</v>
      </c>
      <c r="J961" t="s">
        <v>25</v>
      </c>
      <c r="K961">
        <v>0</v>
      </c>
      <c r="L961">
        <v>0</v>
      </c>
      <c r="M961" t="s">
        <v>25</v>
      </c>
      <c r="N961" t="s">
        <v>25</v>
      </c>
      <c r="O961" t="s">
        <v>26</v>
      </c>
      <c r="P961" t="s">
        <v>25</v>
      </c>
      <c r="Q961" t="s">
        <v>27</v>
      </c>
      <c r="R961" t="s">
        <v>28</v>
      </c>
    </row>
    <row r="962" spans="1:18">
      <c r="A962">
        <v>966</v>
      </c>
      <c r="B962" t="s">
        <v>1105</v>
      </c>
      <c r="C962" t="s">
        <v>21</v>
      </c>
      <c r="D962" t="s">
        <v>851</v>
      </c>
      <c r="E962" t="s">
        <v>23</v>
      </c>
      <c r="F962">
        <v>0</v>
      </c>
      <c r="G962">
        <v>19</v>
      </c>
      <c r="H962">
        <v>0</v>
      </c>
      <c r="I962" t="s">
        <v>24</v>
      </c>
      <c r="J962" t="s">
        <v>25</v>
      </c>
      <c r="K962">
        <v>0</v>
      </c>
      <c r="L962">
        <v>0</v>
      </c>
      <c r="M962" t="s">
        <v>25</v>
      </c>
      <c r="N962" t="s">
        <v>25</v>
      </c>
      <c r="O962" t="s">
        <v>26</v>
      </c>
      <c r="P962" t="s">
        <v>25</v>
      </c>
      <c r="Q962" t="s">
        <v>27</v>
      </c>
      <c r="R962" t="s">
        <v>28</v>
      </c>
    </row>
    <row r="963" spans="1:18">
      <c r="A963">
        <v>967</v>
      </c>
      <c r="B963" t="s">
        <v>1106</v>
      </c>
      <c r="C963" t="s">
        <v>36</v>
      </c>
      <c r="D963" t="s">
        <v>851</v>
      </c>
      <c r="E963" t="s">
        <v>1031</v>
      </c>
      <c r="F963">
        <v>0</v>
      </c>
      <c r="G963">
        <v>19</v>
      </c>
      <c r="H963">
        <v>0</v>
      </c>
      <c r="I963" t="s">
        <v>24</v>
      </c>
      <c r="J963" t="s">
        <v>25</v>
      </c>
      <c r="K963">
        <v>0</v>
      </c>
      <c r="L963">
        <v>0</v>
      </c>
      <c r="M963" t="s">
        <v>25</v>
      </c>
      <c r="N963" t="s">
        <v>25</v>
      </c>
      <c r="O963" t="s">
        <v>26</v>
      </c>
      <c r="P963" t="s">
        <v>25</v>
      </c>
      <c r="Q963" t="s">
        <v>27</v>
      </c>
      <c r="R963" t="s">
        <v>28</v>
      </c>
    </row>
    <row r="964" spans="1:18">
      <c r="A964">
        <v>968</v>
      </c>
      <c r="B964" t="s">
        <v>1107</v>
      </c>
      <c r="C964" t="s">
        <v>36</v>
      </c>
      <c r="D964" t="s">
        <v>851</v>
      </c>
      <c r="E964" t="s">
        <v>1031</v>
      </c>
      <c r="F964">
        <v>0</v>
      </c>
      <c r="G964">
        <v>19</v>
      </c>
      <c r="H964">
        <v>0</v>
      </c>
      <c r="I964" t="s">
        <v>24</v>
      </c>
      <c r="J964" t="s">
        <v>25</v>
      </c>
      <c r="K964">
        <v>0</v>
      </c>
      <c r="L964">
        <v>0</v>
      </c>
      <c r="M964" t="s">
        <v>25</v>
      </c>
      <c r="N964" t="s">
        <v>25</v>
      </c>
      <c r="O964" t="s">
        <v>26</v>
      </c>
      <c r="P964" t="s">
        <v>25</v>
      </c>
      <c r="Q964" t="s">
        <v>27</v>
      </c>
      <c r="R964" t="s">
        <v>28</v>
      </c>
    </row>
    <row r="965" spans="1:18">
      <c r="A965">
        <v>969</v>
      </c>
      <c r="B965" t="s">
        <v>1108</v>
      </c>
      <c r="C965" t="s">
        <v>36</v>
      </c>
      <c r="D965" t="s">
        <v>22</v>
      </c>
      <c r="E965" t="s">
        <v>1031</v>
      </c>
      <c r="F965">
        <v>0</v>
      </c>
      <c r="G965">
        <v>19</v>
      </c>
      <c r="H965">
        <v>0</v>
      </c>
      <c r="I965" t="s">
        <v>24</v>
      </c>
      <c r="J965" t="s">
        <v>25</v>
      </c>
      <c r="K965">
        <v>0</v>
      </c>
      <c r="L965">
        <v>0</v>
      </c>
      <c r="M965" t="s">
        <v>25</v>
      </c>
      <c r="N965" t="s">
        <v>25</v>
      </c>
      <c r="O965" t="s">
        <v>26</v>
      </c>
      <c r="P965" t="s">
        <v>25</v>
      </c>
      <c r="Q965" t="s">
        <v>27</v>
      </c>
      <c r="R965" t="s">
        <v>28</v>
      </c>
    </row>
    <row r="966" spans="1:18">
      <c r="A966">
        <v>970</v>
      </c>
      <c r="B966" t="s">
        <v>1109</v>
      </c>
      <c r="C966" t="s">
        <v>36</v>
      </c>
      <c r="D966" t="s">
        <v>634</v>
      </c>
      <c r="E966" t="s">
        <v>1031</v>
      </c>
      <c r="F966">
        <v>0</v>
      </c>
      <c r="G966">
        <v>19</v>
      </c>
      <c r="H966">
        <v>0</v>
      </c>
      <c r="I966" t="s">
        <v>24</v>
      </c>
      <c r="J966" t="s">
        <v>25</v>
      </c>
      <c r="K966">
        <v>0</v>
      </c>
      <c r="L966">
        <v>0</v>
      </c>
      <c r="M966" t="s">
        <v>25</v>
      </c>
      <c r="N966" t="s">
        <v>25</v>
      </c>
      <c r="O966" t="s">
        <v>26</v>
      </c>
      <c r="P966" t="s">
        <v>25</v>
      </c>
      <c r="Q966" t="s">
        <v>27</v>
      </c>
      <c r="R966" t="s">
        <v>28</v>
      </c>
    </row>
    <row r="967" spans="1:18">
      <c r="A967">
        <v>971</v>
      </c>
      <c r="B967" t="s">
        <v>1110</v>
      </c>
      <c r="C967" t="s">
        <v>36</v>
      </c>
      <c r="D967" t="s">
        <v>32</v>
      </c>
      <c r="E967" t="s">
        <v>1031</v>
      </c>
      <c r="F967">
        <v>0</v>
      </c>
      <c r="G967">
        <v>19</v>
      </c>
      <c r="H967">
        <v>0</v>
      </c>
      <c r="I967" t="s">
        <v>24</v>
      </c>
      <c r="J967" t="s">
        <v>25</v>
      </c>
      <c r="K967">
        <v>0</v>
      </c>
      <c r="L967">
        <v>0</v>
      </c>
      <c r="M967" t="s">
        <v>25</v>
      </c>
      <c r="N967" t="s">
        <v>25</v>
      </c>
      <c r="O967" t="s">
        <v>26</v>
      </c>
      <c r="P967" t="s">
        <v>25</v>
      </c>
      <c r="Q967" t="s">
        <v>27</v>
      </c>
      <c r="R967" t="s">
        <v>28</v>
      </c>
    </row>
    <row r="968" spans="1:18">
      <c r="A968">
        <v>972</v>
      </c>
      <c r="B968" t="s">
        <v>1111</v>
      </c>
      <c r="C968" t="s">
        <v>36</v>
      </c>
      <c r="D968" t="s">
        <v>851</v>
      </c>
      <c r="E968" t="s">
        <v>1031</v>
      </c>
      <c r="F968">
        <v>0</v>
      </c>
      <c r="G968">
        <v>19</v>
      </c>
      <c r="H968">
        <v>0</v>
      </c>
      <c r="I968" t="s">
        <v>24</v>
      </c>
      <c r="J968" t="s">
        <v>25</v>
      </c>
      <c r="K968">
        <v>0</v>
      </c>
      <c r="L968">
        <v>0</v>
      </c>
      <c r="M968" t="s">
        <v>25</v>
      </c>
      <c r="N968" t="s">
        <v>25</v>
      </c>
      <c r="O968" t="s">
        <v>26</v>
      </c>
      <c r="P968" t="s">
        <v>25</v>
      </c>
      <c r="Q968" t="s">
        <v>27</v>
      </c>
      <c r="R968" t="s">
        <v>28</v>
      </c>
    </row>
    <row r="969" spans="1:18">
      <c r="A969">
        <v>973</v>
      </c>
      <c r="B969" t="s">
        <v>1112</v>
      </c>
      <c r="C969" t="s">
        <v>36</v>
      </c>
      <c r="D969" t="s">
        <v>851</v>
      </c>
      <c r="E969" t="s">
        <v>1031</v>
      </c>
      <c r="F969">
        <v>0</v>
      </c>
      <c r="G969">
        <v>19</v>
      </c>
      <c r="H969">
        <v>0</v>
      </c>
      <c r="I969" t="s">
        <v>24</v>
      </c>
      <c r="J969" t="s">
        <v>25</v>
      </c>
      <c r="K969">
        <v>0</v>
      </c>
      <c r="L969">
        <v>0</v>
      </c>
      <c r="M969" t="s">
        <v>25</v>
      </c>
      <c r="N969" t="s">
        <v>25</v>
      </c>
      <c r="O969" t="s">
        <v>26</v>
      </c>
      <c r="P969" t="s">
        <v>25</v>
      </c>
      <c r="Q969" t="s">
        <v>27</v>
      </c>
      <c r="R969" t="s">
        <v>28</v>
      </c>
    </row>
    <row r="970" spans="1:18">
      <c r="A970">
        <v>974</v>
      </c>
      <c r="B970" t="s">
        <v>1113</v>
      </c>
      <c r="C970" t="s">
        <v>36</v>
      </c>
      <c r="D970" t="s">
        <v>851</v>
      </c>
      <c r="E970" t="s">
        <v>1031</v>
      </c>
      <c r="F970">
        <v>0</v>
      </c>
      <c r="G970">
        <v>19</v>
      </c>
      <c r="H970">
        <v>0</v>
      </c>
      <c r="I970" t="s">
        <v>24</v>
      </c>
      <c r="J970" t="s">
        <v>25</v>
      </c>
      <c r="K970">
        <v>0</v>
      </c>
      <c r="L970">
        <v>0</v>
      </c>
      <c r="M970" t="s">
        <v>25</v>
      </c>
      <c r="N970" t="s">
        <v>25</v>
      </c>
      <c r="O970" t="s">
        <v>26</v>
      </c>
      <c r="P970" t="s">
        <v>25</v>
      </c>
      <c r="Q970" t="s">
        <v>27</v>
      </c>
      <c r="R970" t="s">
        <v>28</v>
      </c>
    </row>
    <row r="971" spans="1:18">
      <c r="A971">
        <v>975</v>
      </c>
      <c r="B971" t="s">
        <v>1114</v>
      </c>
      <c r="C971" t="s">
        <v>21</v>
      </c>
      <c r="D971" t="s">
        <v>634</v>
      </c>
      <c r="E971" t="s">
        <v>23</v>
      </c>
      <c r="F971">
        <v>0</v>
      </c>
      <c r="G971">
        <v>19</v>
      </c>
      <c r="H971">
        <v>0</v>
      </c>
      <c r="I971" t="s">
        <v>24</v>
      </c>
      <c r="J971" t="s">
        <v>25</v>
      </c>
      <c r="K971">
        <v>0</v>
      </c>
      <c r="L971">
        <v>0</v>
      </c>
      <c r="M971" t="s">
        <v>25</v>
      </c>
      <c r="N971" t="s">
        <v>25</v>
      </c>
      <c r="O971" t="s">
        <v>26</v>
      </c>
      <c r="P971" t="s">
        <v>25</v>
      </c>
      <c r="Q971" t="s">
        <v>27</v>
      </c>
      <c r="R971" t="s">
        <v>28</v>
      </c>
    </row>
    <row r="972" spans="1:18">
      <c r="A972">
        <v>976</v>
      </c>
      <c r="B972" t="s">
        <v>1115</v>
      </c>
      <c r="C972" t="s">
        <v>21</v>
      </c>
      <c r="D972" t="s">
        <v>634</v>
      </c>
      <c r="E972" t="s">
        <v>23</v>
      </c>
      <c r="F972">
        <v>0</v>
      </c>
      <c r="G972">
        <v>19</v>
      </c>
      <c r="H972">
        <v>0</v>
      </c>
      <c r="I972" t="s">
        <v>24</v>
      </c>
      <c r="J972" t="s">
        <v>25</v>
      </c>
      <c r="K972">
        <v>0</v>
      </c>
      <c r="L972">
        <v>0</v>
      </c>
      <c r="M972" t="s">
        <v>25</v>
      </c>
      <c r="N972" t="s">
        <v>25</v>
      </c>
      <c r="O972" t="s">
        <v>26</v>
      </c>
      <c r="P972" t="s">
        <v>25</v>
      </c>
      <c r="Q972" t="s">
        <v>27</v>
      </c>
      <c r="R972" t="s">
        <v>28</v>
      </c>
    </row>
    <row r="973" spans="1:18">
      <c r="A973">
        <v>977</v>
      </c>
      <c r="B973" t="s">
        <v>1116</v>
      </c>
      <c r="C973" t="s">
        <v>21</v>
      </c>
      <c r="D973" t="s">
        <v>634</v>
      </c>
      <c r="E973" t="s">
        <v>23</v>
      </c>
      <c r="F973">
        <v>0</v>
      </c>
      <c r="G973">
        <v>19</v>
      </c>
      <c r="H973">
        <v>0</v>
      </c>
      <c r="I973" t="s">
        <v>24</v>
      </c>
      <c r="J973" t="s">
        <v>25</v>
      </c>
      <c r="K973">
        <v>0</v>
      </c>
      <c r="L973">
        <v>0</v>
      </c>
      <c r="M973" t="s">
        <v>25</v>
      </c>
      <c r="N973" t="s">
        <v>25</v>
      </c>
      <c r="O973" t="s">
        <v>26</v>
      </c>
      <c r="P973" t="s">
        <v>25</v>
      </c>
      <c r="Q973" t="s">
        <v>27</v>
      </c>
      <c r="R973" t="s">
        <v>28</v>
      </c>
    </row>
    <row r="974" spans="1:18">
      <c r="A974">
        <v>978</v>
      </c>
      <c r="B974" t="s">
        <v>1117</v>
      </c>
      <c r="C974" t="s">
        <v>21</v>
      </c>
      <c r="D974" t="s">
        <v>634</v>
      </c>
      <c r="E974" t="s">
        <v>23</v>
      </c>
      <c r="F974">
        <v>0</v>
      </c>
      <c r="G974">
        <v>19</v>
      </c>
      <c r="H974">
        <v>0</v>
      </c>
      <c r="I974" t="s">
        <v>24</v>
      </c>
      <c r="J974" t="s">
        <v>25</v>
      </c>
      <c r="K974">
        <v>0</v>
      </c>
      <c r="L974">
        <v>0</v>
      </c>
      <c r="M974" t="s">
        <v>25</v>
      </c>
      <c r="N974" t="s">
        <v>25</v>
      </c>
      <c r="O974" t="s">
        <v>26</v>
      </c>
      <c r="P974" t="s">
        <v>25</v>
      </c>
      <c r="Q974" t="s">
        <v>27</v>
      </c>
      <c r="R974" t="s">
        <v>28</v>
      </c>
    </row>
    <row r="975" spans="1:18">
      <c r="A975">
        <v>979</v>
      </c>
      <c r="B975" t="s">
        <v>1118</v>
      </c>
      <c r="C975" t="s">
        <v>21</v>
      </c>
      <c r="D975" t="s">
        <v>634</v>
      </c>
      <c r="E975" t="s">
        <v>23</v>
      </c>
      <c r="F975">
        <v>0</v>
      </c>
      <c r="G975">
        <v>19</v>
      </c>
      <c r="H975">
        <v>0</v>
      </c>
      <c r="I975" t="s">
        <v>24</v>
      </c>
      <c r="J975" t="s">
        <v>25</v>
      </c>
      <c r="K975">
        <v>0</v>
      </c>
      <c r="L975">
        <v>0</v>
      </c>
      <c r="M975" t="s">
        <v>25</v>
      </c>
      <c r="N975" t="s">
        <v>25</v>
      </c>
      <c r="O975" t="s">
        <v>26</v>
      </c>
      <c r="P975" t="s">
        <v>25</v>
      </c>
      <c r="Q975" t="s">
        <v>27</v>
      </c>
      <c r="R975" t="s">
        <v>28</v>
      </c>
    </row>
    <row r="976" spans="1:18">
      <c r="A976">
        <v>980</v>
      </c>
      <c r="B976" t="s">
        <v>1119</v>
      </c>
      <c r="C976" t="s">
        <v>21</v>
      </c>
      <c r="D976" t="s">
        <v>634</v>
      </c>
      <c r="E976" t="s">
        <v>23</v>
      </c>
      <c r="F976">
        <v>0</v>
      </c>
      <c r="G976">
        <v>19</v>
      </c>
      <c r="H976">
        <v>0</v>
      </c>
      <c r="I976" t="s">
        <v>24</v>
      </c>
      <c r="J976" t="s">
        <v>25</v>
      </c>
      <c r="K976">
        <v>0</v>
      </c>
      <c r="L976">
        <v>0</v>
      </c>
      <c r="M976" t="s">
        <v>25</v>
      </c>
      <c r="N976" t="s">
        <v>25</v>
      </c>
      <c r="O976" t="s">
        <v>26</v>
      </c>
      <c r="P976" t="s">
        <v>25</v>
      </c>
      <c r="Q976" t="s">
        <v>27</v>
      </c>
      <c r="R976" t="s">
        <v>28</v>
      </c>
    </row>
    <row r="977" spans="1:20">
      <c r="A977">
        <v>981</v>
      </c>
      <c r="B977" t="s">
        <v>1120</v>
      </c>
      <c r="C977" t="s">
        <v>21</v>
      </c>
      <c r="D977" t="s">
        <v>634</v>
      </c>
      <c r="E977" t="s">
        <v>23</v>
      </c>
      <c r="F977">
        <v>0</v>
      </c>
      <c r="G977">
        <v>19</v>
      </c>
      <c r="H977">
        <v>0</v>
      </c>
      <c r="I977" t="s">
        <v>24</v>
      </c>
      <c r="J977" t="s">
        <v>25</v>
      </c>
      <c r="K977">
        <v>0</v>
      </c>
      <c r="L977">
        <v>0</v>
      </c>
      <c r="M977" t="s">
        <v>25</v>
      </c>
      <c r="N977" t="s">
        <v>25</v>
      </c>
      <c r="O977" t="s">
        <v>26</v>
      </c>
      <c r="P977" t="s">
        <v>25</v>
      </c>
      <c r="Q977" t="s">
        <v>27</v>
      </c>
      <c r="R977" t="s">
        <v>28</v>
      </c>
    </row>
    <row r="978" spans="1:20">
      <c r="A978">
        <v>982</v>
      </c>
      <c r="B978" t="s">
        <v>1121</v>
      </c>
      <c r="C978" t="s">
        <v>21</v>
      </c>
      <c r="D978" t="s">
        <v>634</v>
      </c>
      <c r="E978" t="s">
        <v>23</v>
      </c>
      <c r="F978">
        <v>0</v>
      </c>
      <c r="G978">
        <v>19</v>
      </c>
      <c r="H978">
        <v>0</v>
      </c>
      <c r="I978" t="s">
        <v>24</v>
      </c>
      <c r="J978" t="s">
        <v>25</v>
      </c>
      <c r="K978">
        <v>0</v>
      </c>
      <c r="L978">
        <v>0</v>
      </c>
      <c r="M978" t="s">
        <v>25</v>
      </c>
      <c r="N978" t="s">
        <v>25</v>
      </c>
      <c r="O978" t="s">
        <v>26</v>
      </c>
      <c r="P978" t="s">
        <v>25</v>
      </c>
      <c r="Q978" t="s">
        <v>27</v>
      </c>
      <c r="R978" t="s">
        <v>28</v>
      </c>
    </row>
    <row r="979" spans="1:20">
      <c r="A979">
        <v>983</v>
      </c>
      <c r="B979" t="s">
        <v>1122</v>
      </c>
      <c r="C979" t="s">
        <v>21</v>
      </c>
      <c r="D979" t="s">
        <v>634</v>
      </c>
      <c r="E979" t="s">
        <v>23</v>
      </c>
      <c r="F979">
        <v>0</v>
      </c>
      <c r="G979">
        <v>19</v>
      </c>
      <c r="H979">
        <v>0</v>
      </c>
      <c r="I979" t="s">
        <v>24</v>
      </c>
      <c r="J979" t="s">
        <v>25</v>
      </c>
      <c r="K979">
        <v>0</v>
      </c>
      <c r="L979">
        <v>0</v>
      </c>
      <c r="M979" t="s">
        <v>25</v>
      </c>
      <c r="N979" t="s">
        <v>25</v>
      </c>
      <c r="O979" t="s">
        <v>26</v>
      </c>
      <c r="P979" t="s">
        <v>25</v>
      </c>
      <c r="Q979" t="s">
        <v>27</v>
      </c>
      <c r="R979" t="s">
        <v>28</v>
      </c>
    </row>
    <row r="980" spans="1:20">
      <c r="A980">
        <v>984</v>
      </c>
      <c r="B980" t="s">
        <v>1123</v>
      </c>
      <c r="C980" t="s">
        <v>21</v>
      </c>
      <c r="D980" t="s">
        <v>634</v>
      </c>
      <c r="E980" t="s">
        <v>23</v>
      </c>
      <c r="F980">
        <v>0</v>
      </c>
      <c r="G980">
        <v>19</v>
      </c>
      <c r="H980">
        <v>0</v>
      </c>
      <c r="I980" t="s">
        <v>24</v>
      </c>
      <c r="J980" t="s">
        <v>25</v>
      </c>
      <c r="K980">
        <v>0</v>
      </c>
      <c r="L980">
        <v>0</v>
      </c>
      <c r="M980" t="s">
        <v>25</v>
      </c>
      <c r="N980" t="s">
        <v>25</v>
      </c>
      <c r="O980" t="s">
        <v>26</v>
      </c>
      <c r="P980" t="s">
        <v>25</v>
      </c>
      <c r="Q980" t="s">
        <v>27</v>
      </c>
      <c r="R980" t="s">
        <v>28</v>
      </c>
    </row>
    <row r="981" spans="1:20">
      <c r="A981">
        <v>985</v>
      </c>
      <c r="B981" t="s">
        <v>1124</v>
      </c>
      <c r="C981" t="s">
        <v>21</v>
      </c>
      <c r="D981" t="s">
        <v>634</v>
      </c>
      <c r="E981" t="s">
        <v>23</v>
      </c>
      <c r="F981">
        <v>0</v>
      </c>
      <c r="G981">
        <v>19</v>
      </c>
      <c r="H981">
        <v>0</v>
      </c>
      <c r="I981" t="s">
        <v>24</v>
      </c>
      <c r="J981" t="s">
        <v>25</v>
      </c>
      <c r="K981">
        <v>0</v>
      </c>
      <c r="L981">
        <v>0</v>
      </c>
      <c r="M981" t="s">
        <v>25</v>
      </c>
      <c r="N981" t="s">
        <v>25</v>
      </c>
      <c r="O981" t="s">
        <v>26</v>
      </c>
      <c r="P981" t="s">
        <v>25</v>
      </c>
      <c r="Q981" t="s">
        <v>27</v>
      </c>
      <c r="R981" t="s">
        <v>28</v>
      </c>
    </row>
    <row r="982" spans="1:20">
      <c r="A982">
        <v>986</v>
      </c>
      <c r="B982" t="s">
        <v>1125</v>
      </c>
      <c r="C982" t="s">
        <v>21</v>
      </c>
      <c r="D982" t="s">
        <v>634</v>
      </c>
      <c r="E982" t="s">
        <v>23</v>
      </c>
      <c r="F982">
        <v>0</v>
      </c>
      <c r="G982">
        <v>19</v>
      </c>
      <c r="H982">
        <v>0</v>
      </c>
      <c r="I982" t="s">
        <v>24</v>
      </c>
      <c r="J982" t="s">
        <v>25</v>
      </c>
      <c r="K982">
        <v>0</v>
      </c>
      <c r="L982">
        <v>0</v>
      </c>
      <c r="M982" t="s">
        <v>25</v>
      </c>
      <c r="N982" t="s">
        <v>25</v>
      </c>
      <c r="O982" t="s">
        <v>26</v>
      </c>
      <c r="P982" t="s">
        <v>25</v>
      </c>
      <c r="Q982" t="s">
        <v>27</v>
      </c>
      <c r="R982" t="s">
        <v>28</v>
      </c>
    </row>
    <row r="983" spans="1:20">
      <c r="A983">
        <v>987</v>
      </c>
      <c r="B983" t="s">
        <v>1126</v>
      </c>
      <c r="C983" t="s">
        <v>21</v>
      </c>
      <c r="D983" t="s">
        <v>22</v>
      </c>
      <c r="E983" t="s">
        <v>23</v>
      </c>
      <c r="F983">
        <v>0</v>
      </c>
      <c r="G983">
        <v>19</v>
      </c>
      <c r="H983">
        <v>0</v>
      </c>
      <c r="I983" t="s">
        <v>24</v>
      </c>
      <c r="J983" t="s">
        <v>25</v>
      </c>
      <c r="K983">
        <v>0</v>
      </c>
      <c r="L983">
        <v>0</v>
      </c>
      <c r="M983" t="s">
        <v>25</v>
      </c>
      <c r="N983" t="s">
        <v>25</v>
      </c>
      <c r="O983" t="s">
        <v>26</v>
      </c>
      <c r="P983" t="s">
        <v>25</v>
      </c>
      <c r="Q983" t="s">
        <v>27</v>
      </c>
      <c r="R983" t="s">
        <v>28</v>
      </c>
    </row>
    <row r="984" spans="1:20">
      <c r="A984">
        <v>988</v>
      </c>
      <c r="B984" t="s">
        <v>1127</v>
      </c>
      <c r="C984" t="s">
        <v>21</v>
      </c>
      <c r="D984" t="s">
        <v>22</v>
      </c>
      <c r="E984" t="s">
        <v>23</v>
      </c>
      <c r="F984">
        <v>0</v>
      </c>
      <c r="G984">
        <v>19</v>
      </c>
      <c r="H984">
        <v>0</v>
      </c>
      <c r="I984" t="s">
        <v>24</v>
      </c>
      <c r="J984" t="s">
        <v>25</v>
      </c>
      <c r="K984">
        <v>0</v>
      </c>
      <c r="L984">
        <v>0</v>
      </c>
      <c r="M984" t="s">
        <v>25</v>
      </c>
      <c r="N984" t="s">
        <v>25</v>
      </c>
      <c r="O984" t="s">
        <v>26</v>
      </c>
      <c r="P984" t="s">
        <v>25</v>
      </c>
      <c r="Q984" t="s">
        <v>27</v>
      </c>
      <c r="R984" t="s">
        <v>28</v>
      </c>
    </row>
    <row r="985" spans="1:20">
      <c r="A985">
        <v>989</v>
      </c>
      <c r="B985" t="s">
        <v>1128</v>
      </c>
      <c r="C985" t="s">
        <v>21</v>
      </c>
      <c r="D985" t="s">
        <v>851</v>
      </c>
      <c r="E985" t="s">
        <v>23</v>
      </c>
      <c r="F985">
        <v>0</v>
      </c>
      <c r="G985">
        <v>19</v>
      </c>
      <c r="H985">
        <v>0</v>
      </c>
      <c r="I985" t="s">
        <v>24</v>
      </c>
      <c r="J985" t="s">
        <v>25</v>
      </c>
      <c r="K985">
        <v>0</v>
      </c>
      <c r="L985">
        <v>0</v>
      </c>
      <c r="M985" t="s">
        <v>25</v>
      </c>
      <c r="N985" t="s">
        <v>25</v>
      </c>
      <c r="O985" t="s">
        <v>26</v>
      </c>
      <c r="P985" t="s">
        <v>25</v>
      </c>
      <c r="Q985" t="s">
        <v>27</v>
      </c>
      <c r="R985" t="s">
        <v>28</v>
      </c>
    </row>
    <row r="986" spans="1:20">
      <c r="A986">
        <v>990</v>
      </c>
      <c r="B986" t="s">
        <v>1129</v>
      </c>
      <c r="C986" t="s">
        <v>1130</v>
      </c>
      <c r="D986" t="s">
        <v>1131</v>
      </c>
      <c r="E986" t="s">
        <v>1132</v>
      </c>
      <c r="F986">
        <v>0</v>
      </c>
      <c r="G986">
        <v>19</v>
      </c>
      <c r="H986">
        <v>0</v>
      </c>
      <c r="I986" t="s">
        <v>24</v>
      </c>
      <c r="J986" t="s">
        <v>25</v>
      </c>
      <c r="K986">
        <v>0</v>
      </c>
      <c r="L986">
        <v>0</v>
      </c>
      <c r="M986" t="s">
        <v>25</v>
      </c>
      <c r="N986" t="s">
        <v>25</v>
      </c>
      <c r="O986" t="s">
        <v>26</v>
      </c>
      <c r="P986" t="s">
        <v>25</v>
      </c>
      <c r="Q986" t="s">
        <v>27</v>
      </c>
      <c r="R986" t="s">
        <v>28</v>
      </c>
      <c r="S986" t="s">
        <v>231</v>
      </c>
      <c r="T986" t="s">
        <v>1133</v>
      </c>
    </row>
    <row r="987" spans="1:20">
      <c r="A987">
        <v>991</v>
      </c>
      <c r="B987" t="s">
        <v>1134</v>
      </c>
      <c r="C987" t="s">
        <v>21</v>
      </c>
      <c r="D987" t="s">
        <v>634</v>
      </c>
      <c r="E987" t="s">
        <v>23</v>
      </c>
      <c r="F987">
        <v>0</v>
      </c>
      <c r="G987">
        <v>19</v>
      </c>
      <c r="H987">
        <v>0</v>
      </c>
      <c r="I987" t="s">
        <v>24</v>
      </c>
      <c r="J987" t="s">
        <v>25</v>
      </c>
      <c r="K987">
        <v>0</v>
      </c>
      <c r="L987">
        <v>0</v>
      </c>
      <c r="M987" t="s">
        <v>25</v>
      </c>
      <c r="N987" t="s">
        <v>25</v>
      </c>
      <c r="O987" t="s">
        <v>26</v>
      </c>
      <c r="P987" t="s">
        <v>25</v>
      </c>
      <c r="Q987" t="s">
        <v>27</v>
      </c>
      <c r="R987" t="s">
        <v>28</v>
      </c>
    </row>
    <row r="988" spans="1:20">
      <c r="A988">
        <v>992</v>
      </c>
      <c r="B988" t="s">
        <v>1135</v>
      </c>
      <c r="C988" t="s">
        <v>21</v>
      </c>
      <c r="D988" t="s">
        <v>634</v>
      </c>
      <c r="E988" t="s">
        <v>23</v>
      </c>
      <c r="F988">
        <v>0</v>
      </c>
      <c r="G988">
        <v>19</v>
      </c>
      <c r="H988">
        <v>0</v>
      </c>
      <c r="I988" t="s">
        <v>24</v>
      </c>
      <c r="J988" t="s">
        <v>25</v>
      </c>
      <c r="K988">
        <v>0</v>
      </c>
      <c r="L988">
        <v>0</v>
      </c>
      <c r="M988" t="s">
        <v>25</v>
      </c>
      <c r="N988" t="s">
        <v>25</v>
      </c>
      <c r="O988" t="s">
        <v>26</v>
      </c>
      <c r="P988" t="s">
        <v>25</v>
      </c>
      <c r="Q988" t="s">
        <v>27</v>
      </c>
      <c r="R988" t="s">
        <v>28</v>
      </c>
    </row>
    <row r="989" spans="1:20">
      <c r="A989">
        <v>993</v>
      </c>
      <c r="B989" t="s">
        <v>1136</v>
      </c>
      <c r="C989" t="s">
        <v>21</v>
      </c>
      <c r="D989" t="s">
        <v>634</v>
      </c>
      <c r="E989" t="s">
        <v>23</v>
      </c>
      <c r="F989">
        <v>0</v>
      </c>
      <c r="G989">
        <v>19</v>
      </c>
      <c r="H989">
        <v>0</v>
      </c>
      <c r="I989" t="s">
        <v>24</v>
      </c>
      <c r="J989" t="s">
        <v>25</v>
      </c>
      <c r="K989">
        <v>0</v>
      </c>
      <c r="L989">
        <v>0</v>
      </c>
      <c r="M989" t="s">
        <v>25</v>
      </c>
      <c r="N989" t="s">
        <v>25</v>
      </c>
      <c r="O989" t="s">
        <v>26</v>
      </c>
      <c r="P989" t="s">
        <v>25</v>
      </c>
      <c r="Q989" t="s">
        <v>27</v>
      </c>
      <c r="R989" t="s">
        <v>28</v>
      </c>
    </row>
    <row r="990" spans="1:20">
      <c r="A990">
        <v>994</v>
      </c>
      <c r="B990" t="s">
        <v>1137</v>
      </c>
      <c r="C990" t="s">
        <v>36</v>
      </c>
      <c r="D990" t="s">
        <v>634</v>
      </c>
      <c r="E990" t="s">
        <v>1031</v>
      </c>
      <c r="F990">
        <v>0</v>
      </c>
      <c r="G990">
        <v>19</v>
      </c>
      <c r="H990">
        <v>0</v>
      </c>
      <c r="I990" t="s">
        <v>24</v>
      </c>
      <c r="J990" t="s">
        <v>25</v>
      </c>
      <c r="K990">
        <v>0</v>
      </c>
      <c r="L990">
        <v>0</v>
      </c>
      <c r="M990" t="s">
        <v>25</v>
      </c>
      <c r="N990" t="s">
        <v>25</v>
      </c>
      <c r="O990" t="s">
        <v>26</v>
      </c>
      <c r="P990" t="s">
        <v>25</v>
      </c>
      <c r="Q990" t="s">
        <v>27</v>
      </c>
      <c r="R990" t="s">
        <v>28</v>
      </c>
    </row>
    <row r="991" spans="1:20">
      <c r="A991">
        <v>995</v>
      </c>
      <c r="B991" t="s">
        <v>1138</v>
      </c>
      <c r="C991" t="s">
        <v>21</v>
      </c>
      <c r="D991" t="s">
        <v>634</v>
      </c>
      <c r="E991" t="s">
        <v>23</v>
      </c>
      <c r="F991">
        <v>0</v>
      </c>
      <c r="G991">
        <v>19</v>
      </c>
      <c r="H991">
        <v>0</v>
      </c>
      <c r="I991" t="s">
        <v>24</v>
      </c>
      <c r="J991" t="s">
        <v>25</v>
      </c>
      <c r="K991">
        <v>0</v>
      </c>
      <c r="L991">
        <v>0</v>
      </c>
      <c r="M991" t="s">
        <v>25</v>
      </c>
      <c r="N991" t="s">
        <v>25</v>
      </c>
      <c r="O991" t="s">
        <v>26</v>
      </c>
      <c r="P991" t="s">
        <v>25</v>
      </c>
      <c r="Q991" t="s">
        <v>27</v>
      </c>
      <c r="R991" t="s">
        <v>28</v>
      </c>
    </row>
    <row r="992" spans="1:20">
      <c r="A992">
        <v>996</v>
      </c>
      <c r="B992" t="s">
        <v>1139</v>
      </c>
      <c r="C992" t="s">
        <v>21</v>
      </c>
      <c r="D992" t="s">
        <v>851</v>
      </c>
      <c r="E992" t="s">
        <v>23</v>
      </c>
      <c r="F992">
        <v>0</v>
      </c>
      <c r="G992">
        <v>19</v>
      </c>
      <c r="H992">
        <v>0</v>
      </c>
      <c r="I992" t="s">
        <v>24</v>
      </c>
      <c r="J992" t="s">
        <v>25</v>
      </c>
      <c r="K992">
        <v>0</v>
      </c>
      <c r="L992">
        <v>0</v>
      </c>
      <c r="M992" t="s">
        <v>25</v>
      </c>
      <c r="N992" t="s">
        <v>25</v>
      </c>
      <c r="O992" t="s">
        <v>26</v>
      </c>
      <c r="P992" t="s">
        <v>25</v>
      </c>
      <c r="Q992" t="s">
        <v>27</v>
      </c>
      <c r="R992" t="s">
        <v>28</v>
      </c>
    </row>
    <row r="993" spans="1:20">
      <c r="A993">
        <v>997</v>
      </c>
      <c r="B993" t="s">
        <v>1140</v>
      </c>
      <c r="C993" t="s">
        <v>21</v>
      </c>
      <c r="D993" t="s">
        <v>851</v>
      </c>
      <c r="E993" t="s">
        <v>23</v>
      </c>
      <c r="F993">
        <v>0</v>
      </c>
      <c r="G993">
        <v>19</v>
      </c>
      <c r="H993">
        <v>0</v>
      </c>
      <c r="I993" t="s">
        <v>24</v>
      </c>
      <c r="J993" t="s">
        <v>25</v>
      </c>
      <c r="K993">
        <v>0</v>
      </c>
      <c r="L993">
        <v>0</v>
      </c>
      <c r="M993" t="s">
        <v>25</v>
      </c>
      <c r="N993" t="s">
        <v>25</v>
      </c>
      <c r="O993" t="s">
        <v>26</v>
      </c>
      <c r="P993" t="s">
        <v>25</v>
      </c>
      <c r="Q993" t="s">
        <v>27</v>
      </c>
      <c r="R993" t="s">
        <v>28</v>
      </c>
    </row>
    <row r="994" spans="1:20">
      <c r="A994">
        <v>998</v>
      </c>
      <c r="B994" t="s">
        <v>1141</v>
      </c>
      <c r="C994" t="s">
        <v>36</v>
      </c>
      <c r="D994" t="s">
        <v>32</v>
      </c>
      <c r="E994" t="s">
        <v>1031</v>
      </c>
      <c r="F994">
        <v>0</v>
      </c>
      <c r="G994">
        <v>19</v>
      </c>
      <c r="H994">
        <v>0</v>
      </c>
      <c r="I994" t="s">
        <v>24</v>
      </c>
      <c r="J994" t="s">
        <v>25</v>
      </c>
      <c r="K994">
        <v>0</v>
      </c>
      <c r="L994">
        <v>0</v>
      </c>
      <c r="M994" t="s">
        <v>25</v>
      </c>
      <c r="N994" t="s">
        <v>25</v>
      </c>
      <c r="O994" t="s">
        <v>26</v>
      </c>
      <c r="P994" t="s">
        <v>25</v>
      </c>
      <c r="Q994" t="s">
        <v>27</v>
      </c>
      <c r="R994" t="s">
        <v>28</v>
      </c>
    </row>
    <row r="995" spans="1:20">
      <c r="A995">
        <v>999</v>
      </c>
      <c r="B995" t="s">
        <v>1142</v>
      </c>
      <c r="C995" t="s">
        <v>216</v>
      </c>
      <c r="D995" t="s">
        <v>22</v>
      </c>
      <c r="E995" t="s">
        <v>834</v>
      </c>
      <c r="F995">
        <v>0</v>
      </c>
      <c r="G995">
        <v>19</v>
      </c>
      <c r="H995">
        <v>0</v>
      </c>
      <c r="I995" t="s">
        <v>24</v>
      </c>
      <c r="J995" t="s">
        <v>25</v>
      </c>
      <c r="K995">
        <v>0</v>
      </c>
      <c r="L995">
        <v>0</v>
      </c>
      <c r="M995" t="s">
        <v>25</v>
      </c>
      <c r="N995" t="s">
        <v>25</v>
      </c>
      <c r="O995" t="s">
        <v>26</v>
      </c>
      <c r="P995" t="s">
        <v>25</v>
      </c>
      <c r="Q995" t="s">
        <v>27</v>
      </c>
      <c r="R995" t="s">
        <v>28</v>
      </c>
    </row>
    <row r="996" spans="1:20">
      <c r="A996">
        <v>1000</v>
      </c>
      <c r="B996" t="s">
        <v>1143</v>
      </c>
      <c r="C996" t="s">
        <v>36</v>
      </c>
      <c r="D996" t="s">
        <v>22</v>
      </c>
      <c r="E996" t="s">
        <v>37</v>
      </c>
      <c r="F996">
        <v>0</v>
      </c>
      <c r="G996">
        <v>19</v>
      </c>
      <c r="H996">
        <v>0</v>
      </c>
      <c r="I996" t="s">
        <v>24</v>
      </c>
      <c r="J996" t="s">
        <v>25</v>
      </c>
      <c r="K996">
        <v>0</v>
      </c>
      <c r="L996">
        <v>0</v>
      </c>
      <c r="M996" t="s">
        <v>25</v>
      </c>
      <c r="N996" t="s">
        <v>25</v>
      </c>
      <c r="O996" t="s">
        <v>26</v>
      </c>
      <c r="P996" t="s">
        <v>25</v>
      </c>
      <c r="Q996" t="s">
        <v>27</v>
      </c>
      <c r="R996" t="s">
        <v>28</v>
      </c>
    </row>
    <row r="997" spans="1:20">
      <c r="A997">
        <v>1001</v>
      </c>
      <c r="B997" t="s">
        <v>1144</v>
      </c>
      <c r="C997" t="s">
        <v>21</v>
      </c>
      <c r="D997" t="s">
        <v>229</v>
      </c>
      <c r="E997" t="s">
        <v>23</v>
      </c>
      <c r="F997">
        <v>0</v>
      </c>
      <c r="G997">
        <v>19</v>
      </c>
      <c r="H997">
        <v>0</v>
      </c>
      <c r="I997" t="s">
        <v>24</v>
      </c>
      <c r="J997" t="s">
        <v>25</v>
      </c>
      <c r="K997">
        <v>0</v>
      </c>
      <c r="L997">
        <v>0</v>
      </c>
      <c r="M997" t="s">
        <v>25</v>
      </c>
      <c r="N997" t="s">
        <v>25</v>
      </c>
      <c r="O997" t="s">
        <v>26</v>
      </c>
      <c r="P997" t="s">
        <v>25</v>
      </c>
      <c r="Q997" t="s">
        <v>27</v>
      </c>
      <c r="R997" t="s">
        <v>28</v>
      </c>
    </row>
    <row r="998" spans="1:20">
      <c r="A998">
        <v>1002</v>
      </c>
      <c r="B998" t="s">
        <v>1145</v>
      </c>
      <c r="C998" t="s">
        <v>102</v>
      </c>
      <c r="D998" t="s">
        <v>22</v>
      </c>
      <c r="E998" t="s">
        <v>1146</v>
      </c>
      <c r="F998">
        <v>0</v>
      </c>
      <c r="G998">
        <v>19</v>
      </c>
      <c r="H998">
        <v>0</v>
      </c>
      <c r="I998" t="s">
        <v>24</v>
      </c>
      <c r="J998" t="s">
        <v>25</v>
      </c>
      <c r="K998">
        <v>0</v>
      </c>
      <c r="L998">
        <v>0</v>
      </c>
      <c r="M998" t="s">
        <v>25</v>
      </c>
      <c r="N998" t="s">
        <v>25</v>
      </c>
      <c r="O998" t="s">
        <v>26</v>
      </c>
      <c r="P998" t="s">
        <v>25</v>
      </c>
      <c r="Q998" t="s">
        <v>27</v>
      </c>
      <c r="R998" t="s">
        <v>28</v>
      </c>
      <c r="S998" t="s">
        <v>231</v>
      </c>
      <c r="T998" t="s">
        <v>1147</v>
      </c>
    </row>
    <row r="999" spans="1:20">
      <c r="A999">
        <v>1003</v>
      </c>
      <c r="B999" t="s">
        <v>1148</v>
      </c>
      <c r="C999" t="s">
        <v>21</v>
      </c>
      <c r="D999" t="s">
        <v>22</v>
      </c>
      <c r="E999" t="s">
        <v>23</v>
      </c>
      <c r="F999">
        <v>9200</v>
      </c>
      <c r="G999">
        <v>19</v>
      </c>
      <c r="H999">
        <v>10948</v>
      </c>
      <c r="I999" t="s">
        <v>24</v>
      </c>
      <c r="J999" t="s">
        <v>25</v>
      </c>
      <c r="K999">
        <v>0</v>
      </c>
      <c r="L999">
        <v>0</v>
      </c>
      <c r="M999" t="s">
        <v>25</v>
      </c>
      <c r="N999" t="s">
        <v>25</v>
      </c>
      <c r="O999" t="s">
        <v>26</v>
      </c>
      <c r="P999" t="s">
        <v>25</v>
      </c>
      <c r="Q999" t="s">
        <v>27</v>
      </c>
      <c r="R999" t="s">
        <v>28</v>
      </c>
      <c r="S999" t="s">
        <v>48</v>
      </c>
      <c r="T999" t="s">
        <v>49</v>
      </c>
    </row>
    <row r="1000" spans="1:20">
      <c r="A1000">
        <v>1004</v>
      </c>
      <c r="B1000" t="s">
        <v>1149</v>
      </c>
      <c r="C1000" t="s">
        <v>102</v>
      </c>
      <c r="D1000" t="s">
        <v>22</v>
      </c>
      <c r="E1000" t="s">
        <v>23</v>
      </c>
      <c r="F1000">
        <v>0</v>
      </c>
      <c r="G1000">
        <v>19</v>
      </c>
      <c r="H1000">
        <v>0</v>
      </c>
      <c r="I1000" t="s">
        <v>24</v>
      </c>
      <c r="J1000" t="s">
        <v>25</v>
      </c>
      <c r="K1000">
        <v>0</v>
      </c>
      <c r="L1000">
        <v>0</v>
      </c>
      <c r="M1000" t="s">
        <v>25</v>
      </c>
      <c r="N1000" t="s">
        <v>25</v>
      </c>
      <c r="O1000" t="s">
        <v>26</v>
      </c>
      <c r="P1000" t="s">
        <v>25</v>
      </c>
      <c r="Q1000" t="s">
        <v>27</v>
      </c>
      <c r="R1000" t="s">
        <v>28</v>
      </c>
    </row>
    <row r="1001" spans="1:20">
      <c r="A1001">
        <v>1005</v>
      </c>
      <c r="B1001" t="s">
        <v>1150</v>
      </c>
      <c r="C1001" t="s">
        <v>21</v>
      </c>
      <c r="D1001" t="s">
        <v>22</v>
      </c>
      <c r="E1001" t="s">
        <v>23</v>
      </c>
      <c r="F1001">
        <v>8500</v>
      </c>
      <c r="G1001">
        <v>19</v>
      </c>
      <c r="H1001">
        <v>10115</v>
      </c>
      <c r="I1001" t="s">
        <v>24</v>
      </c>
      <c r="J1001" t="s">
        <v>25</v>
      </c>
      <c r="K1001">
        <v>0</v>
      </c>
      <c r="L1001">
        <v>0</v>
      </c>
      <c r="M1001" t="s">
        <v>25</v>
      </c>
      <c r="N1001" t="s">
        <v>25</v>
      </c>
      <c r="O1001" t="s">
        <v>26</v>
      </c>
      <c r="P1001" t="s">
        <v>25</v>
      </c>
      <c r="Q1001" t="s">
        <v>27</v>
      </c>
      <c r="R1001" t="s">
        <v>28</v>
      </c>
      <c r="S1001" t="s">
        <v>48</v>
      </c>
      <c r="T1001" t="s">
        <v>49</v>
      </c>
    </row>
    <row r="1002" spans="1:20">
      <c r="A1002">
        <v>1006</v>
      </c>
      <c r="B1002" t="s">
        <v>1151</v>
      </c>
      <c r="C1002" t="s">
        <v>21</v>
      </c>
      <c r="D1002" t="s">
        <v>851</v>
      </c>
      <c r="E1002" t="s">
        <v>23</v>
      </c>
      <c r="F1002">
        <v>0</v>
      </c>
      <c r="G1002">
        <v>19</v>
      </c>
      <c r="H1002">
        <v>0</v>
      </c>
      <c r="I1002" t="s">
        <v>24</v>
      </c>
      <c r="J1002" t="s">
        <v>25</v>
      </c>
      <c r="K1002">
        <v>0</v>
      </c>
      <c r="L1002">
        <v>0</v>
      </c>
      <c r="M1002" t="s">
        <v>25</v>
      </c>
      <c r="N1002" t="s">
        <v>25</v>
      </c>
      <c r="O1002" t="s">
        <v>26</v>
      </c>
      <c r="P1002" t="s">
        <v>25</v>
      </c>
      <c r="Q1002" t="s">
        <v>27</v>
      </c>
      <c r="R1002" t="s">
        <v>28</v>
      </c>
    </row>
    <row r="1003" spans="1:20">
      <c r="A1003">
        <v>1007</v>
      </c>
      <c r="B1003" t="s">
        <v>1152</v>
      </c>
      <c r="C1003" t="s">
        <v>21</v>
      </c>
      <c r="D1003" t="s">
        <v>22</v>
      </c>
      <c r="E1003" t="s">
        <v>23</v>
      </c>
      <c r="F1003">
        <v>0</v>
      </c>
      <c r="G1003">
        <v>19</v>
      </c>
      <c r="H1003">
        <v>0</v>
      </c>
      <c r="I1003" t="s">
        <v>24</v>
      </c>
      <c r="J1003" t="s">
        <v>25</v>
      </c>
      <c r="K1003">
        <v>0</v>
      </c>
      <c r="L1003">
        <v>0</v>
      </c>
      <c r="M1003" t="s">
        <v>25</v>
      </c>
      <c r="N1003" t="s">
        <v>25</v>
      </c>
      <c r="O1003" t="s">
        <v>26</v>
      </c>
      <c r="P1003" t="s">
        <v>25</v>
      </c>
      <c r="Q1003" t="s">
        <v>27</v>
      </c>
      <c r="R1003" t="s">
        <v>28</v>
      </c>
    </row>
    <row r="1004" spans="1:20">
      <c r="A1004">
        <v>1008</v>
      </c>
      <c r="B1004" t="s">
        <v>1153</v>
      </c>
      <c r="C1004" t="s">
        <v>21</v>
      </c>
      <c r="D1004" t="s">
        <v>22</v>
      </c>
      <c r="E1004" t="s">
        <v>23</v>
      </c>
      <c r="F1004">
        <v>0</v>
      </c>
      <c r="G1004">
        <v>19</v>
      </c>
      <c r="H1004">
        <v>0</v>
      </c>
      <c r="I1004" t="s">
        <v>532</v>
      </c>
      <c r="J1004" t="s">
        <v>25</v>
      </c>
      <c r="K1004">
        <v>0</v>
      </c>
      <c r="L1004">
        <v>0</v>
      </c>
      <c r="M1004" t="s">
        <v>25</v>
      </c>
      <c r="N1004" t="s">
        <v>25</v>
      </c>
      <c r="O1004" t="s">
        <v>26</v>
      </c>
      <c r="P1004" t="s">
        <v>25</v>
      </c>
      <c r="Q1004" t="s">
        <v>27</v>
      </c>
      <c r="R1004" t="s">
        <v>28</v>
      </c>
      <c r="S1004" t="s">
        <v>51</v>
      </c>
      <c r="T1004" t="s">
        <v>52</v>
      </c>
    </row>
    <row r="1005" spans="1:20">
      <c r="A1005">
        <v>1009</v>
      </c>
      <c r="B1005" t="s">
        <v>1154</v>
      </c>
      <c r="C1005" t="s">
        <v>21</v>
      </c>
      <c r="D1005" t="s">
        <v>22</v>
      </c>
      <c r="E1005" t="s">
        <v>23</v>
      </c>
      <c r="F1005">
        <v>0</v>
      </c>
      <c r="G1005">
        <v>19</v>
      </c>
      <c r="H1005">
        <v>0</v>
      </c>
      <c r="I1005" t="s">
        <v>24</v>
      </c>
      <c r="J1005" t="s">
        <v>25</v>
      </c>
      <c r="K1005">
        <v>0</v>
      </c>
      <c r="L1005">
        <v>0</v>
      </c>
      <c r="M1005" t="s">
        <v>25</v>
      </c>
      <c r="N1005" t="s">
        <v>25</v>
      </c>
      <c r="O1005" t="s">
        <v>26</v>
      </c>
      <c r="P1005" t="s">
        <v>25</v>
      </c>
      <c r="Q1005" t="s">
        <v>27</v>
      </c>
      <c r="R1005" t="s">
        <v>28</v>
      </c>
    </row>
    <row r="1006" spans="1:20">
      <c r="A1006">
        <v>1010</v>
      </c>
      <c r="B1006" t="s">
        <v>1155</v>
      </c>
      <c r="C1006" t="s">
        <v>21</v>
      </c>
      <c r="D1006" t="s">
        <v>22</v>
      </c>
      <c r="E1006" t="s">
        <v>23</v>
      </c>
      <c r="F1006">
        <v>0</v>
      </c>
      <c r="G1006">
        <v>19</v>
      </c>
      <c r="H1006">
        <v>0</v>
      </c>
      <c r="I1006" t="s">
        <v>24</v>
      </c>
      <c r="J1006" t="s">
        <v>25</v>
      </c>
      <c r="K1006">
        <v>0</v>
      </c>
      <c r="L1006">
        <v>0</v>
      </c>
      <c r="M1006" t="s">
        <v>25</v>
      </c>
      <c r="N1006" t="s">
        <v>25</v>
      </c>
      <c r="O1006" t="s">
        <v>26</v>
      </c>
      <c r="P1006" t="s">
        <v>25</v>
      </c>
      <c r="Q1006" t="s">
        <v>27</v>
      </c>
      <c r="R1006" t="s">
        <v>28</v>
      </c>
    </row>
    <row r="1007" spans="1:20">
      <c r="A1007">
        <v>1011</v>
      </c>
      <c r="B1007" t="s">
        <v>1156</v>
      </c>
      <c r="C1007" t="s">
        <v>21</v>
      </c>
      <c r="D1007" t="s">
        <v>229</v>
      </c>
      <c r="E1007" t="s">
        <v>23</v>
      </c>
      <c r="F1007">
        <v>0</v>
      </c>
      <c r="G1007">
        <v>19</v>
      </c>
      <c r="H1007">
        <v>0</v>
      </c>
      <c r="I1007" t="s">
        <v>24</v>
      </c>
      <c r="J1007" t="s">
        <v>25</v>
      </c>
      <c r="K1007">
        <v>0</v>
      </c>
      <c r="L1007">
        <v>0</v>
      </c>
      <c r="M1007" t="s">
        <v>25</v>
      </c>
      <c r="N1007" t="s">
        <v>25</v>
      </c>
      <c r="O1007" t="s">
        <v>26</v>
      </c>
      <c r="P1007" t="s">
        <v>25</v>
      </c>
      <c r="Q1007" t="s">
        <v>27</v>
      </c>
      <c r="R1007" t="s">
        <v>28</v>
      </c>
    </row>
    <row r="1008" spans="1:20">
      <c r="A1008">
        <v>1012</v>
      </c>
      <c r="B1008" t="s">
        <v>1157</v>
      </c>
      <c r="C1008" t="s">
        <v>36</v>
      </c>
      <c r="D1008" t="s">
        <v>217</v>
      </c>
      <c r="E1008" t="s">
        <v>244</v>
      </c>
      <c r="F1008">
        <v>0</v>
      </c>
      <c r="G1008">
        <v>19</v>
      </c>
      <c r="H1008">
        <v>0</v>
      </c>
      <c r="I1008" t="s">
        <v>24</v>
      </c>
      <c r="J1008" t="s">
        <v>25</v>
      </c>
      <c r="K1008">
        <v>0</v>
      </c>
      <c r="L1008">
        <v>0</v>
      </c>
      <c r="M1008" t="s">
        <v>25</v>
      </c>
      <c r="N1008" t="s">
        <v>25</v>
      </c>
      <c r="O1008" t="s">
        <v>26</v>
      </c>
      <c r="P1008" t="s">
        <v>25</v>
      </c>
      <c r="Q1008" t="s">
        <v>27</v>
      </c>
      <c r="R1008" t="s">
        <v>28</v>
      </c>
    </row>
    <row r="1009" spans="1:20">
      <c r="A1009">
        <v>1013</v>
      </c>
      <c r="B1009" t="s">
        <v>1158</v>
      </c>
      <c r="C1009" t="s">
        <v>36</v>
      </c>
      <c r="D1009" t="s">
        <v>217</v>
      </c>
      <c r="E1009" t="s">
        <v>244</v>
      </c>
      <c r="F1009">
        <v>0</v>
      </c>
      <c r="G1009">
        <v>19</v>
      </c>
      <c r="H1009">
        <v>0</v>
      </c>
      <c r="I1009" t="s">
        <v>24</v>
      </c>
      <c r="J1009" t="s">
        <v>25</v>
      </c>
      <c r="K1009">
        <v>0</v>
      </c>
      <c r="L1009">
        <v>0</v>
      </c>
      <c r="M1009" t="s">
        <v>25</v>
      </c>
      <c r="N1009" t="s">
        <v>25</v>
      </c>
      <c r="O1009" t="s">
        <v>26</v>
      </c>
      <c r="P1009" t="s">
        <v>25</v>
      </c>
      <c r="Q1009" t="s">
        <v>27</v>
      </c>
      <c r="R1009" t="s">
        <v>28</v>
      </c>
    </row>
    <row r="1010" spans="1:20">
      <c r="A1010">
        <v>1014</v>
      </c>
      <c r="B1010" t="s">
        <v>1159</v>
      </c>
      <c r="C1010" t="s">
        <v>21</v>
      </c>
      <c r="D1010" t="s">
        <v>22</v>
      </c>
      <c r="E1010" t="s">
        <v>23</v>
      </c>
      <c r="F1010">
        <v>0</v>
      </c>
      <c r="G1010">
        <v>19</v>
      </c>
      <c r="H1010">
        <v>0</v>
      </c>
      <c r="I1010" t="s">
        <v>24</v>
      </c>
      <c r="J1010" t="s">
        <v>25</v>
      </c>
      <c r="K1010">
        <v>0</v>
      </c>
      <c r="L1010">
        <v>0</v>
      </c>
      <c r="M1010" t="s">
        <v>25</v>
      </c>
      <c r="N1010" t="s">
        <v>25</v>
      </c>
      <c r="O1010" t="s">
        <v>26</v>
      </c>
      <c r="P1010" t="s">
        <v>25</v>
      </c>
      <c r="Q1010" t="s">
        <v>27</v>
      </c>
      <c r="R1010" t="s">
        <v>28</v>
      </c>
    </row>
    <row r="1011" spans="1:20">
      <c r="A1011">
        <v>1015</v>
      </c>
      <c r="B1011" t="s">
        <v>1160</v>
      </c>
      <c r="C1011" t="s">
        <v>21</v>
      </c>
      <c r="D1011" t="s">
        <v>22</v>
      </c>
      <c r="E1011" t="s">
        <v>23</v>
      </c>
      <c r="F1011">
        <v>86000</v>
      </c>
      <c r="G1011">
        <v>19</v>
      </c>
      <c r="H1011">
        <v>102340</v>
      </c>
      <c r="I1011" t="s">
        <v>24</v>
      </c>
      <c r="J1011" t="s">
        <v>25</v>
      </c>
      <c r="K1011">
        <v>0</v>
      </c>
      <c r="L1011">
        <v>0</v>
      </c>
      <c r="M1011" t="s">
        <v>25</v>
      </c>
      <c r="N1011" t="s">
        <v>25</v>
      </c>
      <c r="O1011" t="s">
        <v>26</v>
      </c>
      <c r="P1011" t="s">
        <v>25</v>
      </c>
      <c r="Q1011" t="s">
        <v>27</v>
      </c>
      <c r="R1011" t="s">
        <v>28</v>
      </c>
      <c r="S1011" t="s">
        <v>51</v>
      </c>
      <c r="T1011" t="s">
        <v>882</v>
      </c>
    </row>
    <row r="1012" spans="1:20">
      <c r="A1012">
        <v>1016</v>
      </c>
      <c r="B1012" t="s">
        <v>1161</v>
      </c>
      <c r="C1012" t="s">
        <v>21</v>
      </c>
      <c r="D1012" t="s">
        <v>22</v>
      </c>
      <c r="E1012" t="s">
        <v>23</v>
      </c>
      <c r="F1012">
        <v>0</v>
      </c>
      <c r="G1012">
        <v>19</v>
      </c>
      <c r="H1012">
        <v>0</v>
      </c>
      <c r="I1012" t="s">
        <v>24</v>
      </c>
      <c r="J1012" t="s">
        <v>25</v>
      </c>
      <c r="K1012">
        <v>0</v>
      </c>
      <c r="L1012">
        <v>0</v>
      </c>
      <c r="M1012" t="s">
        <v>25</v>
      </c>
      <c r="N1012" t="s">
        <v>25</v>
      </c>
      <c r="O1012" t="s">
        <v>26</v>
      </c>
      <c r="P1012" t="s">
        <v>25</v>
      </c>
      <c r="Q1012" t="s">
        <v>27</v>
      </c>
      <c r="R1012" t="s">
        <v>28</v>
      </c>
    </row>
    <row r="1013" spans="1:20">
      <c r="A1013">
        <v>1017</v>
      </c>
      <c r="B1013" t="s">
        <v>1162</v>
      </c>
      <c r="C1013" t="s">
        <v>21</v>
      </c>
      <c r="D1013" t="s">
        <v>22</v>
      </c>
      <c r="E1013" t="s">
        <v>23</v>
      </c>
      <c r="F1013">
        <v>0</v>
      </c>
      <c r="G1013">
        <v>19</v>
      </c>
      <c r="H1013">
        <v>0</v>
      </c>
      <c r="I1013" t="s">
        <v>24</v>
      </c>
      <c r="J1013" t="s">
        <v>25</v>
      </c>
      <c r="K1013">
        <v>0</v>
      </c>
      <c r="L1013">
        <v>0</v>
      </c>
      <c r="M1013" t="s">
        <v>25</v>
      </c>
      <c r="N1013" t="s">
        <v>25</v>
      </c>
      <c r="O1013" t="s">
        <v>26</v>
      </c>
      <c r="P1013" t="s">
        <v>25</v>
      </c>
      <c r="Q1013" t="s">
        <v>27</v>
      </c>
      <c r="R1013" t="s">
        <v>28</v>
      </c>
    </row>
    <row r="1014" spans="1:20">
      <c r="A1014">
        <v>1018</v>
      </c>
      <c r="B1014" t="s">
        <v>1163</v>
      </c>
      <c r="C1014" t="s">
        <v>21</v>
      </c>
      <c r="D1014" t="s">
        <v>22</v>
      </c>
      <c r="E1014" t="s">
        <v>23</v>
      </c>
      <c r="F1014">
        <v>2400</v>
      </c>
      <c r="G1014">
        <v>19</v>
      </c>
      <c r="H1014">
        <v>2856</v>
      </c>
      <c r="I1014" t="s">
        <v>24</v>
      </c>
      <c r="J1014" t="s">
        <v>25</v>
      </c>
      <c r="K1014">
        <v>0</v>
      </c>
      <c r="L1014">
        <v>0</v>
      </c>
      <c r="M1014" t="s">
        <v>25</v>
      </c>
      <c r="N1014" t="s">
        <v>25</v>
      </c>
      <c r="O1014" t="s">
        <v>26</v>
      </c>
      <c r="P1014" t="s">
        <v>25</v>
      </c>
      <c r="Q1014" t="s">
        <v>27</v>
      </c>
      <c r="R1014" t="s">
        <v>28</v>
      </c>
      <c r="S1014" t="s">
        <v>51</v>
      </c>
      <c r="T1014" t="s">
        <v>656</v>
      </c>
    </row>
    <row r="1015" spans="1:20">
      <c r="A1015">
        <v>1019</v>
      </c>
      <c r="B1015" t="s">
        <v>1164</v>
      </c>
      <c r="C1015" t="s">
        <v>21</v>
      </c>
      <c r="D1015" t="s">
        <v>22</v>
      </c>
      <c r="E1015" t="s">
        <v>23</v>
      </c>
      <c r="F1015">
        <v>6500</v>
      </c>
      <c r="G1015">
        <v>19</v>
      </c>
      <c r="H1015">
        <v>7735</v>
      </c>
      <c r="I1015" t="s">
        <v>24</v>
      </c>
      <c r="J1015" t="s">
        <v>25</v>
      </c>
      <c r="K1015">
        <v>0</v>
      </c>
      <c r="L1015">
        <v>0</v>
      </c>
      <c r="M1015" t="s">
        <v>25</v>
      </c>
      <c r="N1015" t="s">
        <v>25</v>
      </c>
      <c r="O1015" t="s">
        <v>26</v>
      </c>
      <c r="P1015" t="s">
        <v>25</v>
      </c>
      <c r="Q1015" t="s">
        <v>27</v>
      </c>
      <c r="R1015" t="s">
        <v>28</v>
      </c>
      <c r="S1015" t="s">
        <v>51</v>
      </c>
      <c r="T1015" t="s">
        <v>792</v>
      </c>
    </row>
    <row r="1016" spans="1:20">
      <c r="A1016">
        <v>1020</v>
      </c>
      <c r="B1016" t="s">
        <v>1165</v>
      </c>
      <c r="C1016" t="s">
        <v>21</v>
      </c>
      <c r="D1016" t="s">
        <v>22</v>
      </c>
      <c r="E1016" t="s">
        <v>1166</v>
      </c>
      <c r="F1016">
        <v>0</v>
      </c>
      <c r="G1016">
        <v>19</v>
      </c>
      <c r="H1016">
        <v>0</v>
      </c>
      <c r="I1016" t="s">
        <v>24</v>
      </c>
      <c r="J1016" t="s">
        <v>25</v>
      </c>
      <c r="K1016">
        <v>0</v>
      </c>
      <c r="L1016">
        <v>0</v>
      </c>
      <c r="M1016" t="s">
        <v>25</v>
      </c>
      <c r="N1016" t="s">
        <v>25</v>
      </c>
      <c r="O1016" t="s">
        <v>26</v>
      </c>
      <c r="P1016" t="s">
        <v>25</v>
      </c>
      <c r="Q1016" t="s">
        <v>27</v>
      </c>
      <c r="R1016" t="s">
        <v>28</v>
      </c>
      <c r="S1016" t="s">
        <v>231</v>
      </c>
      <c r="T1016" t="s">
        <v>1167</v>
      </c>
    </row>
    <row r="1017" spans="1:20">
      <c r="A1017">
        <v>1021</v>
      </c>
      <c r="B1017" t="s">
        <v>1168</v>
      </c>
      <c r="C1017" t="s">
        <v>36</v>
      </c>
      <c r="D1017" t="s">
        <v>217</v>
      </c>
      <c r="E1017" t="s">
        <v>37</v>
      </c>
      <c r="F1017">
        <v>0</v>
      </c>
      <c r="G1017">
        <v>19</v>
      </c>
      <c r="H1017">
        <v>0</v>
      </c>
      <c r="I1017" t="s">
        <v>24</v>
      </c>
      <c r="J1017" t="s">
        <v>25</v>
      </c>
      <c r="K1017">
        <v>0</v>
      </c>
      <c r="L1017">
        <v>0</v>
      </c>
      <c r="M1017" t="s">
        <v>25</v>
      </c>
      <c r="N1017" t="s">
        <v>25</v>
      </c>
      <c r="O1017" t="s">
        <v>26</v>
      </c>
      <c r="P1017" t="s">
        <v>25</v>
      </c>
      <c r="Q1017" t="s">
        <v>27</v>
      </c>
      <c r="R1017" t="s">
        <v>28</v>
      </c>
    </row>
    <row r="1018" spans="1:20">
      <c r="A1018">
        <v>1022</v>
      </c>
      <c r="B1018" t="s">
        <v>1169</v>
      </c>
      <c r="C1018" t="s">
        <v>36</v>
      </c>
      <c r="D1018" t="s">
        <v>229</v>
      </c>
      <c r="E1018" t="s">
        <v>37</v>
      </c>
      <c r="F1018">
        <v>0</v>
      </c>
      <c r="G1018">
        <v>19</v>
      </c>
      <c r="H1018">
        <v>0</v>
      </c>
      <c r="I1018" t="s">
        <v>24</v>
      </c>
      <c r="J1018" t="s">
        <v>25</v>
      </c>
      <c r="K1018">
        <v>0</v>
      </c>
      <c r="L1018">
        <v>0</v>
      </c>
      <c r="M1018" t="s">
        <v>25</v>
      </c>
      <c r="N1018" t="s">
        <v>25</v>
      </c>
      <c r="O1018" t="s">
        <v>26</v>
      </c>
      <c r="P1018" t="s">
        <v>25</v>
      </c>
      <c r="Q1018" t="s">
        <v>27</v>
      </c>
      <c r="R1018" t="s">
        <v>28</v>
      </c>
    </row>
    <row r="1019" spans="1:20">
      <c r="A1019">
        <v>1023</v>
      </c>
      <c r="B1019" t="s">
        <v>1170</v>
      </c>
      <c r="C1019" t="s">
        <v>36</v>
      </c>
      <c r="D1019" t="s">
        <v>217</v>
      </c>
      <c r="E1019" t="s">
        <v>1171</v>
      </c>
      <c r="F1019">
        <v>0</v>
      </c>
      <c r="G1019">
        <v>19</v>
      </c>
      <c r="H1019">
        <v>0</v>
      </c>
      <c r="I1019" t="s">
        <v>24</v>
      </c>
      <c r="J1019" t="s">
        <v>25</v>
      </c>
      <c r="K1019">
        <v>0</v>
      </c>
      <c r="L1019">
        <v>0</v>
      </c>
      <c r="M1019" t="s">
        <v>25</v>
      </c>
      <c r="N1019" t="s">
        <v>25</v>
      </c>
      <c r="O1019" t="s">
        <v>26</v>
      </c>
      <c r="P1019" t="s">
        <v>25</v>
      </c>
      <c r="Q1019" t="s">
        <v>27</v>
      </c>
      <c r="R1019" t="s">
        <v>28</v>
      </c>
    </row>
    <row r="1020" spans="1:20">
      <c r="A1020">
        <v>1024</v>
      </c>
      <c r="B1020" t="s">
        <v>1172</v>
      </c>
      <c r="C1020" t="s">
        <v>36</v>
      </c>
      <c r="D1020" t="s">
        <v>217</v>
      </c>
      <c r="E1020" t="s">
        <v>244</v>
      </c>
      <c r="F1020">
        <v>0</v>
      </c>
      <c r="G1020">
        <v>19</v>
      </c>
      <c r="H1020">
        <v>0</v>
      </c>
      <c r="I1020" t="s">
        <v>24</v>
      </c>
      <c r="J1020" t="s">
        <v>25</v>
      </c>
      <c r="K1020">
        <v>0</v>
      </c>
      <c r="L1020">
        <v>0</v>
      </c>
      <c r="M1020" t="s">
        <v>25</v>
      </c>
      <c r="N1020" t="s">
        <v>25</v>
      </c>
      <c r="O1020" t="s">
        <v>26</v>
      </c>
      <c r="P1020" t="s">
        <v>25</v>
      </c>
      <c r="Q1020" t="s">
        <v>27</v>
      </c>
      <c r="R1020" t="s">
        <v>28</v>
      </c>
    </row>
    <row r="1021" spans="1:20">
      <c r="A1021">
        <v>1025</v>
      </c>
      <c r="B1021" t="s">
        <v>1173</v>
      </c>
      <c r="C1021" t="s">
        <v>36</v>
      </c>
      <c r="D1021" t="s">
        <v>217</v>
      </c>
      <c r="E1021" t="s">
        <v>1174</v>
      </c>
      <c r="F1021">
        <v>0</v>
      </c>
      <c r="G1021">
        <v>19</v>
      </c>
      <c r="H1021">
        <v>0</v>
      </c>
      <c r="I1021" t="s">
        <v>24</v>
      </c>
      <c r="J1021" t="s">
        <v>25</v>
      </c>
      <c r="K1021">
        <v>0</v>
      </c>
      <c r="L1021">
        <v>0</v>
      </c>
      <c r="M1021" t="s">
        <v>25</v>
      </c>
      <c r="N1021" t="s">
        <v>25</v>
      </c>
      <c r="O1021" t="s">
        <v>26</v>
      </c>
      <c r="P1021" t="s">
        <v>25</v>
      </c>
      <c r="Q1021" t="s">
        <v>27</v>
      </c>
      <c r="R1021" t="s">
        <v>28</v>
      </c>
    </row>
    <row r="1022" spans="1:20">
      <c r="A1022">
        <v>1026</v>
      </c>
      <c r="B1022" t="s">
        <v>1175</v>
      </c>
      <c r="C1022" t="s">
        <v>36</v>
      </c>
      <c r="D1022" t="s">
        <v>217</v>
      </c>
      <c r="E1022" t="s">
        <v>37</v>
      </c>
      <c r="F1022">
        <v>0</v>
      </c>
      <c r="G1022">
        <v>19</v>
      </c>
      <c r="H1022">
        <v>0</v>
      </c>
      <c r="I1022" t="s">
        <v>24</v>
      </c>
      <c r="J1022" t="s">
        <v>25</v>
      </c>
      <c r="K1022">
        <v>0</v>
      </c>
      <c r="L1022">
        <v>0</v>
      </c>
      <c r="M1022" t="s">
        <v>25</v>
      </c>
      <c r="N1022" t="s">
        <v>25</v>
      </c>
      <c r="O1022" t="s">
        <v>26</v>
      </c>
      <c r="P1022" t="s">
        <v>25</v>
      </c>
      <c r="Q1022" t="s">
        <v>27</v>
      </c>
      <c r="R1022" t="s">
        <v>28</v>
      </c>
    </row>
    <row r="1023" spans="1:20">
      <c r="A1023">
        <v>1027</v>
      </c>
      <c r="B1023" t="s">
        <v>1176</v>
      </c>
      <c r="C1023" t="s">
        <v>36</v>
      </c>
      <c r="D1023" t="s">
        <v>217</v>
      </c>
      <c r="E1023" t="s">
        <v>244</v>
      </c>
      <c r="F1023">
        <v>0</v>
      </c>
      <c r="G1023">
        <v>19</v>
      </c>
      <c r="H1023">
        <v>0</v>
      </c>
      <c r="I1023" t="s">
        <v>24</v>
      </c>
      <c r="J1023" t="s">
        <v>25</v>
      </c>
      <c r="K1023">
        <v>0</v>
      </c>
      <c r="L1023">
        <v>0</v>
      </c>
      <c r="M1023" t="s">
        <v>25</v>
      </c>
      <c r="N1023" t="s">
        <v>25</v>
      </c>
      <c r="O1023" t="s">
        <v>26</v>
      </c>
      <c r="P1023" t="s">
        <v>25</v>
      </c>
      <c r="Q1023" t="s">
        <v>27</v>
      </c>
      <c r="R1023" t="s">
        <v>28</v>
      </c>
    </row>
    <row r="1024" spans="1:20">
      <c r="A1024">
        <v>1028</v>
      </c>
      <c r="B1024" t="s">
        <v>1177</v>
      </c>
      <c r="C1024" t="s">
        <v>36</v>
      </c>
      <c r="D1024" t="s">
        <v>217</v>
      </c>
      <c r="E1024" t="s">
        <v>244</v>
      </c>
      <c r="F1024">
        <v>0</v>
      </c>
      <c r="G1024">
        <v>19</v>
      </c>
      <c r="H1024">
        <v>0</v>
      </c>
      <c r="I1024" t="s">
        <v>24</v>
      </c>
      <c r="J1024" t="s">
        <v>25</v>
      </c>
      <c r="K1024">
        <v>0</v>
      </c>
      <c r="L1024">
        <v>0</v>
      </c>
      <c r="M1024" t="s">
        <v>25</v>
      </c>
      <c r="N1024" t="s">
        <v>25</v>
      </c>
      <c r="O1024" t="s">
        <v>26</v>
      </c>
      <c r="P1024" t="s">
        <v>25</v>
      </c>
      <c r="Q1024" t="s">
        <v>27</v>
      </c>
      <c r="R1024" t="s">
        <v>28</v>
      </c>
    </row>
    <row r="1025" spans="1:18">
      <c r="A1025">
        <v>1029</v>
      </c>
      <c r="B1025" t="s">
        <v>1178</v>
      </c>
      <c r="C1025" t="s">
        <v>36</v>
      </c>
      <c r="D1025" t="s">
        <v>217</v>
      </c>
      <c r="E1025" t="s">
        <v>37</v>
      </c>
      <c r="F1025">
        <v>0</v>
      </c>
      <c r="G1025">
        <v>19</v>
      </c>
      <c r="H1025">
        <v>0</v>
      </c>
      <c r="I1025" t="s">
        <v>24</v>
      </c>
      <c r="J1025" t="s">
        <v>25</v>
      </c>
      <c r="K1025">
        <v>0</v>
      </c>
      <c r="L1025">
        <v>0</v>
      </c>
      <c r="M1025" t="s">
        <v>25</v>
      </c>
      <c r="N1025" t="s">
        <v>25</v>
      </c>
      <c r="O1025" t="s">
        <v>26</v>
      </c>
      <c r="P1025" t="s">
        <v>25</v>
      </c>
      <c r="Q1025" t="s">
        <v>27</v>
      </c>
      <c r="R1025" t="s">
        <v>28</v>
      </c>
    </row>
    <row r="1026" spans="1:18">
      <c r="A1026">
        <v>1030</v>
      </c>
      <c r="B1026" t="s">
        <v>1179</v>
      </c>
      <c r="C1026" t="s">
        <v>36</v>
      </c>
      <c r="D1026" t="s">
        <v>229</v>
      </c>
      <c r="E1026" t="s">
        <v>37</v>
      </c>
      <c r="F1026">
        <v>0</v>
      </c>
      <c r="G1026">
        <v>19</v>
      </c>
      <c r="H1026">
        <v>0</v>
      </c>
      <c r="I1026" t="s">
        <v>24</v>
      </c>
      <c r="J1026" t="s">
        <v>25</v>
      </c>
      <c r="K1026">
        <v>0</v>
      </c>
      <c r="L1026">
        <v>0</v>
      </c>
      <c r="M1026" t="s">
        <v>25</v>
      </c>
      <c r="N1026" t="s">
        <v>25</v>
      </c>
      <c r="O1026" t="s">
        <v>26</v>
      </c>
      <c r="P1026" t="s">
        <v>25</v>
      </c>
      <c r="Q1026" t="s">
        <v>27</v>
      </c>
      <c r="R1026" t="s">
        <v>28</v>
      </c>
    </row>
    <row r="1027" spans="1:18">
      <c r="A1027">
        <v>1031</v>
      </c>
      <c r="B1027" t="s">
        <v>1180</v>
      </c>
      <c r="C1027" t="s">
        <v>36</v>
      </c>
      <c r="D1027" t="s">
        <v>229</v>
      </c>
      <c r="E1027" t="s">
        <v>37</v>
      </c>
      <c r="F1027">
        <v>0</v>
      </c>
      <c r="G1027">
        <v>19</v>
      </c>
      <c r="H1027">
        <v>0</v>
      </c>
      <c r="I1027" t="s">
        <v>24</v>
      </c>
      <c r="J1027" t="s">
        <v>25</v>
      </c>
      <c r="K1027">
        <v>0</v>
      </c>
      <c r="L1027">
        <v>0</v>
      </c>
      <c r="M1027" t="s">
        <v>25</v>
      </c>
      <c r="N1027" t="s">
        <v>25</v>
      </c>
      <c r="O1027" t="s">
        <v>26</v>
      </c>
      <c r="P1027" t="s">
        <v>25</v>
      </c>
      <c r="Q1027" t="s">
        <v>27</v>
      </c>
      <c r="R1027" t="s">
        <v>28</v>
      </c>
    </row>
    <row r="1028" spans="1:18">
      <c r="A1028">
        <v>1032</v>
      </c>
      <c r="B1028" t="s">
        <v>1181</v>
      </c>
      <c r="C1028" t="s">
        <v>36</v>
      </c>
      <c r="D1028" t="s">
        <v>229</v>
      </c>
      <c r="E1028" t="s">
        <v>37</v>
      </c>
      <c r="F1028">
        <v>0</v>
      </c>
      <c r="G1028">
        <v>19</v>
      </c>
      <c r="H1028">
        <v>0</v>
      </c>
      <c r="I1028" t="s">
        <v>24</v>
      </c>
      <c r="J1028" t="s">
        <v>25</v>
      </c>
      <c r="K1028">
        <v>0</v>
      </c>
      <c r="L1028">
        <v>0</v>
      </c>
      <c r="M1028" t="s">
        <v>25</v>
      </c>
      <c r="N1028" t="s">
        <v>25</v>
      </c>
      <c r="O1028" t="s">
        <v>26</v>
      </c>
      <c r="P1028" t="s">
        <v>25</v>
      </c>
      <c r="Q1028" t="s">
        <v>27</v>
      </c>
      <c r="R1028" t="s">
        <v>28</v>
      </c>
    </row>
    <row r="1029" spans="1:18">
      <c r="A1029">
        <v>1033</v>
      </c>
      <c r="B1029" t="s">
        <v>1182</v>
      </c>
      <c r="C1029" t="s">
        <v>21</v>
      </c>
      <c r="D1029" t="s">
        <v>22</v>
      </c>
      <c r="E1029" t="s">
        <v>23</v>
      </c>
      <c r="F1029">
        <v>0</v>
      </c>
      <c r="G1029">
        <v>19</v>
      </c>
      <c r="H1029">
        <v>0</v>
      </c>
      <c r="I1029" t="s">
        <v>24</v>
      </c>
      <c r="J1029" t="s">
        <v>25</v>
      </c>
      <c r="K1029">
        <v>0</v>
      </c>
      <c r="L1029">
        <v>0</v>
      </c>
      <c r="M1029" t="s">
        <v>25</v>
      </c>
      <c r="N1029" t="s">
        <v>25</v>
      </c>
      <c r="O1029" t="s">
        <v>26</v>
      </c>
      <c r="P1029" t="s">
        <v>25</v>
      </c>
      <c r="Q1029" t="s">
        <v>27</v>
      </c>
      <c r="R1029" t="s">
        <v>28</v>
      </c>
    </row>
    <row r="1030" spans="1:18">
      <c r="A1030">
        <v>1034</v>
      </c>
      <c r="B1030" t="s">
        <v>1183</v>
      </c>
      <c r="C1030" t="s">
        <v>21</v>
      </c>
      <c r="D1030" t="s">
        <v>283</v>
      </c>
      <c r="E1030" t="s">
        <v>23</v>
      </c>
      <c r="F1030">
        <v>0</v>
      </c>
      <c r="G1030">
        <v>19</v>
      </c>
      <c r="H1030">
        <v>0</v>
      </c>
      <c r="I1030" t="s">
        <v>24</v>
      </c>
      <c r="J1030" t="s">
        <v>25</v>
      </c>
      <c r="K1030">
        <v>0</v>
      </c>
      <c r="L1030">
        <v>0</v>
      </c>
      <c r="M1030" t="s">
        <v>25</v>
      </c>
      <c r="N1030" t="s">
        <v>25</v>
      </c>
      <c r="O1030" t="s">
        <v>26</v>
      </c>
      <c r="P1030" t="s">
        <v>25</v>
      </c>
      <c r="Q1030" t="s">
        <v>27</v>
      </c>
      <c r="R1030" t="s">
        <v>28</v>
      </c>
    </row>
    <row r="1031" spans="1:18">
      <c r="A1031">
        <v>1035</v>
      </c>
      <c r="B1031" t="s">
        <v>1184</v>
      </c>
      <c r="C1031" t="s">
        <v>102</v>
      </c>
      <c r="D1031" t="s">
        <v>302</v>
      </c>
      <c r="E1031" t="s">
        <v>1146</v>
      </c>
      <c r="F1031">
        <v>0</v>
      </c>
      <c r="G1031">
        <v>19</v>
      </c>
      <c r="H1031">
        <v>0</v>
      </c>
      <c r="I1031" t="s">
        <v>24</v>
      </c>
      <c r="J1031" t="s">
        <v>25</v>
      </c>
      <c r="K1031">
        <v>0</v>
      </c>
      <c r="L1031">
        <v>0</v>
      </c>
      <c r="M1031" t="s">
        <v>25</v>
      </c>
      <c r="N1031" t="s">
        <v>25</v>
      </c>
      <c r="O1031" t="s">
        <v>26</v>
      </c>
      <c r="P1031" t="s">
        <v>25</v>
      </c>
      <c r="Q1031" t="s">
        <v>27</v>
      </c>
      <c r="R1031" t="s">
        <v>28</v>
      </c>
    </row>
    <row r="1032" spans="1:18">
      <c r="A1032">
        <v>1036</v>
      </c>
      <c r="B1032" t="s">
        <v>1185</v>
      </c>
      <c r="C1032" t="s">
        <v>21</v>
      </c>
      <c r="D1032" t="s">
        <v>229</v>
      </c>
      <c r="E1032" t="s">
        <v>23</v>
      </c>
      <c r="F1032">
        <v>0</v>
      </c>
      <c r="G1032">
        <v>19</v>
      </c>
      <c r="H1032">
        <v>0</v>
      </c>
      <c r="I1032" t="s">
        <v>24</v>
      </c>
      <c r="J1032" t="s">
        <v>25</v>
      </c>
      <c r="K1032">
        <v>0</v>
      </c>
      <c r="L1032">
        <v>0</v>
      </c>
      <c r="M1032" t="s">
        <v>25</v>
      </c>
      <c r="N1032" t="s">
        <v>25</v>
      </c>
      <c r="O1032" t="s">
        <v>26</v>
      </c>
      <c r="P1032" t="s">
        <v>25</v>
      </c>
      <c r="Q1032" t="s">
        <v>27</v>
      </c>
      <c r="R1032" t="s">
        <v>28</v>
      </c>
    </row>
    <row r="1033" spans="1:18">
      <c r="A1033">
        <v>1037</v>
      </c>
      <c r="B1033" t="s">
        <v>1186</v>
      </c>
      <c r="C1033" t="s">
        <v>36</v>
      </c>
      <c r="D1033" t="s">
        <v>217</v>
      </c>
      <c r="E1033" t="s">
        <v>37</v>
      </c>
      <c r="F1033">
        <v>0</v>
      </c>
      <c r="G1033">
        <v>19</v>
      </c>
      <c r="H1033">
        <v>0</v>
      </c>
      <c r="I1033" t="s">
        <v>24</v>
      </c>
      <c r="J1033" t="s">
        <v>25</v>
      </c>
      <c r="K1033">
        <v>0</v>
      </c>
      <c r="L1033">
        <v>0</v>
      </c>
      <c r="M1033" t="s">
        <v>25</v>
      </c>
      <c r="N1033" t="s">
        <v>25</v>
      </c>
      <c r="O1033" t="s">
        <v>26</v>
      </c>
      <c r="P1033" t="s">
        <v>25</v>
      </c>
      <c r="Q1033" t="s">
        <v>27</v>
      </c>
      <c r="R1033" t="s">
        <v>28</v>
      </c>
    </row>
    <row r="1034" spans="1:18">
      <c r="A1034">
        <v>1038</v>
      </c>
      <c r="B1034" t="s">
        <v>1187</v>
      </c>
      <c r="C1034" t="s">
        <v>21</v>
      </c>
      <c r="D1034" t="s">
        <v>229</v>
      </c>
      <c r="E1034" t="s">
        <v>23</v>
      </c>
      <c r="F1034">
        <v>0</v>
      </c>
      <c r="G1034">
        <v>19</v>
      </c>
      <c r="H1034">
        <v>0</v>
      </c>
      <c r="I1034" t="s">
        <v>24</v>
      </c>
      <c r="J1034" t="s">
        <v>25</v>
      </c>
      <c r="K1034">
        <v>0</v>
      </c>
      <c r="L1034">
        <v>0</v>
      </c>
      <c r="M1034" t="s">
        <v>25</v>
      </c>
      <c r="N1034" t="s">
        <v>25</v>
      </c>
      <c r="O1034" t="s">
        <v>26</v>
      </c>
      <c r="P1034" t="s">
        <v>25</v>
      </c>
      <c r="Q1034" t="s">
        <v>27</v>
      </c>
      <c r="R1034" t="s">
        <v>28</v>
      </c>
    </row>
    <row r="1035" spans="1:18">
      <c r="A1035">
        <v>1039</v>
      </c>
      <c r="B1035" t="s">
        <v>1188</v>
      </c>
      <c r="C1035" t="s">
        <v>21</v>
      </c>
      <c r="D1035" t="s">
        <v>22</v>
      </c>
      <c r="E1035" t="s">
        <v>23</v>
      </c>
      <c r="F1035">
        <v>0</v>
      </c>
      <c r="G1035">
        <v>19</v>
      </c>
      <c r="H1035">
        <v>0</v>
      </c>
      <c r="I1035" t="s">
        <v>24</v>
      </c>
      <c r="J1035" t="s">
        <v>25</v>
      </c>
      <c r="K1035">
        <v>0</v>
      </c>
      <c r="L1035">
        <v>0</v>
      </c>
      <c r="M1035" t="s">
        <v>25</v>
      </c>
      <c r="N1035" t="s">
        <v>25</v>
      </c>
      <c r="O1035" t="s">
        <v>26</v>
      </c>
      <c r="P1035" t="s">
        <v>25</v>
      </c>
      <c r="Q1035" t="s">
        <v>27</v>
      </c>
      <c r="R1035" t="s">
        <v>28</v>
      </c>
    </row>
    <row r="1036" spans="1:18">
      <c r="A1036">
        <v>1040</v>
      </c>
      <c r="B1036" t="s">
        <v>1189</v>
      </c>
      <c r="C1036" t="s">
        <v>102</v>
      </c>
      <c r="D1036" t="s">
        <v>22</v>
      </c>
      <c r="E1036" t="s">
        <v>163</v>
      </c>
      <c r="F1036">
        <v>786</v>
      </c>
      <c r="G1036">
        <v>19</v>
      </c>
      <c r="H1036">
        <v>935</v>
      </c>
      <c r="I1036" t="s">
        <v>24</v>
      </c>
      <c r="J1036" t="s">
        <v>25</v>
      </c>
      <c r="K1036">
        <v>0</v>
      </c>
      <c r="L1036">
        <v>0</v>
      </c>
      <c r="M1036" t="s">
        <v>25</v>
      </c>
      <c r="N1036" t="s">
        <v>25</v>
      </c>
      <c r="O1036" t="s">
        <v>26</v>
      </c>
      <c r="P1036" t="s">
        <v>25</v>
      </c>
      <c r="Q1036" t="s">
        <v>27</v>
      </c>
      <c r="R1036" t="s">
        <v>28</v>
      </c>
    </row>
    <row r="1037" spans="1:18">
      <c r="A1037">
        <v>1041</v>
      </c>
      <c r="B1037" t="s">
        <v>1190</v>
      </c>
      <c r="C1037" t="s">
        <v>102</v>
      </c>
      <c r="D1037" t="s">
        <v>22</v>
      </c>
      <c r="E1037" t="s">
        <v>163</v>
      </c>
      <c r="F1037">
        <v>5455</v>
      </c>
      <c r="G1037">
        <v>19</v>
      </c>
      <c r="H1037">
        <v>6491</v>
      </c>
      <c r="I1037" t="s">
        <v>24</v>
      </c>
      <c r="J1037" t="s">
        <v>25</v>
      </c>
      <c r="K1037">
        <v>0</v>
      </c>
      <c r="L1037">
        <v>0</v>
      </c>
      <c r="M1037" t="s">
        <v>25</v>
      </c>
      <c r="N1037" t="s">
        <v>25</v>
      </c>
      <c r="O1037" t="s">
        <v>26</v>
      </c>
      <c r="P1037" t="s">
        <v>25</v>
      </c>
      <c r="Q1037" t="s">
        <v>27</v>
      </c>
      <c r="R1037" t="s">
        <v>28</v>
      </c>
    </row>
    <row r="1038" spans="1:18">
      <c r="A1038">
        <v>1042</v>
      </c>
      <c r="B1038" t="s">
        <v>1191</v>
      </c>
      <c r="C1038" t="s">
        <v>102</v>
      </c>
      <c r="D1038" t="s">
        <v>22</v>
      </c>
      <c r="E1038" t="s">
        <v>163</v>
      </c>
      <c r="F1038">
        <v>1803</v>
      </c>
      <c r="G1038">
        <v>19</v>
      </c>
      <c r="H1038">
        <v>2146</v>
      </c>
      <c r="I1038" t="s">
        <v>24</v>
      </c>
      <c r="J1038" t="s">
        <v>25</v>
      </c>
      <c r="K1038">
        <v>0</v>
      </c>
      <c r="L1038">
        <v>0</v>
      </c>
      <c r="M1038" t="s">
        <v>25</v>
      </c>
      <c r="N1038" t="s">
        <v>25</v>
      </c>
      <c r="O1038" t="s">
        <v>26</v>
      </c>
      <c r="P1038" t="s">
        <v>25</v>
      </c>
      <c r="Q1038" t="s">
        <v>27</v>
      </c>
      <c r="R1038" t="s">
        <v>28</v>
      </c>
    </row>
    <row r="1039" spans="1:18">
      <c r="A1039">
        <v>1043</v>
      </c>
      <c r="B1039" t="s">
        <v>1192</v>
      </c>
      <c r="C1039" t="s">
        <v>102</v>
      </c>
      <c r="D1039" t="s">
        <v>22</v>
      </c>
      <c r="E1039" t="s">
        <v>163</v>
      </c>
      <c r="F1039">
        <v>4365</v>
      </c>
      <c r="G1039">
        <v>19</v>
      </c>
      <c r="H1039">
        <v>5194</v>
      </c>
      <c r="I1039" t="s">
        <v>24</v>
      </c>
      <c r="J1039" t="s">
        <v>25</v>
      </c>
      <c r="K1039">
        <v>0</v>
      </c>
      <c r="L1039">
        <v>0</v>
      </c>
      <c r="M1039" t="s">
        <v>25</v>
      </c>
      <c r="N1039" t="s">
        <v>25</v>
      </c>
      <c r="O1039" t="s">
        <v>26</v>
      </c>
      <c r="P1039" t="s">
        <v>25</v>
      </c>
      <c r="Q1039" t="s">
        <v>27</v>
      </c>
      <c r="R1039" t="s">
        <v>28</v>
      </c>
    </row>
    <row r="1040" spans="1:18">
      <c r="A1040">
        <v>1044</v>
      </c>
      <c r="B1040" t="s">
        <v>1193</v>
      </c>
      <c r="C1040" t="s">
        <v>102</v>
      </c>
      <c r="D1040" t="s">
        <v>22</v>
      </c>
      <c r="E1040" t="s">
        <v>163</v>
      </c>
      <c r="F1040">
        <v>889</v>
      </c>
      <c r="G1040">
        <v>19</v>
      </c>
      <c r="H1040">
        <v>1058</v>
      </c>
      <c r="I1040" t="s">
        <v>24</v>
      </c>
      <c r="J1040" t="s">
        <v>25</v>
      </c>
      <c r="K1040">
        <v>0</v>
      </c>
      <c r="L1040">
        <v>0</v>
      </c>
      <c r="M1040" t="s">
        <v>25</v>
      </c>
      <c r="N1040" t="s">
        <v>25</v>
      </c>
      <c r="O1040" t="s">
        <v>26</v>
      </c>
      <c r="P1040" t="s">
        <v>25</v>
      </c>
      <c r="Q1040" t="s">
        <v>27</v>
      </c>
      <c r="R1040" t="s">
        <v>28</v>
      </c>
    </row>
    <row r="1041" spans="1:18">
      <c r="A1041">
        <v>1045</v>
      </c>
      <c r="B1041" t="s">
        <v>1194</v>
      </c>
      <c r="C1041" t="s">
        <v>102</v>
      </c>
      <c r="D1041" t="s">
        <v>22</v>
      </c>
      <c r="E1041" t="s">
        <v>163</v>
      </c>
      <c r="F1041">
        <v>2656</v>
      </c>
      <c r="G1041">
        <v>19</v>
      </c>
      <c r="H1041">
        <v>3161</v>
      </c>
      <c r="I1041" t="s">
        <v>24</v>
      </c>
      <c r="J1041" t="s">
        <v>25</v>
      </c>
      <c r="K1041">
        <v>0</v>
      </c>
      <c r="L1041">
        <v>0</v>
      </c>
      <c r="M1041" t="s">
        <v>25</v>
      </c>
      <c r="N1041" t="s">
        <v>25</v>
      </c>
      <c r="O1041" t="s">
        <v>26</v>
      </c>
      <c r="P1041" t="s">
        <v>25</v>
      </c>
      <c r="Q1041" t="s">
        <v>27</v>
      </c>
      <c r="R1041" t="s">
        <v>28</v>
      </c>
    </row>
    <row r="1042" spans="1:18">
      <c r="A1042">
        <v>1046</v>
      </c>
      <c r="B1042" t="s">
        <v>1195</v>
      </c>
      <c r="C1042" t="s">
        <v>102</v>
      </c>
      <c r="D1042" t="s">
        <v>22</v>
      </c>
      <c r="E1042" t="s">
        <v>163</v>
      </c>
      <c r="F1042">
        <v>39759</v>
      </c>
      <c r="G1042">
        <v>19</v>
      </c>
      <c r="H1042">
        <v>47313</v>
      </c>
      <c r="I1042" t="s">
        <v>24</v>
      </c>
      <c r="J1042" t="s">
        <v>25</v>
      </c>
      <c r="K1042">
        <v>0</v>
      </c>
      <c r="L1042">
        <v>0</v>
      </c>
      <c r="M1042" t="s">
        <v>25</v>
      </c>
      <c r="N1042" t="s">
        <v>25</v>
      </c>
      <c r="O1042" t="s">
        <v>26</v>
      </c>
      <c r="P1042" t="s">
        <v>25</v>
      </c>
      <c r="Q1042" t="s">
        <v>27</v>
      </c>
      <c r="R1042" t="s">
        <v>28</v>
      </c>
    </row>
    <row r="1043" spans="1:18">
      <c r="A1043">
        <v>1047</v>
      </c>
      <c r="B1043" t="s">
        <v>1196</v>
      </c>
      <c r="C1043" t="s">
        <v>102</v>
      </c>
      <c r="D1043" t="s">
        <v>22</v>
      </c>
      <c r="E1043" t="s">
        <v>163</v>
      </c>
      <c r="F1043">
        <v>157</v>
      </c>
      <c r="G1043">
        <v>19</v>
      </c>
      <c r="H1043">
        <v>187</v>
      </c>
      <c r="I1043" t="s">
        <v>24</v>
      </c>
      <c r="J1043" t="s">
        <v>25</v>
      </c>
      <c r="K1043">
        <v>0</v>
      </c>
      <c r="L1043">
        <v>0</v>
      </c>
      <c r="M1043" t="s">
        <v>25</v>
      </c>
      <c r="N1043" t="s">
        <v>25</v>
      </c>
      <c r="O1043" t="s">
        <v>26</v>
      </c>
      <c r="P1043" t="s">
        <v>25</v>
      </c>
      <c r="Q1043" t="s">
        <v>27</v>
      </c>
      <c r="R1043" t="s">
        <v>28</v>
      </c>
    </row>
    <row r="1044" spans="1:18">
      <c r="A1044">
        <v>1048</v>
      </c>
      <c r="B1044" t="s">
        <v>1197</v>
      </c>
      <c r="C1044" t="s">
        <v>102</v>
      </c>
      <c r="D1044" t="s">
        <v>22</v>
      </c>
      <c r="E1044" t="s">
        <v>163</v>
      </c>
      <c r="F1044">
        <v>8606</v>
      </c>
      <c r="G1044">
        <v>19</v>
      </c>
      <c r="H1044">
        <v>10241</v>
      </c>
      <c r="I1044" t="s">
        <v>24</v>
      </c>
      <c r="J1044" t="s">
        <v>25</v>
      </c>
      <c r="K1044">
        <v>0</v>
      </c>
      <c r="L1044">
        <v>0</v>
      </c>
      <c r="M1044" t="s">
        <v>25</v>
      </c>
      <c r="N1044" t="s">
        <v>25</v>
      </c>
      <c r="O1044" t="s">
        <v>26</v>
      </c>
      <c r="P1044" t="s">
        <v>25</v>
      </c>
      <c r="Q1044" t="s">
        <v>27</v>
      </c>
      <c r="R1044" t="s">
        <v>28</v>
      </c>
    </row>
    <row r="1045" spans="1:18">
      <c r="A1045">
        <v>1049</v>
      </c>
      <c r="B1045" t="s">
        <v>1198</v>
      </c>
      <c r="C1045" t="s">
        <v>102</v>
      </c>
      <c r="D1045" t="s">
        <v>22</v>
      </c>
      <c r="E1045" t="s">
        <v>163</v>
      </c>
      <c r="F1045">
        <v>786</v>
      </c>
      <c r="G1045">
        <v>19</v>
      </c>
      <c r="H1045">
        <v>935</v>
      </c>
      <c r="I1045" t="s">
        <v>24</v>
      </c>
      <c r="J1045" t="s">
        <v>25</v>
      </c>
      <c r="K1045">
        <v>0</v>
      </c>
      <c r="L1045">
        <v>0</v>
      </c>
      <c r="M1045" t="s">
        <v>25</v>
      </c>
      <c r="N1045" t="s">
        <v>25</v>
      </c>
      <c r="O1045" t="s">
        <v>26</v>
      </c>
      <c r="P1045" t="s">
        <v>25</v>
      </c>
      <c r="Q1045" t="s">
        <v>27</v>
      </c>
      <c r="R1045" t="s">
        <v>28</v>
      </c>
    </row>
    <row r="1046" spans="1:18">
      <c r="A1046">
        <v>1050</v>
      </c>
      <c r="B1046" t="s">
        <v>1199</v>
      </c>
      <c r="C1046" t="s">
        <v>102</v>
      </c>
      <c r="D1046" t="s">
        <v>22</v>
      </c>
      <c r="E1046" t="s">
        <v>163</v>
      </c>
      <c r="F1046">
        <v>1362</v>
      </c>
      <c r="G1046">
        <v>19</v>
      </c>
      <c r="H1046">
        <v>1621</v>
      </c>
      <c r="I1046" t="s">
        <v>24</v>
      </c>
      <c r="J1046" t="s">
        <v>25</v>
      </c>
      <c r="K1046">
        <v>0</v>
      </c>
      <c r="L1046">
        <v>0</v>
      </c>
      <c r="M1046" t="s">
        <v>25</v>
      </c>
      <c r="N1046" t="s">
        <v>25</v>
      </c>
      <c r="O1046" t="s">
        <v>26</v>
      </c>
      <c r="P1046" t="s">
        <v>25</v>
      </c>
      <c r="Q1046" t="s">
        <v>27</v>
      </c>
      <c r="R1046" t="s">
        <v>28</v>
      </c>
    </row>
    <row r="1047" spans="1:18">
      <c r="A1047">
        <v>1051</v>
      </c>
      <c r="B1047" t="s">
        <v>1200</v>
      </c>
      <c r="C1047" t="s">
        <v>102</v>
      </c>
      <c r="D1047" t="s">
        <v>22</v>
      </c>
      <c r="E1047" t="s">
        <v>163</v>
      </c>
      <c r="F1047">
        <v>31722</v>
      </c>
      <c r="G1047">
        <v>19</v>
      </c>
      <c r="H1047">
        <v>37749</v>
      </c>
      <c r="I1047" t="s">
        <v>24</v>
      </c>
      <c r="J1047" t="s">
        <v>25</v>
      </c>
      <c r="K1047">
        <v>0</v>
      </c>
      <c r="L1047">
        <v>0</v>
      </c>
      <c r="M1047" t="s">
        <v>25</v>
      </c>
      <c r="N1047" t="s">
        <v>25</v>
      </c>
      <c r="O1047" t="s">
        <v>26</v>
      </c>
      <c r="P1047" t="s">
        <v>25</v>
      </c>
      <c r="Q1047" t="s">
        <v>27</v>
      </c>
      <c r="R1047" t="s">
        <v>28</v>
      </c>
    </row>
    <row r="1048" spans="1:18">
      <c r="A1048">
        <v>1052</v>
      </c>
      <c r="B1048" t="s">
        <v>1201</v>
      </c>
      <c r="C1048" t="s">
        <v>102</v>
      </c>
      <c r="D1048" t="s">
        <v>22</v>
      </c>
      <c r="E1048" t="s">
        <v>163</v>
      </c>
      <c r="F1048">
        <v>564</v>
      </c>
      <c r="G1048">
        <v>19</v>
      </c>
      <c r="H1048">
        <v>671</v>
      </c>
      <c r="I1048" t="s">
        <v>24</v>
      </c>
      <c r="J1048" t="s">
        <v>25</v>
      </c>
      <c r="K1048">
        <v>0</v>
      </c>
      <c r="L1048">
        <v>0</v>
      </c>
      <c r="M1048" t="s">
        <v>25</v>
      </c>
      <c r="N1048" t="s">
        <v>25</v>
      </c>
      <c r="O1048" t="s">
        <v>26</v>
      </c>
      <c r="P1048" t="s">
        <v>25</v>
      </c>
      <c r="Q1048" t="s">
        <v>27</v>
      </c>
      <c r="R1048" t="s">
        <v>28</v>
      </c>
    </row>
    <row r="1049" spans="1:18">
      <c r="A1049">
        <v>1053</v>
      </c>
      <c r="B1049" t="s">
        <v>1202</v>
      </c>
      <c r="C1049" t="s">
        <v>102</v>
      </c>
      <c r="D1049" t="s">
        <v>22</v>
      </c>
      <c r="E1049" t="s">
        <v>163</v>
      </c>
      <c r="F1049">
        <v>7824</v>
      </c>
      <c r="G1049">
        <v>19</v>
      </c>
      <c r="H1049">
        <v>9311</v>
      </c>
      <c r="I1049" t="s">
        <v>24</v>
      </c>
      <c r="J1049" t="s">
        <v>25</v>
      </c>
      <c r="K1049">
        <v>0</v>
      </c>
      <c r="L1049">
        <v>0</v>
      </c>
      <c r="M1049" t="s">
        <v>25</v>
      </c>
      <c r="N1049" t="s">
        <v>25</v>
      </c>
      <c r="O1049" t="s">
        <v>26</v>
      </c>
      <c r="P1049" t="s">
        <v>25</v>
      </c>
      <c r="Q1049" t="s">
        <v>27</v>
      </c>
      <c r="R1049" t="s">
        <v>28</v>
      </c>
    </row>
    <row r="1050" spans="1:18">
      <c r="A1050">
        <v>1054</v>
      </c>
      <c r="B1050" t="s">
        <v>1203</v>
      </c>
      <c r="C1050" t="s">
        <v>102</v>
      </c>
      <c r="D1050" t="s">
        <v>22</v>
      </c>
      <c r="E1050" t="s">
        <v>163</v>
      </c>
      <c r="F1050">
        <v>18766</v>
      </c>
      <c r="G1050">
        <v>19</v>
      </c>
      <c r="H1050">
        <v>22332</v>
      </c>
      <c r="I1050" t="s">
        <v>24</v>
      </c>
      <c r="J1050" t="s">
        <v>25</v>
      </c>
      <c r="K1050">
        <v>0</v>
      </c>
      <c r="L1050">
        <v>0</v>
      </c>
      <c r="M1050" t="s">
        <v>25</v>
      </c>
      <c r="N1050" t="s">
        <v>25</v>
      </c>
      <c r="O1050" t="s">
        <v>26</v>
      </c>
      <c r="P1050" t="s">
        <v>25</v>
      </c>
      <c r="Q1050" t="s">
        <v>27</v>
      </c>
      <c r="R1050" t="s">
        <v>28</v>
      </c>
    </row>
    <row r="1051" spans="1:18">
      <c r="A1051">
        <v>1055</v>
      </c>
      <c r="B1051" t="s">
        <v>1204</v>
      </c>
      <c r="C1051" t="s">
        <v>102</v>
      </c>
      <c r="D1051" t="s">
        <v>22</v>
      </c>
      <c r="E1051" t="s">
        <v>163</v>
      </c>
      <c r="F1051">
        <v>1988</v>
      </c>
      <c r="G1051">
        <v>19</v>
      </c>
      <c r="H1051">
        <v>2366</v>
      </c>
      <c r="I1051" t="s">
        <v>24</v>
      </c>
      <c r="J1051" t="s">
        <v>25</v>
      </c>
      <c r="K1051">
        <v>0</v>
      </c>
      <c r="L1051">
        <v>0</v>
      </c>
      <c r="M1051" t="s">
        <v>25</v>
      </c>
      <c r="N1051" t="s">
        <v>25</v>
      </c>
      <c r="O1051" t="s">
        <v>26</v>
      </c>
      <c r="P1051" t="s">
        <v>25</v>
      </c>
      <c r="Q1051" t="s">
        <v>27</v>
      </c>
      <c r="R1051" t="s">
        <v>28</v>
      </c>
    </row>
    <row r="1052" spans="1:18">
      <c r="A1052">
        <v>1056</v>
      </c>
      <c r="B1052" t="s">
        <v>1205</v>
      </c>
      <c r="C1052" t="s">
        <v>102</v>
      </c>
      <c r="D1052" t="s">
        <v>22</v>
      </c>
      <c r="E1052" t="s">
        <v>163</v>
      </c>
      <c r="F1052">
        <v>59779</v>
      </c>
      <c r="G1052">
        <v>19</v>
      </c>
      <c r="H1052">
        <v>71137</v>
      </c>
      <c r="I1052" t="s">
        <v>24</v>
      </c>
      <c r="J1052" t="s">
        <v>25</v>
      </c>
      <c r="K1052">
        <v>0</v>
      </c>
      <c r="L1052">
        <v>0</v>
      </c>
      <c r="M1052" t="s">
        <v>25</v>
      </c>
      <c r="N1052" t="s">
        <v>25</v>
      </c>
      <c r="O1052" t="s">
        <v>26</v>
      </c>
      <c r="P1052" t="s">
        <v>25</v>
      </c>
      <c r="Q1052" t="s">
        <v>27</v>
      </c>
      <c r="R1052" t="s">
        <v>28</v>
      </c>
    </row>
    <row r="1053" spans="1:18">
      <c r="A1053">
        <v>1057</v>
      </c>
      <c r="B1053" t="s">
        <v>1206</v>
      </c>
      <c r="C1053" t="s">
        <v>102</v>
      </c>
      <c r="D1053" t="s">
        <v>22</v>
      </c>
      <c r="E1053" t="s">
        <v>163</v>
      </c>
      <c r="F1053">
        <v>25969</v>
      </c>
      <c r="G1053">
        <v>19</v>
      </c>
      <c r="H1053">
        <v>30903</v>
      </c>
      <c r="I1053" t="s">
        <v>24</v>
      </c>
      <c r="J1053" t="s">
        <v>25</v>
      </c>
      <c r="K1053">
        <v>0</v>
      </c>
      <c r="L1053">
        <v>0</v>
      </c>
      <c r="M1053" t="s">
        <v>25</v>
      </c>
      <c r="N1053" t="s">
        <v>25</v>
      </c>
      <c r="O1053" t="s">
        <v>26</v>
      </c>
      <c r="P1053" t="s">
        <v>25</v>
      </c>
      <c r="Q1053" t="s">
        <v>27</v>
      </c>
      <c r="R1053" t="s">
        <v>28</v>
      </c>
    </row>
    <row r="1054" spans="1:18">
      <c r="A1054">
        <v>1058</v>
      </c>
      <c r="B1054" t="s">
        <v>1207</v>
      </c>
      <c r="C1054" t="s">
        <v>102</v>
      </c>
      <c r="D1054" t="s">
        <v>22</v>
      </c>
      <c r="E1054" t="s">
        <v>163</v>
      </c>
      <c r="F1054">
        <v>7918</v>
      </c>
      <c r="G1054">
        <v>19</v>
      </c>
      <c r="H1054">
        <v>9422</v>
      </c>
      <c r="I1054" t="s">
        <v>24</v>
      </c>
      <c r="J1054" t="s">
        <v>25</v>
      </c>
      <c r="K1054">
        <v>0</v>
      </c>
      <c r="L1054">
        <v>0</v>
      </c>
      <c r="M1054" t="s">
        <v>25</v>
      </c>
      <c r="N1054" t="s">
        <v>25</v>
      </c>
      <c r="O1054" t="s">
        <v>26</v>
      </c>
      <c r="P1054" t="s">
        <v>25</v>
      </c>
      <c r="Q1054" t="s">
        <v>27</v>
      </c>
      <c r="R1054" t="s">
        <v>28</v>
      </c>
    </row>
    <row r="1055" spans="1:18">
      <c r="A1055">
        <v>1059</v>
      </c>
      <c r="B1055" t="s">
        <v>1208</v>
      </c>
      <c r="C1055" t="s">
        <v>102</v>
      </c>
      <c r="D1055" t="s">
        <v>22</v>
      </c>
      <c r="E1055" t="s">
        <v>163</v>
      </c>
      <c r="F1055">
        <v>2763</v>
      </c>
      <c r="G1055">
        <v>19</v>
      </c>
      <c r="H1055">
        <v>3288</v>
      </c>
      <c r="I1055" t="s">
        <v>24</v>
      </c>
      <c r="J1055" t="s">
        <v>25</v>
      </c>
      <c r="K1055">
        <v>0</v>
      </c>
      <c r="L1055">
        <v>0</v>
      </c>
      <c r="M1055" t="s">
        <v>25</v>
      </c>
      <c r="N1055" t="s">
        <v>25</v>
      </c>
      <c r="O1055" t="s">
        <v>26</v>
      </c>
      <c r="P1055" t="s">
        <v>25</v>
      </c>
      <c r="Q1055" t="s">
        <v>27</v>
      </c>
      <c r="R1055" t="s">
        <v>28</v>
      </c>
    </row>
    <row r="1056" spans="1:18">
      <c r="A1056">
        <v>1060</v>
      </c>
      <c r="B1056" t="s">
        <v>1209</v>
      </c>
      <c r="C1056" t="s">
        <v>102</v>
      </c>
      <c r="D1056" t="s">
        <v>22</v>
      </c>
      <c r="E1056" t="s">
        <v>163</v>
      </c>
      <c r="F1056">
        <v>13044</v>
      </c>
      <c r="G1056">
        <v>19</v>
      </c>
      <c r="H1056">
        <v>15522</v>
      </c>
      <c r="I1056" t="s">
        <v>24</v>
      </c>
      <c r="J1056" t="s">
        <v>25</v>
      </c>
      <c r="K1056">
        <v>0</v>
      </c>
      <c r="L1056">
        <v>0</v>
      </c>
      <c r="M1056" t="s">
        <v>25</v>
      </c>
      <c r="N1056" t="s">
        <v>25</v>
      </c>
      <c r="O1056" t="s">
        <v>26</v>
      </c>
      <c r="P1056" t="s">
        <v>25</v>
      </c>
      <c r="Q1056" t="s">
        <v>27</v>
      </c>
      <c r="R1056" t="s">
        <v>28</v>
      </c>
    </row>
    <row r="1057" spans="1:18">
      <c r="A1057">
        <v>1061</v>
      </c>
      <c r="B1057" t="s">
        <v>1210</v>
      </c>
      <c r="C1057" t="s">
        <v>102</v>
      </c>
      <c r="D1057" t="s">
        <v>22</v>
      </c>
      <c r="E1057" t="s">
        <v>163</v>
      </c>
      <c r="F1057">
        <v>1161</v>
      </c>
      <c r="G1057">
        <v>19</v>
      </c>
      <c r="H1057">
        <v>1382</v>
      </c>
      <c r="I1057" t="s">
        <v>24</v>
      </c>
      <c r="J1057" t="s">
        <v>25</v>
      </c>
      <c r="K1057">
        <v>0</v>
      </c>
      <c r="L1057">
        <v>0</v>
      </c>
      <c r="M1057" t="s">
        <v>25</v>
      </c>
      <c r="N1057" t="s">
        <v>25</v>
      </c>
      <c r="O1057" t="s">
        <v>26</v>
      </c>
      <c r="P1057" t="s">
        <v>25</v>
      </c>
      <c r="Q1057" t="s">
        <v>27</v>
      </c>
      <c r="R1057" t="s">
        <v>28</v>
      </c>
    </row>
    <row r="1058" spans="1:18">
      <c r="A1058">
        <v>1062</v>
      </c>
      <c r="B1058" t="s">
        <v>1211</v>
      </c>
      <c r="C1058" t="s">
        <v>102</v>
      </c>
      <c r="D1058" t="s">
        <v>22</v>
      </c>
      <c r="E1058" t="s">
        <v>163</v>
      </c>
      <c r="F1058">
        <v>2128</v>
      </c>
      <c r="G1058">
        <v>19</v>
      </c>
      <c r="H1058">
        <v>2532</v>
      </c>
      <c r="I1058" t="s">
        <v>24</v>
      </c>
      <c r="J1058" t="s">
        <v>25</v>
      </c>
      <c r="K1058">
        <v>0</v>
      </c>
      <c r="L1058">
        <v>0</v>
      </c>
      <c r="M1058" t="s">
        <v>25</v>
      </c>
      <c r="N1058" t="s">
        <v>25</v>
      </c>
      <c r="O1058" t="s">
        <v>26</v>
      </c>
      <c r="P1058" t="s">
        <v>25</v>
      </c>
      <c r="Q1058" t="s">
        <v>27</v>
      </c>
      <c r="R1058" t="s">
        <v>28</v>
      </c>
    </row>
    <row r="1059" spans="1:18">
      <c r="A1059">
        <v>1063</v>
      </c>
      <c r="B1059" t="s">
        <v>1212</v>
      </c>
      <c r="C1059" t="s">
        <v>102</v>
      </c>
      <c r="D1059" t="s">
        <v>22</v>
      </c>
      <c r="E1059" t="s">
        <v>163</v>
      </c>
      <c r="F1059">
        <v>11337</v>
      </c>
      <c r="G1059">
        <v>19</v>
      </c>
      <c r="H1059">
        <v>13491</v>
      </c>
      <c r="I1059" t="s">
        <v>24</v>
      </c>
      <c r="J1059" t="s">
        <v>25</v>
      </c>
      <c r="K1059">
        <v>0</v>
      </c>
      <c r="L1059">
        <v>0</v>
      </c>
      <c r="M1059" t="s">
        <v>25</v>
      </c>
      <c r="N1059" t="s">
        <v>25</v>
      </c>
      <c r="O1059" t="s">
        <v>26</v>
      </c>
      <c r="P1059" t="s">
        <v>25</v>
      </c>
      <c r="Q1059" t="s">
        <v>27</v>
      </c>
      <c r="R1059" t="s">
        <v>28</v>
      </c>
    </row>
    <row r="1060" spans="1:18">
      <c r="A1060">
        <v>1064</v>
      </c>
      <c r="B1060" t="s">
        <v>1213</v>
      </c>
      <c r="C1060" t="s">
        <v>102</v>
      </c>
      <c r="D1060" t="s">
        <v>22</v>
      </c>
      <c r="E1060" t="s">
        <v>163</v>
      </c>
      <c r="F1060">
        <v>2491</v>
      </c>
      <c r="G1060">
        <v>19</v>
      </c>
      <c r="H1060">
        <v>2964</v>
      </c>
      <c r="I1060" t="s">
        <v>24</v>
      </c>
      <c r="J1060" t="s">
        <v>25</v>
      </c>
      <c r="K1060">
        <v>0</v>
      </c>
      <c r="L1060">
        <v>0</v>
      </c>
      <c r="M1060" t="s">
        <v>25</v>
      </c>
      <c r="N1060" t="s">
        <v>25</v>
      </c>
      <c r="O1060" t="s">
        <v>26</v>
      </c>
      <c r="P1060" t="s">
        <v>25</v>
      </c>
      <c r="Q1060" t="s">
        <v>27</v>
      </c>
      <c r="R1060" t="s">
        <v>28</v>
      </c>
    </row>
    <row r="1061" spans="1:18">
      <c r="A1061">
        <v>1065</v>
      </c>
      <c r="B1061" t="s">
        <v>1214</v>
      </c>
      <c r="C1061" t="s">
        <v>102</v>
      </c>
      <c r="D1061" t="s">
        <v>22</v>
      </c>
      <c r="E1061" t="s">
        <v>163</v>
      </c>
      <c r="F1061">
        <v>2698</v>
      </c>
      <c r="G1061">
        <v>19</v>
      </c>
      <c r="H1061">
        <v>3211</v>
      </c>
      <c r="I1061" t="s">
        <v>24</v>
      </c>
      <c r="J1061" t="s">
        <v>25</v>
      </c>
      <c r="K1061">
        <v>0</v>
      </c>
      <c r="L1061">
        <v>0</v>
      </c>
      <c r="M1061" t="s">
        <v>25</v>
      </c>
      <c r="N1061" t="s">
        <v>25</v>
      </c>
      <c r="O1061" t="s">
        <v>26</v>
      </c>
      <c r="P1061" t="s">
        <v>25</v>
      </c>
      <c r="Q1061" t="s">
        <v>27</v>
      </c>
      <c r="R1061" t="s">
        <v>28</v>
      </c>
    </row>
    <row r="1062" spans="1:18">
      <c r="A1062">
        <v>1066</v>
      </c>
      <c r="B1062" t="s">
        <v>1215</v>
      </c>
      <c r="C1062" t="s">
        <v>102</v>
      </c>
      <c r="D1062" t="s">
        <v>22</v>
      </c>
      <c r="E1062" t="s">
        <v>163</v>
      </c>
      <c r="F1062">
        <v>792</v>
      </c>
      <c r="G1062">
        <v>19</v>
      </c>
      <c r="H1062">
        <v>942</v>
      </c>
      <c r="I1062" t="s">
        <v>24</v>
      </c>
      <c r="J1062" t="s">
        <v>25</v>
      </c>
      <c r="K1062">
        <v>0</v>
      </c>
      <c r="L1062">
        <v>0</v>
      </c>
      <c r="M1062" t="s">
        <v>25</v>
      </c>
      <c r="N1062" t="s">
        <v>25</v>
      </c>
      <c r="O1062" t="s">
        <v>26</v>
      </c>
      <c r="P1062" t="s">
        <v>25</v>
      </c>
      <c r="Q1062" t="s">
        <v>27</v>
      </c>
      <c r="R1062" t="s">
        <v>28</v>
      </c>
    </row>
    <row r="1063" spans="1:18">
      <c r="A1063">
        <v>1067</v>
      </c>
      <c r="B1063" t="s">
        <v>1216</v>
      </c>
      <c r="C1063" t="s">
        <v>102</v>
      </c>
      <c r="D1063" t="s">
        <v>22</v>
      </c>
      <c r="E1063" t="s">
        <v>163</v>
      </c>
      <c r="F1063">
        <v>2598</v>
      </c>
      <c r="G1063">
        <v>19</v>
      </c>
      <c r="H1063">
        <v>3092</v>
      </c>
      <c r="I1063" t="s">
        <v>24</v>
      </c>
      <c r="J1063" t="s">
        <v>25</v>
      </c>
      <c r="K1063">
        <v>0</v>
      </c>
      <c r="L1063">
        <v>0</v>
      </c>
      <c r="M1063" t="s">
        <v>25</v>
      </c>
      <c r="N1063" t="s">
        <v>25</v>
      </c>
      <c r="O1063" t="s">
        <v>26</v>
      </c>
      <c r="P1063" t="s">
        <v>25</v>
      </c>
      <c r="Q1063" t="s">
        <v>27</v>
      </c>
      <c r="R1063" t="s">
        <v>28</v>
      </c>
    </row>
    <row r="1064" spans="1:18">
      <c r="A1064">
        <v>1068</v>
      </c>
      <c r="B1064" t="s">
        <v>1217</v>
      </c>
      <c r="C1064" t="s">
        <v>102</v>
      </c>
      <c r="D1064" t="s">
        <v>22</v>
      </c>
      <c r="E1064" t="s">
        <v>163</v>
      </c>
      <c r="F1064">
        <v>7579</v>
      </c>
      <c r="G1064">
        <v>19</v>
      </c>
      <c r="H1064">
        <v>9019</v>
      </c>
      <c r="I1064" t="s">
        <v>24</v>
      </c>
      <c r="J1064" t="s">
        <v>25</v>
      </c>
      <c r="K1064">
        <v>0</v>
      </c>
      <c r="L1064">
        <v>0</v>
      </c>
      <c r="M1064" t="s">
        <v>25</v>
      </c>
      <c r="N1064" t="s">
        <v>25</v>
      </c>
      <c r="O1064" t="s">
        <v>26</v>
      </c>
      <c r="P1064" t="s">
        <v>25</v>
      </c>
      <c r="Q1064" t="s">
        <v>27</v>
      </c>
      <c r="R1064" t="s">
        <v>28</v>
      </c>
    </row>
    <row r="1065" spans="1:18">
      <c r="A1065">
        <v>1069</v>
      </c>
      <c r="B1065" t="s">
        <v>1218</v>
      </c>
      <c r="C1065" t="s">
        <v>102</v>
      </c>
      <c r="D1065" t="s">
        <v>22</v>
      </c>
      <c r="E1065" t="s">
        <v>163</v>
      </c>
      <c r="F1065">
        <v>3201</v>
      </c>
      <c r="G1065">
        <v>19</v>
      </c>
      <c r="H1065">
        <v>3809</v>
      </c>
      <c r="I1065" t="s">
        <v>24</v>
      </c>
      <c r="J1065" t="s">
        <v>25</v>
      </c>
      <c r="K1065">
        <v>0</v>
      </c>
      <c r="L1065">
        <v>0</v>
      </c>
      <c r="M1065" t="s">
        <v>25</v>
      </c>
      <c r="N1065" t="s">
        <v>25</v>
      </c>
      <c r="O1065" t="s">
        <v>26</v>
      </c>
      <c r="P1065" t="s">
        <v>25</v>
      </c>
      <c r="Q1065" t="s">
        <v>27</v>
      </c>
      <c r="R1065" t="s">
        <v>28</v>
      </c>
    </row>
    <row r="1066" spans="1:18">
      <c r="A1066">
        <v>1070</v>
      </c>
      <c r="B1066" t="s">
        <v>1219</v>
      </c>
      <c r="C1066" t="s">
        <v>102</v>
      </c>
      <c r="D1066" t="s">
        <v>22</v>
      </c>
      <c r="E1066" t="s">
        <v>163</v>
      </c>
      <c r="F1066">
        <v>34584</v>
      </c>
      <c r="G1066">
        <v>19</v>
      </c>
      <c r="H1066">
        <v>41155</v>
      </c>
      <c r="I1066" t="s">
        <v>24</v>
      </c>
      <c r="J1066" t="s">
        <v>25</v>
      </c>
      <c r="K1066">
        <v>0</v>
      </c>
      <c r="L1066">
        <v>0</v>
      </c>
      <c r="M1066" t="s">
        <v>25</v>
      </c>
      <c r="N1066" t="s">
        <v>25</v>
      </c>
      <c r="O1066" t="s">
        <v>26</v>
      </c>
      <c r="P1066" t="s">
        <v>25</v>
      </c>
      <c r="Q1066" t="s">
        <v>27</v>
      </c>
      <c r="R1066" t="s">
        <v>28</v>
      </c>
    </row>
    <row r="1067" spans="1:18">
      <c r="A1067">
        <v>1071</v>
      </c>
      <c r="B1067" t="s">
        <v>1220</v>
      </c>
      <c r="C1067" t="s">
        <v>102</v>
      </c>
      <c r="D1067" t="s">
        <v>22</v>
      </c>
      <c r="E1067" t="s">
        <v>163</v>
      </c>
      <c r="F1067">
        <v>2034</v>
      </c>
      <c r="G1067">
        <v>19</v>
      </c>
      <c r="H1067">
        <v>2420</v>
      </c>
      <c r="I1067" t="s">
        <v>24</v>
      </c>
      <c r="J1067" t="s">
        <v>25</v>
      </c>
      <c r="K1067">
        <v>0</v>
      </c>
      <c r="L1067">
        <v>0</v>
      </c>
      <c r="M1067" t="s">
        <v>25</v>
      </c>
      <c r="N1067" t="s">
        <v>25</v>
      </c>
      <c r="O1067" t="s">
        <v>26</v>
      </c>
      <c r="P1067" t="s">
        <v>25</v>
      </c>
      <c r="Q1067" t="s">
        <v>27</v>
      </c>
      <c r="R1067" t="s">
        <v>28</v>
      </c>
    </row>
    <row r="1068" spans="1:18">
      <c r="A1068">
        <v>1072</v>
      </c>
      <c r="B1068" t="s">
        <v>1221</v>
      </c>
      <c r="C1068" t="s">
        <v>102</v>
      </c>
      <c r="D1068" t="s">
        <v>22</v>
      </c>
      <c r="E1068" t="s">
        <v>163</v>
      </c>
      <c r="F1068">
        <v>16439</v>
      </c>
      <c r="G1068">
        <v>19</v>
      </c>
      <c r="H1068">
        <v>19562</v>
      </c>
      <c r="I1068" t="s">
        <v>24</v>
      </c>
      <c r="J1068" t="s">
        <v>25</v>
      </c>
      <c r="K1068">
        <v>0</v>
      </c>
      <c r="L1068">
        <v>0</v>
      </c>
      <c r="M1068" t="s">
        <v>25</v>
      </c>
      <c r="N1068" t="s">
        <v>25</v>
      </c>
      <c r="O1068" t="s">
        <v>26</v>
      </c>
      <c r="P1068" t="s">
        <v>25</v>
      </c>
      <c r="Q1068" t="s">
        <v>27</v>
      </c>
      <c r="R1068" t="s">
        <v>28</v>
      </c>
    </row>
    <row r="1069" spans="1:18">
      <c r="A1069">
        <v>1073</v>
      </c>
      <c r="B1069" t="s">
        <v>1222</v>
      </c>
      <c r="C1069" t="s">
        <v>102</v>
      </c>
      <c r="D1069" t="s">
        <v>22</v>
      </c>
      <c r="E1069" t="s">
        <v>163</v>
      </c>
      <c r="F1069">
        <v>125929</v>
      </c>
      <c r="G1069">
        <v>19</v>
      </c>
      <c r="H1069">
        <v>149856</v>
      </c>
      <c r="I1069" t="s">
        <v>24</v>
      </c>
      <c r="J1069" t="s">
        <v>25</v>
      </c>
      <c r="K1069">
        <v>0</v>
      </c>
      <c r="L1069">
        <v>0</v>
      </c>
      <c r="M1069" t="s">
        <v>25</v>
      </c>
      <c r="N1069" t="s">
        <v>25</v>
      </c>
      <c r="O1069" t="s">
        <v>26</v>
      </c>
      <c r="P1069" t="s">
        <v>25</v>
      </c>
      <c r="Q1069" t="s">
        <v>27</v>
      </c>
      <c r="R1069" t="s">
        <v>28</v>
      </c>
    </row>
    <row r="1070" spans="1:18">
      <c r="A1070">
        <v>1074</v>
      </c>
      <c r="B1070" t="s">
        <v>1223</v>
      </c>
      <c r="C1070" t="s">
        <v>102</v>
      </c>
      <c r="D1070" t="s">
        <v>22</v>
      </c>
      <c r="E1070" t="s">
        <v>163</v>
      </c>
      <c r="F1070">
        <v>627</v>
      </c>
      <c r="G1070">
        <v>19</v>
      </c>
      <c r="H1070">
        <v>746</v>
      </c>
      <c r="I1070" t="s">
        <v>24</v>
      </c>
      <c r="J1070" t="s">
        <v>25</v>
      </c>
      <c r="K1070">
        <v>0</v>
      </c>
      <c r="L1070">
        <v>0</v>
      </c>
      <c r="M1070" t="s">
        <v>25</v>
      </c>
      <c r="N1070" t="s">
        <v>25</v>
      </c>
      <c r="O1070" t="s">
        <v>26</v>
      </c>
      <c r="P1070" t="s">
        <v>25</v>
      </c>
      <c r="Q1070" t="s">
        <v>27</v>
      </c>
      <c r="R1070" t="s">
        <v>28</v>
      </c>
    </row>
    <row r="1071" spans="1:18">
      <c r="A1071">
        <v>1075</v>
      </c>
      <c r="B1071" t="s">
        <v>1224</v>
      </c>
      <c r="C1071" t="s">
        <v>102</v>
      </c>
      <c r="D1071" t="s">
        <v>22</v>
      </c>
      <c r="E1071" t="s">
        <v>163</v>
      </c>
      <c r="F1071">
        <v>627</v>
      </c>
      <c r="G1071">
        <v>19</v>
      </c>
      <c r="H1071">
        <v>746</v>
      </c>
      <c r="I1071" t="s">
        <v>24</v>
      </c>
      <c r="J1071" t="s">
        <v>25</v>
      </c>
      <c r="K1071">
        <v>0</v>
      </c>
      <c r="L1071">
        <v>0</v>
      </c>
      <c r="M1071" t="s">
        <v>25</v>
      </c>
      <c r="N1071" t="s">
        <v>25</v>
      </c>
      <c r="O1071" t="s">
        <v>26</v>
      </c>
      <c r="P1071" t="s">
        <v>25</v>
      </c>
      <c r="Q1071" t="s">
        <v>27</v>
      </c>
      <c r="R1071" t="s">
        <v>28</v>
      </c>
    </row>
    <row r="1072" spans="1:18">
      <c r="A1072">
        <v>1076</v>
      </c>
      <c r="B1072" t="s">
        <v>1225</v>
      </c>
      <c r="C1072" t="s">
        <v>102</v>
      </c>
      <c r="D1072" t="s">
        <v>22</v>
      </c>
      <c r="E1072" t="s">
        <v>163</v>
      </c>
      <c r="F1072">
        <v>720</v>
      </c>
      <c r="G1072">
        <v>19</v>
      </c>
      <c r="H1072">
        <v>857</v>
      </c>
      <c r="I1072" t="s">
        <v>24</v>
      </c>
      <c r="J1072" t="s">
        <v>25</v>
      </c>
      <c r="K1072">
        <v>0</v>
      </c>
      <c r="L1072">
        <v>0</v>
      </c>
      <c r="M1072" t="s">
        <v>25</v>
      </c>
      <c r="N1072" t="s">
        <v>25</v>
      </c>
      <c r="O1072" t="s">
        <v>26</v>
      </c>
      <c r="P1072" t="s">
        <v>25</v>
      </c>
      <c r="Q1072" t="s">
        <v>27</v>
      </c>
      <c r="R1072" t="s">
        <v>28</v>
      </c>
    </row>
    <row r="1073" spans="1:18">
      <c r="A1073">
        <v>1077</v>
      </c>
      <c r="B1073" t="s">
        <v>1226</v>
      </c>
      <c r="C1073" t="s">
        <v>102</v>
      </c>
      <c r="D1073" t="s">
        <v>22</v>
      </c>
      <c r="E1073" t="s">
        <v>163</v>
      </c>
      <c r="F1073">
        <v>720</v>
      </c>
      <c r="G1073">
        <v>19</v>
      </c>
      <c r="H1073">
        <v>857</v>
      </c>
      <c r="I1073" t="s">
        <v>24</v>
      </c>
      <c r="J1073" t="s">
        <v>25</v>
      </c>
      <c r="K1073">
        <v>0</v>
      </c>
      <c r="L1073">
        <v>0</v>
      </c>
      <c r="M1073" t="s">
        <v>25</v>
      </c>
      <c r="N1073" t="s">
        <v>25</v>
      </c>
      <c r="O1073" t="s">
        <v>26</v>
      </c>
      <c r="P1073" t="s">
        <v>25</v>
      </c>
      <c r="Q1073" t="s">
        <v>27</v>
      </c>
      <c r="R1073" t="s">
        <v>28</v>
      </c>
    </row>
    <row r="1074" spans="1:18">
      <c r="A1074">
        <v>1078</v>
      </c>
      <c r="B1074" t="s">
        <v>1227</v>
      </c>
      <c r="C1074" t="s">
        <v>102</v>
      </c>
      <c r="D1074" t="s">
        <v>22</v>
      </c>
      <c r="E1074" t="s">
        <v>163</v>
      </c>
      <c r="F1074">
        <v>627</v>
      </c>
      <c r="G1074">
        <v>19</v>
      </c>
      <c r="H1074">
        <v>746</v>
      </c>
      <c r="I1074" t="s">
        <v>24</v>
      </c>
      <c r="J1074" t="s">
        <v>25</v>
      </c>
      <c r="K1074">
        <v>0</v>
      </c>
      <c r="L1074">
        <v>0</v>
      </c>
      <c r="M1074" t="s">
        <v>25</v>
      </c>
      <c r="N1074" t="s">
        <v>25</v>
      </c>
      <c r="O1074" t="s">
        <v>26</v>
      </c>
      <c r="P1074" t="s">
        <v>25</v>
      </c>
      <c r="Q1074" t="s">
        <v>27</v>
      </c>
      <c r="R1074" t="s">
        <v>28</v>
      </c>
    </row>
    <row r="1075" spans="1:18">
      <c r="A1075">
        <v>1079</v>
      </c>
      <c r="B1075" t="s">
        <v>1228</v>
      </c>
      <c r="C1075" t="s">
        <v>102</v>
      </c>
      <c r="D1075" t="s">
        <v>22</v>
      </c>
      <c r="E1075" t="s">
        <v>163</v>
      </c>
      <c r="F1075">
        <v>652</v>
      </c>
      <c r="G1075">
        <v>19</v>
      </c>
      <c r="H1075">
        <v>776</v>
      </c>
      <c r="I1075" t="s">
        <v>24</v>
      </c>
      <c r="J1075" t="s">
        <v>25</v>
      </c>
      <c r="K1075">
        <v>0</v>
      </c>
      <c r="L1075">
        <v>0</v>
      </c>
      <c r="M1075" t="s">
        <v>25</v>
      </c>
      <c r="N1075" t="s">
        <v>25</v>
      </c>
      <c r="O1075" t="s">
        <v>26</v>
      </c>
      <c r="P1075" t="s">
        <v>25</v>
      </c>
      <c r="Q1075" t="s">
        <v>27</v>
      </c>
      <c r="R1075" t="s">
        <v>28</v>
      </c>
    </row>
    <row r="1076" spans="1:18">
      <c r="A1076">
        <v>1080</v>
      </c>
      <c r="B1076" t="s">
        <v>1229</v>
      </c>
      <c r="C1076" t="s">
        <v>102</v>
      </c>
      <c r="D1076" t="s">
        <v>22</v>
      </c>
      <c r="E1076" t="s">
        <v>163</v>
      </c>
      <c r="F1076">
        <v>573</v>
      </c>
      <c r="G1076">
        <v>19</v>
      </c>
      <c r="H1076">
        <v>682</v>
      </c>
      <c r="I1076" t="s">
        <v>24</v>
      </c>
      <c r="J1076" t="s">
        <v>25</v>
      </c>
      <c r="K1076">
        <v>0</v>
      </c>
      <c r="L1076">
        <v>0</v>
      </c>
      <c r="M1076" t="s">
        <v>25</v>
      </c>
      <c r="N1076" t="s">
        <v>25</v>
      </c>
      <c r="O1076" t="s">
        <v>26</v>
      </c>
      <c r="P1076" t="s">
        <v>25</v>
      </c>
      <c r="Q1076" t="s">
        <v>27</v>
      </c>
      <c r="R1076" t="s">
        <v>28</v>
      </c>
    </row>
    <row r="1077" spans="1:18">
      <c r="A1077">
        <v>1081</v>
      </c>
      <c r="B1077" t="s">
        <v>1230</v>
      </c>
      <c r="C1077" t="s">
        <v>102</v>
      </c>
      <c r="D1077" t="s">
        <v>22</v>
      </c>
      <c r="E1077" t="s">
        <v>163</v>
      </c>
      <c r="F1077">
        <v>608</v>
      </c>
      <c r="G1077">
        <v>19</v>
      </c>
      <c r="H1077">
        <v>724</v>
      </c>
      <c r="I1077" t="s">
        <v>24</v>
      </c>
      <c r="J1077" t="s">
        <v>25</v>
      </c>
      <c r="K1077">
        <v>0</v>
      </c>
      <c r="L1077">
        <v>0</v>
      </c>
      <c r="M1077" t="s">
        <v>25</v>
      </c>
      <c r="N1077" t="s">
        <v>25</v>
      </c>
      <c r="O1077" t="s">
        <v>26</v>
      </c>
      <c r="P1077" t="s">
        <v>25</v>
      </c>
      <c r="Q1077" t="s">
        <v>27</v>
      </c>
      <c r="R1077" t="s">
        <v>28</v>
      </c>
    </row>
    <row r="1078" spans="1:18">
      <c r="A1078">
        <v>1082</v>
      </c>
      <c r="B1078" t="s">
        <v>1231</v>
      </c>
      <c r="C1078" t="s">
        <v>102</v>
      </c>
      <c r="D1078" t="s">
        <v>22</v>
      </c>
      <c r="E1078" t="s">
        <v>163</v>
      </c>
      <c r="F1078">
        <v>608</v>
      </c>
      <c r="G1078">
        <v>19</v>
      </c>
      <c r="H1078">
        <v>724</v>
      </c>
      <c r="I1078" t="s">
        <v>24</v>
      </c>
      <c r="J1078" t="s">
        <v>25</v>
      </c>
      <c r="K1078">
        <v>0</v>
      </c>
      <c r="L1078">
        <v>0</v>
      </c>
      <c r="M1078" t="s">
        <v>25</v>
      </c>
      <c r="N1078" t="s">
        <v>25</v>
      </c>
      <c r="O1078" t="s">
        <v>26</v>
      </c>
      <c r="P1078" t="s">
        <v>25</v>
      </c>
      <c r="Q1078" t="s">
        <v>27</v>
      </c>
      <c r="R1078" t="s">
        <v>28</v>
      </c>
    </row>
    <row r="1079" spans="1:18">
      <c r="A1079">
        <v>1083</v>
      </c>
      <c r="B1079" t="s">
        <v>1232</v>
      </c>
      <c r="C1079" t="s">
        <v>102</v>
      </c>
      <c r="D1079" t="s">
        <v>22</v>
      </c>
      <c r="E1079" t="s">
        <v>163</v>
      </c>
      <c r="F1079">
        <v>608</v>
      </c>
      <c r="G1079">
        <v>19</v>
      </c>
      <c r="H1079">
        <v>724</v>
      </c>
      <c r="I1079" t="s">
        <v>24</v>
      </c>
      <c r="J1079" t="s">
        <v>25</v>
      </c>
      <c r="K1079">
        <v>0</v>
      </c>
      <c r="L1079">
        <v>0</v>
      </c>
      <c r="M1079" t="s">
        <v>25</v>
      </c>
      <c r="N1079" t="s">
        <v>25</v>
      </c>
      <c r="O1079" t="s">
        <v>26</v>
      </c>
      <c r="P1079" t="s">
        <v>25</v>
      </c>
      <c r="Q1079" t="s">
        <v>27</v>
      </c>
      <c r="R1079" t="s">
        <v>28</v>
      </c>
    </row>
    <row r="1080" spans="1:18">
      <c r="A1080">
        <v>1084</v>
      </c>
      <c r="B1080" t="s">
        <v>1233</v>
      </c>
      <c r="C1080" t="s">
        <v>102</v>
      </c>
      <c r="D1080" t="s">
        <v>22</v>
      </c>
      <c r="E1080" t="s">
        <v>163</v>
      </c>
      <c r="F1080">
        <v>608</v>
      </c>
      <c r="G1080">
        <v>19</v>
      </c>
      <c r="H1080">
        <v>724</v>
      </c>
      <c r="I1080" t="s">
        <v>24</v>
      </c>
      <c r="J1080" t="s">
        <v>25</v>
      </c>
      <c r="K1080">
        <v>0</v>
      </c>
      <c r="L1080">
        <v>0</v>
      </c>
      <c r="M1080" t="s">
        <v>25</v>
      </c>
      <c r="N1080" t="s">
        <v>25</v>
      </c>
      <c r="O1080" t="s">
        <v>26</v>
      </c>
      <c r="P1080" t="s">
        <v>25</v>
      </c>
      <c r="Q1080" t="s">
        <v>27</v>
      </c>
      <c r="R1080" t="s">
        <v>28</v>
      </c>
    </row>
    <row r="1081" spans="1:18">
      <c r="A1081">
        <v>1085</v>
      </c>
      <c r="B1081" t="s">
        <v>1234</v>
      </c>
      <c r="C1081" t="s">
        <v>102</v>
      </c>
      <c r="D1081" t="s">
        <v>22</v>
      </c>
      <c r="E1081" t="s">
        <v>163</v>
      </c>
      <c r="F1081">
        <v>665</v>
      </c>
      <c r="G1081">
        <v>19</v>
      </c>
      <c r="H1081">
        <v>791</v>
      </c>
      <c r="I1081" t="s">
        <v>24</v>
      </c>
      <c r="J1081" t="s">
        <v>25</v>
      </c>
      <c r="K1081">
        <v>0</v>
      </c>
      <c r="L1081">
        <v>0</v>
      </c>
      <c r="M1081" t="s">
        <v>25</v>
      </c>
      <c r="N1081" t="s">
        <v>25</v>
      </c>
      <c r="O1081" t="s">
        <v>26</v>
      </c>
      <c r="P1081" t="s">
        <v>25</v>
      </c>
      <c r="Q1081" t="s">
        <v>27</v>
      </c>
      <c r="R1081" t="s">
        <v>28</v>
      </c>
    </row>
    <row r="1082" spans="1:18">
      <c r="A1082">
        <v>1086</v>
      </c>
      <c r="B1082" t="s">
        <v>1235</v>
      </c>
      <c r="C1082" t="s">
        <v>102</v>
      </c>
      <c r="D1082" t="s">
        <v>22</v>
      </c>
      <c r="E1082" t="s">
        <v>163</v>
      </c>
      <c r="F1082">
        <v>646</v>
      </c>
      <c r="G1082">
        <v>19</v>
      </c>
      <c r="H1082">
        <v>769</v>
      </c>
      <c r="I1082" t="s">
        <v>24</v>
      </c>
      <c r="J1082" t="s">
        <v>25</v>
      </c>
      <c r="K1082">
        <v>0</v>
      </c>
      <c r="L1082">
        <v>0</v>
      </c>
      <c r="M1082" t="s">
        <v>25</v>
      </c>
      <c r="N1082" t="s">
        <v>25</v>
      </c>
      <c r="O1082" t="s">
        <v>26</v>
      </c>
      <c r="P1082" t="s">
        <v>25</v>
      </c>
      <c r="Q1082" t="s">
        <v>27</v>
      </c>
      <c r="R1082" t="s">
        <v>28</v>
      </c>
    </row>
    <row r="1083" spans="1:18">
      <c r="A1083">
        <v>1087</v>
      </c>
      <c r="B1083" t="s">
        <v>1236</v>
      </c>
      <c r="C1083" t="s">
        <v>102</v>
      </c>
      <c r="D1083" t="s">
        <v>22</v>
      </c>
      <c r="E1083" t="s">
        <v>163</v>
      </c>
      <c r="F1083">
        <v>18296</v>
      </c>
      <c r="G1083">
        <v>19</v>
      </c>
      <c r="H1083">
        <v>21772</v>
      </c>
      <c r="I1083" t="s">
        <v>24</v>
      </c>
      <c r="J1083" t="s">
        <v>25</v>
      </c>
      <c r="K1083">
        <v>0</v>
      </c>
      <c r="L1083">
        <v>0</v>
      </c>
      <c r="M1083" t="s">
        <v>25</v>
      </c>
      <c r="N1083" t="s">
        <v>25</v>
      </c>
      <c r="O1083" t="s">
        <v>26</v>
      </c>
      <c r="P1083" t="s">
        <v>25</v>
      </c>
      <c r="Q1083" t="s">
        <v>27</v>
      </c>
      <c r="R1083" t="s">
        <v>28</v>
      </c>
    </row>
    <row r="1084" spans="1:18">
      <c r="A1084">
        <v>1088</v>
      </c>
      <c r="B1084" t="s">
        <v>1237</v>
      </c>
      <c r="C1084" t="s">
        <v>102</v>
      </c>
      <c r="D1084" t="s">
        <v>22</v>
      </c>
      <c r="E1084" t="s">
        <v>163</v>
      </c>
      <c r="F1084">
        <v>2863</v>
      </c>
      <c r="G1084">
        <v>19</v>
      </c>
      <c r="H1084">
        <v>3407</v>
      </c>
      <c r="I1084" t="s">
        <v>24</v>
      </c>
      <c r="J1084" t="s">
        <v>25</v>
      </c>
      <c r="K1084">
        <v>0</v>
      </c>
      <c r="L1084">
        <v>0</v>
      </c>
      <c r="M1084" t="s">
        <v>25</v>
      </c>
      <c r="N1084" t="s">
        <v>25</v>
      </c>
      <c r="O1084" t="s">
        <v>26</v>
      </c>
      <c r="P1084" t="s">
        <v>25</v>
      </c>
      <c r="Q1084" t="s">
        <v>27</v>
      </c>
      <c r="R1084" t="s">
        <v>28</v>
      </c>
    </row>
    <row r="1085" spans="1:18">
      <c r="A1085">
        <v>1089</v>
      </c>
      <c r="B1085" t="s">
        <v>1238</v>
      </c>
      <c r="C1085" t="s">
        <v>102</v>
      </c>
      <c r="D1085" t="s">
        <v>22</v>
      </c>
      <c r="E1085" t="s">
        <v>163</v>
      </c>
      <c r="F1085">
        <v>19511</v>
      </c>
      <c r="G1085">
        <v>19</v>
      </c>
      <c r="H1085">
        <v>23218</v>
      </c>
      <c r="I1085" t="s">
        <v>24</v>
      </c>
      <c r="J1085" t="s">
        <v>25</v>
      </c>
      <c r="K1085">
        <v>0</v>
      </c>
      <c r="L1085">
        <v>0</v>
      </c>
      <c r="M1085" t="s">
        <v>25</v>
      </c>
      <c r="N1085" t="s">
        <v>25</v>
      </c>
      <c r="O1085" t="s">
        <v>26</v>
      </c>
      <c r="P1085" t="s">
        <v>25</v>
      </c>
      <c r="Q1085" t="s">
        <v>27</v>
      </c>
      <c r="R1085" t="s">
        <v>28</v>
      </c>
    </row>
    <row r="1086" spans="1:18">
      <c r="A1086">
        <v>1090</v>
      </c>
      <c r="B1086" t="s">
        <v>1239</v>
      </c>
      <c r="C1086" t="s">
        <v>102</v>
      </c>
      <c r="D1086" t="s">
        <v>22</v>
      </c>
      <c r="E1086" t="s">
        <v>163</v>
      </c>
      <c r="F1086">
        <v>3480</v>
      </c>
      <c r="G1086">
        <v>19</v>
      </c>
      <c r="H1086">
        <v>4141</v>
      </c>
      <c r="I1086" t="s">
        <v>24</v>
      </c>
      <c r="J1086" t="s">
        <v>25</v>
      </c>
      <c r="K1086">
        <v>0</v>
      </c>
      <c r="L1086">
        <v>0</v>
      </c>
      <c r="M1086" t="s">
        <v>25</v>
      </c>
      <c r="N1086" t="s">
        <v>25</v>
      </c>
      <c r="O1086" t="s">
        <v>26</v>
      </c>
      <c r="P1086" t="s">
        <v>25</v>
      </c>
      <c r="Q1086" t="s">
        <v>27</v>
      </c>
      <c r="R1086" t="s">
        <v>28</v>
      </c>
    </row>
    <row r="1087" spans="1:18">
      <c r="A1087">
        <v>1091</v>
      </c>
      <c r="B1087" t="s">
        <v>1240</v>
      </c>
      <c r="C1087" t="s">
        <v>102</v>
      </c>
      <c r="D1087" t="s">
        <v>22</v>
      </c>
      <c r="E1087" t="s">
        <v>163</v>
      </c>
      <c r="F1087">
        <v>5306</v>
      </c>
      <c r="G1087">
        <v>19</v>
      </c>
      <c r="H1087">
        <v>6314</v>
      </c>
      <c r="I1087" t="s">
        <v>24</v>
      </c>
      <c r="J1087" t="s">
        <v>25</v>
      </c>
      <c r="K1087">
        <v>0</v>
      </c>
      <c r="L1087">
        <v>0</v>
      </c>
      <c r="M1087" t="s">
        <v>25</v>
      </c>
      <c r="N1087" t="s">
        <v>25</v>
      </c>
      <c r="O1087" t="s">
        <v>26</v>
      </c>
      <c r="P1087" t="s">
        <v>25</v>
      </c>
      <c r="Q1087" t="s">
        <v>27</v>
      </c>
      <c r="R1087" t="s">
        <v>28</v>
      </c>
    </row>
    <row r="1088" spans="1:18">
      <c r="A1088">
        <v>1092</v>
      </c>
      <c r="B1088" t="s">
        <v>1241</v>
      </c>
      <c r="C1088" t="s">
        <v>102</v>
      </c>
      <c r="D1088" t="s">
        <v>22</v>
      </c>
      <c r="E1088" t="s">
        <v>163</v>
      </c>
      <c r="F1088">
        <v>58332</v>
      </c>
      <c r="G1088">
        <v>19</v>
      </c>
      <c r="H1088">
        <v>69415</v>
      </c>
      <c r="I1088" t="s">
        <v>24</v>
      </c>
      <c r="J1088" t="s">
        <v>25</v>
      </c>
      <c r="K1088">
        <v>0</v>
      </c>
      <c r="L1088">
        <v>0</v>
      </c>
      <c r="M1088" t="s">
        <v>25</v>
      </c>
      <c r="N1088" t="s">
        <v>25</v>
      </c>
      <c r="O1088" t="s">
        <v>26</v>
      </c>
      <c r="P1088" t="s">
        <v>25</v>
      </c>
      <c r="Q1088" t="s">
        <v>27</v>
      </c>
      <c r="R1088" t="s">
        <v>28</v>
      </c>
    </row>
    <row r="1089" spans="1:18">
      <c r="A1089">
        <v>1093</v>
      </c>
      <c r="B1089" t="s">
        <v>1242</v>
      </c>
      <c r="C1089" t="s">
        <v>102</v>
      </c>
      <c r="D1089" t="s">
        <v>22</v>
      </c>
      <c r="E1089" t="s">
        <v>163</v>
      </c>
      <c r="F1089">
        <v>2342</v>
      </c>
      <c r="G1089">
        <v>19</v>
      </c>
      <c r="H1089">
        <v>2787</v>
      </c>
      <c r="I1089" t="s">
        <v>24</v>
      </c>
      <c r="J1089" t="s">
        <v>25</v>
      </c>
      <c r="K1089">
        <v>0</v>
      </c>
      <c r="L1089">
        <v>0</v>
      </c>
      <c r="M1089" t="s">
        <v>25</v>
      </c>
      <c r="N1089" t="s">
        <v>25</v>
      </c>
      <c r="O1089" t="s">
        <v>26</v>
      </c>
      <c r="P1089" t="s">
        <v>25</v>
      </c>
      <c r="Q1089" t="s">
        <v>27</v>
      </c>
      <c r="R1089" t="s">
        <v>28</v>
      </c>
    </row>
    <row r="1090" spans="1:18">
      <c r="A1090">
        <v>1094</v>
      </c>
      <c r="B1090" t="s">
        <v>1243</v>
      </c>
      <c r="C1090" t="s">
        <v>102</v>
      </c>
      <c r="D1090" t="s">
        <v>22</v>
      </c>
      <c r="E1090" t="s">
        <v>163</v>
      </c>
      <c r="F1090">
        <v>5744</v>
      </c>
      <c r="G1090">
        <v>19</v>
      </c>
      <c r="H1090">
        <v>6835</v>
      </c>
      <c r="I1090" t="s">
        <v>24</v>
      </c>
      <c r="J1090" t="s">
        <v>25</v>
      </c>
      <c r="K1090">
        <v>0</v>
      </c>
      <c r="L1090">
        <v>0</v>
      </c>
      <c r="M1090" t="s">
        <v>25</v>
      </c>
      <c r="N1090" t="s">
        <v>25</v>
      </c>
      <c r="O1090" t="s">
        <v>26</v>
      </c>
      <c r="P1090" t="s">
        <v>25</v>
      </c>
      <c r="Q1090" t="s">
        <v>27</v>
      </c>
      <c r="R1090" t="s">
        <v>28</v>
      </c>
    </row>
    <row r="1091" spans="1:18">
      <c r="A1091">
        <v>1095</v>
      </c>
      <c r="B1091" t="s">
        <v>1244</v>
      </c>
      <c r="C1091" t="s">
        <v>102</v>
      </c>
      <c r="D1091" t="s">
        <v>22</v>
      </c>
      <c r="E1091" t="s">
        <v>163</v>
      </c>
      <c r="F1091">
        <v>11292</v>
      </c>
      <c r="G1091">
        <v>19</v>
      </c>
      <c r="H1091">
        <v>13437</v>
      </c>
      <c r="I1091" t="s">
        <v>24</v>
      </c>
      <c r="J1091" t="s">
        <v>25</v>
      </c>
      <c r="K1091">
        <v>0</v>
      </c>
      <c r="L1091">
        <v>0</v>
      </c>
      <c r="M1091" t="s">
        <v>25</v>
      </c>
      <c r="N1091" t="s">
        <v>25</v>
      </c>
      <c r="O1091" t="s">
        <v>26</v>
      </c>
      <c r="P1091" t="s">
        <v>25</v>
      </c>
      <c r="Q1091" t="s">
        <v>27</v>
      </c>
      <c r="R1091" t="s">
        <v>28</v>
      </c>
    </row>
    <row r="1092" spans="1:18">
      <c r="A1092">
        <v>1096</v>
      </c>
      <c r="B1092" t="s">
        <v>1245</v>
      </c>
      <c r="C1092" t="s">
        <v>102</v>
      </c>
      <c r="D1092" t="s">
        <v>22</v>
      </c>
      <c r="E1092" t="s">
        <v>163</v>
      </c>
      <c r="F1092">
        <v>5744</v>
      </c>
      <c r="G1092">
        <v>19</v>
      </c>
      <c r="H1092">
        <v>6835</v>
      </c>
      <c r="I1092" t="s">
        <v>24</v>
      </c>
      <c r="J1092" t="s">
        <v>25</v>
      </c>
      <c r="K1092">
        <v>0</v>
      </c>
      <c r="L1092">
        <v>0</v>
      </c>
      <c r="M1092" t="s">
        <v>25</v>
      </c>
      <c r="N1092" t="s">
        <v>25</v>
      </c>
      <c r="O1092" t="s">
        <v>26</v>
      </c>
      <c r="P1092" t="s">
        <v>25</v>
      </c>
      <c r="Q1092" t="s">
        <v>27</v>
      </c>
      <c r="R1092" t="s">
        <v>28</v>
      </c>
    </row>
    <row r="1093" spans="1:18">
      <c r="A1093">
        <v>1097</v>
      </c>
      <c r="B1093" t="s">
        <v>1246</v>
      </c>
      <c r="C1093" t="s">
        <v>102</v>
      </c>
      <c r="D1093" t="s">
        <v>22</v>
      </c>
      <c r="E1093" t="s">
        <v>163</v>
      </c>
      <c r="F1093">
        <v>5459</v>
      </c>
      <c r="G1093">
        <v>19</v>
      </c>
      <c r="H1093">
        <v>6496</v>
      </c>
      <c r="I1093" t="s">
        <v>24</v>
      </c>
      <c r="J1093" t="s">
        <v>25</v>
      </c>
      <c r="K1093">
        <v>0</v>
      </c>
      <c r="L1093">
        <v>0</v>
      </c>
      <c r="M1093" t="s">
        <v>25</v>
      </c>
      <c r="N1093" t="s">
        <v>25</v>
      </c>
      <c r="O1093" t="s">
        <v>26</v>
      </c>
      <c r="P1093" t="s">
        <v>25</v>
      </c>
      <c r="Q1093" t="s">
        <v>27</v>
      </c>
      <c r="R1093" t="s">
        <v>28</v>
      </c>
    </row>
    <row r="1094" spans="1:18">
      <c r="A1094">
        <v>1098</v>
      </c>
      <c r="B1094" t="s">
        <v>1247</v>
      </c>
      <c r="C1094" t="s">
        <v>102</v>
      </c>
      <c r="D1094" t="s">
        <v>22</v>
      </c>
      <c r="E1094" t="s">
        <v>163</v>
      </c>
      <c r="F1094">
        <v>3464</v>
      </c>
      <c r="G1094">
        <v>19</v>
      </c>
      <c r="H1094">
        <v>4122</v>
      </c>
      <c r="I1094" t="s">
        <v>24</v>
      </c>
      <c r="J1094" t="s">
        <v>25</v>
      </c>
      <c r="K1094">
        <v>0</v>
      </c>
      <c r="L1094">
        <v>0</v>
      </c>
      <c r="M1094" t="s">
        <v>25</v>
      </c>
      <c r="N1094" t="s">
        <v>25</v>
      </c>
      <c r="O1094" t="s">
        <v>26</v>
      </c>
      <c r="P1094" t="s">
        <v>25</v>
      </c>
      <c r="Q1094" t="s">
        <v>27</v>
      </c>
      <c r="R1094" t="s">
        <v>28</v>
      </c>
    </row>
    <row r="1095" spans="1:18">
      <c r="A1095">
        <v>1099</v>
      </c>
      <c r="B1095" t="s">
        <v>1248</v>
      </c>
      <c r="C1095" t="s">
        <v>102</v>
      </c>
      <c r="D1095" t="s">
        <v>22</v>
      </c>
      <c r="E1095" t="s">
        <v>163</v>
      </c>
      <c r="F1095">
        <v>933</v>
      </c>
      <c r="G1095">
        <v>19</v>
      </c>
      <c r="H1095">
        <v>1110</v>
      </c>
      <c r="I1095" t="s">
        <v>24</v>
      </c>
      <c r="J1095" t="s">
        <v>25</v>
      </c>
      <c r="K1095">
        <v>0</v>
      </c>
      <c r="L1095">
        <v>0</v>
      </c>
      <c r="M1095" t="s">
        <v>25</v>
      </c>
      <c r="N1095" t="s">
        <v>25</v>
      </c>
      <c r="O1095" t="s">
        <v>26</v>
      </c>
      <c r="P1095" t="s">
        <v>25</v>
      </c>
      <c r="Q1095" t="s">
        <v>27</v>
      </c>
      <c r="R1095" t="s">
        <v>28</v>
      </c>
    </row>
    <row r="1096" spans="1:18">
      <c r="A1096">
        <v>1100</v>
      </c>
      <c r="B1096" t="s">
        <v>1249</v>
      </c>
      <c r="C1096" t="s">
        <v>102</v>
      </c>
      <c r="D1096" t="s">
        <v>22</v>
      </c>
      <c r="E1096" t="s">
        <v>163</v>
      </c>
      <c r="F1096">
        <v>365</v>
      </c>
      <c r="G1096">
        <v>19</v>
      </c>
      <c r="H1096">
        <v>434</v>
      </c>
      <c r="I1096" t="s">
        <v>24</v>
      </c>
      <c r="J1096" t="s">
        <v>25</v>
      </c>
      <c r="K1096">
        <v>0</v>
      </c>
      <c r="L1096">
        <v>0</v>
      </c>
      <c r="M1096" t="s">
        <v>25</v>
      </c>
      <c r="N1096" t="s">
        <v>25</v>
      </c>
      <c r="O1096" t="s">
        <v>26</v>
      </c>
      <c r="P1096" t="s">
        <v>25</v>
      </c>
      <c r="Q1096" t="s">
        <v>27</v>
      </c>
      <c r="R1096" t="s">
        <v>28</v>
      </c>
    </row>
    <row r="1097" spans="1:18">
      <c r="A1097">
        <v>1101</v>
      </c>
      <c r="B1097" t="s">
        <v>1250</v>
      </c>
      <c r="C1097" t="s">
        <v>102</v>
      </c>
      <c r="D1097" t="s">
        <v>22</v>
      </c>
      <c r="E1097" t="s">
        <v>163</v>
      </c>
      <c r="F1097">
        <v>2638</v>
      </c>
      <c r="G1097">
        <v>19</v>
      </c>
      <c r="H1097">
        <v>3139</v>
      </c>
      <c r="I1097" t="s">
        <v>24</v>
      </c>
      <c r="J1097" t="s">
        <v>25</v>
      </c>
      <c r="K1097">
        <v>0</v>
      </c>
      <c r="L1097">
        <v>0</v>
      </c>
      <c r="M1097" t="s">
        <v>25</v>
      </c>
      <c r="N1097" t="s">
        <v>25</v>
      </c>
      <c r="O1097" t="s">
        <v>26</v>
      </c>
      <c r="P1097" t="s">
        <v>25</v>
      </c>
      <c r="Q1097" t="s">
        <v>27</v>
      </c>
      <c r="R1097" t="s">
        <v>28</v>
      </c>
    </row>
    <row r="1098" spans="1:18">
      <c r="A1098">
        <v>1102</v>
      </c>
      <c r="B1098" t="s">
        <v>1251</v>
      </c>
      <c r="C1098" t="s">
        <v>102</v>
      </c>
      <c r="D1098" t="s">
        <v>22</v>
      </c>
      <c r="E1098" t="s">
        <v>163</v>
      </c>
      <c r="F1098">
        <v>1506</v>
      </c>
      <c r="G1098">
        <v>19</v>
      </c>
      <c r="H1098">
        <v>1792</v>
      </c>
      <c r="I1098" t="s">
        <v>24</v>
      </c>
      <c r="J1098" t="s">
        <v>25</v>
      </c>
      <c r="K1098">
        <v>0</v>
      </c>
      <c r="L1098">
        <v>0</v>
      </c>
      <c r="M1098" t="s">
        <v>25</v>
      </c>
      <c r="N1098" t="s">
        <v>25</v>
      </c>
      <c r="O1098" t="s">
        <v>26</v>
      </c>
      <c r="P1098" t="s">
        <v>25</v>
      </c>
      <c r="Q1098" t="s">
        <v>27</v>
      </c>
      <c r="R1098" t="s">
        <v>28</v>
      </c>
    </row>
    <row r="1099" spans="1:18">
      <c r="A1099">
        <v>1103</v>
      </c>
      <c r="B1099" t="s">
        <v>1252</v>
      </c>
      <c r="C1099" t="s">
        <v>102</v>
      </c>
      <c r="D1099" t="s">
        <v>22</v>
      </c>
      <c r="E1099" t="s">
        <v>163</v>
      </c>
      <c r="F1099">
        <v>9163</v>
      </c>
      <c r="G1099">
        <v>19</v>
      </c>
      <c r="H1099">
        <v>10904</v>
      </c>
      <c r="I1099" t="s">
        <v>24</v>
      </c>
      <c r="J1099" t="s">
        <v>25</v>
      </c>
      <c r="K1099">
        <v>0</v>
      </c>
      <c r="L1099">
        <v>0</v>
      </c>
      <c r="M1099" t="s">
        <v>25</v>
      </c>
      <c r="N1099" t="s">
        <v>25</v>
      </c>
      <c r="O1099" t="s">
        <v>26</v>
      </c>
      <c r="P1099" t="s">
        <v>25</v>
      </c>
      <c r="Q1099" t="s">
        <v>27</v>
      </c>
      <c r="R1099" t="s">
        <v>28</v>
      </c>
    </row>
    <row r="1100" spans="1:18">
      <c r="A1100">
        <v>1104</v>
      </c>
      <c r="B1100" t="s">
        <v>1253</v>
      </c>
      <c r="C1100" t="s">
        <v>102</v>
      </c>
      <c r="D1100" t="s">
        <v>22</v>
      </c>
      <c r="E1100" t="s">
        <v>163</v>
      </c>
      <c r="F1100">
        <v>1784</v>
      </c>
      <c r="G1100">
        <v>19</v>
      </c>
      <c r="H1100">
        <v>2123</v>
      </c>
      <c r="I1100" t="s">
        <v>24</v>
      </c>
      <c r="J1100" t="s">
        <v>25</v>
      </c>
      <c r="K1100">
        <v>0</v>
      </c>
      <c r="L1100">
        <v>0</v>
      </c>
      <c r="M1100" t="s">
        <v>25</v>
      </c>
      <c r="N1100" t="s">
        <v>25</v>
      </c>
      <c r="O1100" t="s">
        <v>26</v>
      </c>
      <c r="P1100" t="s">
        <v>25</v>
      </c>
      <c r="Q1100" t="s">
        <v>27</v>
      </c>
      <c r="R1100" t="s">
        <v>28</v>
      </c>
    </row>
    <row r="1101" spans="1:18">
      <c r="A1101">
        <v>1105</v>
      </c>
      <c r="B1101" t="s">
        <v>1254</v>
      </c>
      <c r="C1101" t="s">
        <v>102</v>
      </c>
      <c r="D1101" t="s">
        <v>22</v>
      </c>
      <c r="E1101" t="s">
        <v>163</v>
      </c>
      <c r="F1101">
        <v>1493</v>
      </c>
      <c r="G1101">
        <v>19</v>
      </c>
      <c r="H1101">
        <v>1777</v>
      </c>
      <c r="I1101" t="s">
        <v>24</v>
      </c>
      <c r="J1101" t="s">
        <v>25</v>
      </c>
      <c r="K1101">
        <v>0</v>
      </c>
      <c r="L1101">
        <v>0</v>
      </c>
      <c r="M1101" t="s">
        <v>25</v>
      </c>
      <c r="N1101" t="s">
        <v>25</v>
      </c>
      <c r="O1101" t="s">
        <v>26</v>
      </c>
      <c r="P1101" t="s">
        <v>25</v>
      </c>
      <c r="Q1101" t="s">
        <v>27</v>
      </c>
      <c r="R1101" t="s">
        <v>28</v>
      </c>
    </row>
    <row r="1102" spans="1:18">
      <c r="A1102">
        <v>1106</v>
      </c>
      <c r="B1102" t="s">
        <v>1255</v>
      </c>
      <c r="C1102" t="s">
        <v>102</v>
      </c>
      <c r="D1102" t="s">
        <v>22</v>
      </c>
      <c r="E1102" t="s">
        <v>163</v>
      </c>
      <c r="F1102">
        <v>1390</v>
      </c>
      <c r="G1102">
        <v>19</v>
      </c>
      <c r="H1102">
        <v>1654</v>
      </c>
      <c r="I1102" t="s">
        <v>24</v>
      </c>
      <c r="J1102" t="s">
        <v>25</v>
      </c>
      <c r="K1102">
        <v>0</v>
      </c>
      <c r="L1102">
        <v>0</v>
      </c>
      <c r="M1102" t="s">
        <v>25</v>
      </c>
      <c r="N1102" t="s">
        <v>25</v>
      </c>
      <c r="O1102" t="s">
        <v>26</v>
      </c>
      <c r="P1102" t="s">
        <v>25</v>
      </c>
      <c r="Q1102" t="s">
        <v>27</v>
      </c>
      <c r="R1102" t="s">
        <v>28</v>
      </c>
    </row>
    <row r="1103" spans="1:18">
      <c r="A1103">
        <v>1107</v>
      </c>
      <c r="B1103" t="s">
        <v>1256</v>
      </c>
      <c r="C1103" t="s">
        <v>102</v>
      </c>
      <c r="D1103" t="s">
        <v>22</v>
      </c>
      <c r="E1103" t="s">
        <v>163</v>
      </c>
      <c r="F1103">
        <v>1427</v>
      </c>
      <c r="G1103">
        <v>19</v>
      </c>
      <c r="H1103">
        <v>1698</v>
      </c>
      <c r="I1103" t="s">
        <v>24</v>
      </c>
      <c r="J1103" t="s">
        <v>25</v>
      </c>
      <c r="K1103">
        <v>0</v>
      </c>
      <c r="L1103">
        <v>0</v>
      </c>
      <c r="M1103" t="s">
        <v>25</v>
      </c>
      <c r="N1103" t="s">
        <v>25</v>
      </c>
      <c r="O1103" t="s">
        <v>26</v>
      </c>
      <c r="P1103" t="s">
        <v>25</v>
      </c>
      <c r="Q1103" t="s">
        <v>27</v>
      </c>
      <c r="R1103" t="s">
        <v>28</v>
      </c>
    </row>
    <row r="1104" spans="1:18">
      <c r="A1104">
        <v>1108</v>
      </c>
      <c r="B1104" t="s">
        <v>1257</v>
      </c>
      <c r="C1104" t="s">
        <v>102</v>
      </c>
      <c r="D1104" t="s">
        <v>22</v>
      </c>
      <c r="E1104" t="s">
        <v>163</v>
      </c>
      <c r="F1104">
        <v>1427</v>
      </c>
      <c r="G1104">
        <v>19</v>
      </c>
      <c r="H1104">
        <v>1698</v>
      </c>
      <c r="I1104" t="s">
        <v>24</v>
      </c>
      <c r="J1104" t="s">
        <v>25</v>
      </c>
      <c r="K1104">
        <v>0</v>
      </c>
      <c r="L1104">
        <v>0</v>
      </c>
      <c r="M1104" t="s">
        <v>25</v>
      </c>
      <c r="N1104" t="s">
        <v>25</v>
      </c>
      <c r="O1104" t="s">
        <v>26</v>
      </c>
      <c r="P1104" t="s">
        <v>25</v>
      </c>
      <c r="Q1104" t="s">
        <v>27</v>
      </c>
      <c r="R1104" t="s">
        <v>28</v>
      </c>
    </row>
    <row r="1105" spans="1:18">
      <c r="A1105">
        <v>1109</v>
      </c>
      <c r="B1105" t="s">
        <v>1258</v>
      </c>
      <c r="C1105" t="s">
        <v>102</v>
      </c>
      <c r="D1105" t="s">
        <v>22</v>
      </c>
      <c r="E1105" t="s">
        <v>163</v>
      </c>
      <c r="F1105">
        <v>1829</v>
      </c>
      <c r="G1105">
        <v>19</v>
      </c>
      <c r="H1105">
        <v>2177</v>
      </c>
      <c r="I1105" t="s">
        <v>24</v>
      </c>
      <c r="J1105" t="s">
        <v>25</v>
      </c>
      <c r="K1105">
        <v>0</v>
      </c>
      <c r="L1105">
        <v>0</v>
      </c>
      <c r="M1105" t="s">
        <v>25</v>
      </c>
      <c r="N1105" t="s">
        <v>25</v>
      </c>
      <c r="O1105" t="s">
        <v>26</v>
      </c>
      <c r="P1105" t="s">
        <v>25</v>
      </c>
      <c r="Q1105" t="s">
        <v>27</v>
      </c>
      <c r="R1105" t="s">
        <v>28</v>
      </c>
    </row>
    <row r="1106" spans="1:18">
      <c r="A1106">
        <v>1110</v>
      </c>
      <c r="B1106" t="s">
        <v>1259</v>
      </c>
      <c r="C1106" t="s">
        <v>102</v>
      </c>
      <c r="D1106" t="s">
        <v>22</v>
      </c>
      <c r="E1106" t="s">
        <v>163</v>
      </c>
      <c r="F1106">
        <v>1829</v>
      </c>
      <c r="G1106">
        <v>19</v>
      </c>
      <c r="H1106">
        <v>2177</v>
      </c>
      <c r="I1106" t="s">
        <v>24</v>
      </c>
      <c r="J1106" t="s">
        <v>25</v>
      </c>
      <c r="K1106">
        <v>0</v>
      </c>
      <c r="L1106">
        <v>0</v>
      </c>
      <c r="M1106" t="s">
        <v>25</v>
      </c>
      <c r="N1106" t="s">
        <v>25</v>
      </c>
      <c r="O1106" t="s">
        <v>26</v>
      </c>
      <c r="P1106" t="s">
        <v>25</v>
      </c>
      <c r="Q1106" t="s">
        <v>27</v>
      </c>
      <c r="R1106" t="s">
        <v>28</v>
      </c>
    </row>
    <row r="1107" spans="1:18">
      <c r="A1107">
        <v>1111</v>
      </c>
      <c r="B1107" t="s">
        <v>1260</v>
      </c>
      <c r="C1107" t="s">
        <v>102</v>
      </c>
      <c r="D1107" t="s">
        <v>22</v>
      </c>
      <c r="E1107" t="s">
        <v>163</v>
      </c>
      <c r="F1107">
        <v>1829</v>
      </c>
      <c r="G1107">
        <v>19</v>
      </c>
      <c r="H1107">
        <v>2177</v>
      </c>
      <c r="I1107" t="s">
        <v>24</v>
      </c>
      <c r="J1107" t="s">
        <v>25</v>
      </c>
      <c r="K1107">
        <v>0</v>
      </c>
      <c r="L1107">
        <v>0</v>
      </c>
      <c r="M1107" t="s">
        <v>25</v>
      </c>
      <c r="N1107" t="s">
        <v>25</v>
      </c>
      <c r="O1107" t="s">
        <v>26</v>
      </c>
      <c r="P1107" t="s">
        <v>25</v>
      </c>
      <c r="Q1107" t="s">
        <v>27</v>
      </c>
      <c r="R1107" t="s">
        <v>28</v>
      </c>
    </row>
    <row r="1108" spans="1:18">
      <c r="A1108">
        <v>1112</v>
      </c>
      <c r="B1108" t="s">
        <v>1261</v>
      </c>
      <c r="C1108" t="s">
        <v>102</v>
      </c>
      <c r="D1108" t="s">
        <v>22</v>
      </c>
      <c r="E1108" t="s">
        <v>163</v>
      </c>
      <c r="F1108">
        <v>1829</v>
      </c>
      <c r="G1108">
        <v>19</v>
      </c>
      <c r="H1108">
        <v>2177</v>
      </c>
      <c r="I1108" t="s">
        <v>24</v>
      </c>
      <c r="J1108" t="s">
        <v>25</v>
      </c>
      <c r="K1108">
        <v>0</v>
      </c>
      <c r="L1108">
        <v>0</v>
      </c>
      <c r="M1108" t="s">
        <v>25</v>
      </c>
      <c r="N1108" t="s">
        <v>25</v>
      </c>
      <c r="O1108" t="s">
        <v>26</v>
      </c>
      <c r="P1108" t="s">
        <v>25</v>
      </c>
      <c r="Q1108" t="s">
        <v>27</v>
      </c>
      <c r="R1108" t="s">
        <v>28</v>
      </c>
    </row>
    <row r="1109" spans="1:18">
      <c r="A1109">
        <v>1113</v>
      </c>
      <c r="B1109" t="s">
        <v>1262</v>
      </c>
      <c r="C1109" t="s">
        <v>102</v>
      </c>
      <c r="D1109" t="s">
        <v>22</v>
      </c>
      <c r="E1109" t="s">
        <v>163</v>
      </c>
      <c r="F1109">
        <v>1829</v>
      </c>
      <c r="G1109">
        <v>19</v>
      </c>
      <c r="H1109">
        <v>2177</v>
      </c>
      <c r="I1109" t="s">
        <v>24</v>
      </c>
      <c r="J1109" t="s">
        <v>25</v>
      </c>
      <c r="K1109">
        <v>0</v>
      </c>
      <c r="L1109">
        <v>0</v>
      </c>
      <c r="M1109" t="s">
        <v>25</v>
      </c>
      <c r="N1109" t="s">
        <v>25</v>
      </c>
      <c r="O1109" t="s">
        <v>26</v>
      </c>
      <c r="P1109" t="s">
        <v>25</v>
      </c>
      <c r="Q1109" t="s">
        <v>27</v>
      </c>
      <c r="R1109" t="s">
        <v>28</v>
      </c>
    </row>
    <row r="1110" spans="1:18">
      <c r="A1110">
        <v>1114</v>
      </c>
      <c r="B1110" t="s">
        <v>1263</v>
      </c>
      <c r="C1110" t="s">
        <v>102</v>
      </c>
      <c r="D1110" t="s">
        <v>22</v>
      </c>
      <c r="E1110" t="s">
        <v>163</v>
      </c>
      <c r="F1110">
        <v>2243</v>
      </c>
      <c r="G1110">
        <v>19</v>
      </c>
      <c r="H1110">
        <v>2669</v>
      </c>
      <c r="I1110" t="s">
        <v>24</v>
      </c>
      <c r="J1110" t="s">
        <v>25</v>
      </c>
      <c r="K1110">
        <v>0</v>
      </c>
      <c r="L1110">
        <v>0</v>
      </c>
      <c r="M1110" t="s">
        <v>25</v>
      </c>
      <c r="N1110" t="s">
        <v>25</v>
      </c>
      <c r="O1110" t="s">
        <v>26</v>
      </c>
      <c r="P1110" t="s">
        <v>25</v>
      </c>
      <c r="Q1110" t="s">
        <v>27</v>
      </c>
      <c r="R1110" t="s">
        <v>28</v>
      </c>
    </row>
    <row r="1111" spans="1:18">
      <c r="A1111">
        <v>1115</v>
      </c>
      <c r="B1111" t="s">
        <v>1264</v>
      </c>
      <c r="C1111" t="s">
        <v>102</v>
      </c>
      <c r="D1111" t="s">
        <v>22</v>
      </c>
      <c r="E1111" t="s">
        <v>163</v>
      </c>
      <c r="F1111">
        <v>2243</v>
      </c>
      <c r="G1111">
        <v>19</v>
      </c>
      <c r="H1111">
        <v>2669</v>
      </c>
      <c r="I1111" t="s">
        <v>24</v>
      </c>
      <c r="J1111" t="s">
        <v>25</v>
      </c>
      <c r="K1111">
        <v>0</v>
      </c>
      <c r="L1111">
        <v>0</v>
      </c>
      <c r="M1111" t="s">
        <v>25</v>
      </c>
      <c r="N1111" t="s">
        <v>25</v>
      </c>
      <c r="O1111" t="s">
        <v>26</v>
      </c>
      <c r="P1111" t="s">
        <v>25</v>
      </c>
      <c r="Q1111" t="s">
        <v>27</v>
      </c>
      <c r="R1111" t="s">
        <v>28</v>
      </c>
    </row>
    <row r="1112" spans="1:18">
      <c r="A1112">
        <v>1116</v>
      </c>
      <c r="B1112" t="s">
        <v>1265</v>
      </c>
      <c r="C1112" t="s">
        <v>102</v>
      </c>
      <c r="D1112" t="s">
        <v>22</v>
      </c>
      <c r="E1112" t="s">
        <v>163</v>
      </c>
      <c r="F1112">
        <v>2069</v>
      </c>
      <c r="G1112">
        <v>19</v>
      </c>
      <c r="H1112">
        <v>2462</v>
      </c>
      <c r="I1112" t="s">
        <v>24</v>
      </c>
      <c r="J1112" t="s">
        <v>25</v>
      </c>
      <c r="K1112">
        <v>0</v>
      </c>
      <c r="L1112">
        <v>0</v>
      </c>
      <c r="M1112" t="s">
        <v>25</v>
      </c>
      <c r="N1112" t="s">
        <v>25</v>
      </c>
      <c r="O1112" t="s">
        <v>26</v>
      </c>
      <c r="P1112" t="s">
        <v>25</v>
      </c>
      <c r="Q1112" t="s">
        <v>27</v>
      </c>
      <c r="R1112" t="s">
        <v>28</v>
      </c>
    </row>
    <row r="1113" spans="1:18">
      <c r="A1113">
        <v>1117</v>
      </c>
      <c r="B1113" t="s">
        <v>1266</v>
      </c>
      <c r="C1113" t="s">
        <v>102</v>
      </c>
      <c r="D1113" t="s">
        <v>22</v>
      </c>
      <c r="E1113" t="s">
        <v>163</v>
      </c>
      <c r="F1113">
        <v>2069</v>
      </c>
      <c r="G1113">
        <v>19</v>
      </c>
      <c r="H1113">
        <v>2462</v>
      </c>
      <c r="I1113" t="s">
        <v>24</v>
      </c>
      <c r="J1113" t="s">
        <v>25</v>
      </c>
      <c r="K1113">
        <v>0</v>
      </c>
      <c r="L1113">
        <v>0</v>
      </c>
      <c r="M1113" t="s">
        <v>25</v>
      </c>
      <c r="N1113" t="s">
        <v>25</v>
      </c>
      <c r="O1113" t="s">
        <v>26</v>
      </c>
      <c r="P1113" t="s">
        <v>25</v>
      </c>
      <c r="Q1113" t="s">
        <v>27</v>
      </c>
      <c r="R1113" t="s">
        <v>28</v>
      </c>
    </row>
    <row r="1114" spans="1:18">
      <c r="A1114">
        <v>1118</v>
      </c>
      <c r="B1114" t="s">
        <v>1267</v>
      </c>
      <c r="C1114" t="s">
        <v>102</v>
      </c>
      <c r="D1114" t="s">
        <v>22</v>
      </c>
      <c r="E1114" t="s">
        <v>163</v>
      </c>
      <c r="F1114">
        <v>2069</v>
      </c>
      <c r="G1114">
        <v>19</v>
      </c>
      <c r="H1114">
        <v>2462</v>
      </c>
      <c r="I1114" t="s">
        <v>24</v>
      </c>
      <c r="J1114" t="s">
        <v>25</v>
      </c>
      <c r="K1114">
        <v>0</v>
      </c>
      <c r="L1114">
        <v>0</v>
      </c>
      <c r="M1114" t="s">
        <v>25</v>
      </c>
      <c r="N1114" t="s">
        <v>25</v>
      </c>
      <c r="O1114" t="s">
        <v>26</v>
      </c>
      <c r="P1114" t="s">
        <v>25</v>
      </c>
      <c r="Q1114" t="s">
        <v>27</v>
      </c>
      <c r="R1114" t="s">
        <v>28</v>
      </c>
    </row>
    <row r="1115" spans="1:18">
      <c r="A1115">
        <v>1119</v>
      </c>
      <c r="B1115" t="s">
        <v>1268</v>
      </c>
      <c r="C1115" t="s">
        <v>102</v>
      </c>
      <c r="D1115" t="s">
        <v>22</v>
      </c>
      <c r="E1115" t="s">
        <v>163</v>
      </c>
      <c r="F1115">
        <v>2736</v>
      </c>
      <c r="G1115">
        <v>19</v>
      </c>
      <c r="H1115">
        <v>3256</v>
      </c>
      <c r="I1115" t="s">
        <v>24</v>
      </c>
      <c r="J1115" t="s">
        <v>25</v>
      </c>
      <c r="K1115">
        <v>0</v>
      </c>
      <c r="L1115">
        <v>0</v>
      </c>
      <c r="M1115" t="s">
        <v>25</v>
      </c>
      <c r="N1115" t="s">
        <v>25</v>
      </c>
      <c r="O1115" t="s">
        <v>26</v>
      </c>
      <c r="P1115" t="s">
        <v>25</v>
      </c>
      <c r="Q1115" t="s">
        <v>27</v>
      </c>
      <c r="R1115" t="s">
        <v>28</v>
      </c>
    </row>
    <row r="1116" spans="1:18">
      <c r="A1116">
        <v>1120</v>
      </c>
      <c r="B1116" t="s">
        <v>1269</v>
      </c>
      <c r="C1116" t="s">
        <v>102</v>
      </c>
      <c r="D1116" t="s">
        <v>22</v>
      </c>
      <c r="E1116" t="s">
        <v>163</v>
      </c>
      <c r="F1116">
        <v>2736</v>
      </c>
      <c r="G1116">
        <v>19</v>
      </c>
      <c r="H1116">
        <v>3256</v>
      </c>
      <c r="I1116" t="s">
        <v>24</v>
      </c>
      <c r="J1116" t="s">
        <v>25</v>
      </c>
      <c r="K1116">
        <v>0</v>
      </c>
      <c r="L1116">
        <v>0</v>
      </c>
      <c r="M1116" t="s">
        <v>25</v>
      </c>
      <c r="N1116" t="s">
        <v>25</v>
      </c>
      <c r="O1116" t="s">
        <v>26</v>
      </c>
      <c r="P1116" t="s">
        <v>25</v>
      </c>
      <c r="Q1116" t="s">
        <v>27</v>
      </c>
      <c r="R1116" t="s">
        <v>28</v>
      </c>
    </row>
    <row r="1117" spans="1:18">
      <c r="A1117">
        <v>1121</v>
      </c>
      <c r="B1117" t="s">
        <v>1270</v>
      </c>
      <c r="C1117" t="s">
        <v>102</v>
      </c>
      <c r="D1117" t="s">
        <v>22</v>
      </c>
      <c r="E1117" t="s">
        <v>163</v>
      </c>
      <c r="F1117">
        <v>2736</v>
      </c>
      <c r="G1117">
        <v>19</v>
      </c>
      <c r="H1117">
        <v>3256</v>
      </c>
      <c r="I1117" t="s">
        <v>24</v>
      </c>
      <c r="J1117" t="s">
        <v>25</v>
      </c>
      <c r="K1117">
        <v>0</v>
      </c>
      <c r="L1117">
        <v>0</v>
      </c>
      <c r="M1117" t="s">
        <v>25</v>
      </c>
      <c r="N1117" t="s">
        <v>25</v>
      </c>
      <c r="O1117" t="s">
        <v>26</v>
      </c>
      <c r="P1117" t="s">
        <v>25</v>
      </c>
      <c r="Q1117" t="s">
        <v>27</v>
      </c>
      <c r="R1117" t="s">
        <v>28</v>
      </c>
    </row>
    <row r="1118" spans="1:18">
      <c r="A1118">
        <v>1122</v>
      </c>
      <c r="B1118" t="s">
        <v>1271</v>
      </c>
      <c r="C1118" t="s">
        <v>102</v>
      </c>
      <c r="D1118" t="s">
        <v>22</v>
      </c>
      <c r="E1118" t="s">
        <v>163</v>
      </c>
      <c r="F1118">
        <v>2736</v>
      </c>
      <c r="G1118">
        <v>19</v>
      </c>
      <c r="H1118">
        <v>3256</v>
      </c>
      <c r="I1118" t="s">
        <v>24</v>
      </c>
      <c r="J1118" t="s">
        <v>25</v>
      </c>
      <c r="K1118">
        <v>0</v>
      </c>
      <c r="L1118">
        <v>0</v>
      </c>
      <c r="M1118" t="s">
        <v>25</v>
      </c>
      <c r="N1118" t="s">
        <v>25</v>
      </c>
      <c r="O1118" t="s">
        <v>26</v>
      </c>
      <c r="P1118" t="s">
        <v>25</v>
      </c>
      <c r="Q1118" t="s">
        <v>27</v>
      </c>
      <c r="R1118" t="s">
        <v>28</v>
      </c>
    </row>
    <row r="1119" spans="1:18">
      <c r="A1119">
        <v>1123</v>
      </c>
      <c r="B1119" t="s">
        <v>1272</v>
      </c>
      <c r="C1119" t="s">
        <v>102</v>
      </c>
      <c r="D1119" t="s">
        <v>22</v>
      </c>
      <c r="E1119" t="s">
        <v>163</v>
      </c>
      <c r="F1119">
        <v>19556</v>
      </c>
      <c r="G1119">
        <v>19</v>
      </c>
      <c r="H1119">
        <v>23272</v>
      </c>
      <c r="I1119" t="s">
        <v>24</v>
      </c>
      <c r="J1119" t="s">
        <v>25</v>
      </c>
      <c r="K1119">
        <v>0</v>
      </c>
      <c r="L1119">
        <v>0</v>
      </c>
      <c r="M1119" t="s">
        <v>25</v>
      </c>
      <c r="N1119" t="s">
        <v>25</v>
      </c>
      <c r="O1119" t="s">
        <v>26</v>
      </c>
      <c r="P1119" t="s">
        <v>25</v>
      </c>
      <c r="Q1119" t="s">
        <v>27</v>
      </c>
      <c r="R1119" t="s">
        <v>28</v>
      </c>
    </row>
    <row r="1120" spans="1:18">
      <c r="A1120">
        <v>1124</v>
      </c>
      <c r="B1120" t="s">
        <v>1273</v>
      </c>
      <c r="C1120" t="s">
        <v>102</v>
      </c>
      <c r="D1120" t="s">
        <v>22</v>
      </c>
      <c r="E1120" t="s">
        <v>163</v>
      </c>
      <c r="F1120">
        <v>1122</v>
      </c>
      <c r="G1120">
        <v>19</v>
      </c>
      <c r="H1120">
        <v>1335</v>
      </c>
      <c r="I1120" t="s">
        <v>24</v>
      </c>
      <c r="J1120" t="s">
        <v>25</v>
      </c>
      <c r="K1120">
        <v>0</v>
      </c>
      <c r="L1120">
        <v>0</v>
      </c>
      <c r="M1120" t="s">
        <v>25</v>
      </c>
      <c r="N1120" t="s">
        <v>25</v>
      </c>
      <c r="O1120" t="s">
        <v>26</v>
      </c>
      <c r="P1120" t="s">
        <v>25</v>
      </c>
      <c r="Q1120" t="s">
        <v>27</v>
      </c>
      <c r="R1120" t="s">
        <v>28</v>
      </c>
    </row>
    <row r="1121" spans="1:18">
      <c r="A1121">
        <v>1125</v>
      </c>
      <c r="B1121" t="s">
        <v>1274</v>
      </c>
      <c r="C1121" t="s">
        <v>102</v>
      </c>
      <c r="D1121" t="s">
        <v>22</v>
      </c>
      <c r="E1121" t="s">
        <v>163</v>
      </c>
      <c r="F1121">
        <v>1122</v>
      </c>
      <c r="G1121">
        <v>19</v>
      </c>
      <c r="H1121">
        <v>1335</v>
      </c>
      <c r="I1121" t="s">
        <v>24</v>
      </c>
      <c r="J1121" t="s">
        <v>25</v>
      </c>
      <c r="K1121">
        <v>0</v>
      </c>
      <c r="L1121">
        <v>0</v>
      </c>
      <c r="M1121" t="s">
        <v>25</v>
      </c>
      <c r="N1121" t="s">
        <v>25</v>
      </c>
      <c r="O1121" t="s">
        <v>26</v>
      </c>
      <c r="P1121" t="s">
        <v>25</v>
      </c>
      <c r="Q1121" t="s">
        <v>27</v>
      </c>
      <c r="R1121" t="s">
        <v>28</v>
      </c>
    </row>
    <row r="1122" spans="1:18">
      <c r="A1122">
        <v>1126</v>
      </c>
      <c r="B1122" t="s">
        <v>1275</v>
      </c>
      <c r="C1122" t="s">
        <v>102</v>
      </c>
      <c r="D1122" t="s">
        <v>22</v>
      </c>
      <c r="E1122" t="s">
        <v>163</v>
      </c>
      <c r="F1122">
        <v>1122</v>
      </c>
      <c r="G1122">
        <v>19</v>
      </c>
      <c r="H1122">
        <v>1335</v>
      </c>
      <c r="I1122" t="s">
        <v>24</v>
      </c>
      <c r="J1122" t="s">
        <v>25</v>
      </c>
      <c r="K1122">
        <v>0</v>
      </c>
      <c r="L1122">
        <v>0</v>
      </c>
      <c r="M1122" t="s">
        <v>25</v>
      </c>
      <c r="N1122" t="s">
        <v>25</v>
      </c>
      <c r="O1122" t="s">
        <v>26</v>
      </c>
      <c r="P1122" t="s">
        <v>25</v>
      </c>
      <c r="Q1122" t="s">
        <v>27</v>
      </c>
      <c r="R1122" t="s">
        <v>28</v>
      </c>
    </row>
    <row r="1123" spans="1:18">
      <c r="A1123">
        <v>1127</v>
      </c>
      <c r="B1123" t="s">
        <v>1276</v>
      </c>
      <c r="C1123" t="s">
        <v>102</v>
      </c>
      <c r="D1123" t="s">
        <v>22</v>
      </c>
      <c r="E1123" t="s">
        <v>163</v>
      </c>
      <c r="F1123">
        <v>1122</v>
      </c>
      <c r="G1123">
        <v>19</v>
      </c>
      <c r="H1123">
        <v>1335</v>
      </c>
      <c r="I1123" t="s">
        <v>24</v>
      </c>
      <c r="J1123" t="s">
        <v>25</v>
      </c>
      <c r="K1123">
        <v>0</v>
      </c>
      <c r="L1123">
        <v>0</v>
      </c>
      <c r="M1123" t="s">
        <v>25</v>
      </c>
      <c r="N1123" t="s">
        <v>25</v>
      </c>
      <c r="O1123" t="s">
        <v>26</v>
      </c>
      <c r="P1123" t="s">
        <v>25</v>
      </c>
      <c r="Q1123" t="s">
        <v>27</v>
      </c>
      <c r="R1123" t="s">
        <v>28</v>
      </c>
    </row>
    <row r="1124" spans="1:18">
      <c r="A1124">
        <v>1128</v>
      </c>
      <c r="B1124" t="s">
        <v>1277</v>
      </c>
      <c r="C1124" t="s">
        <v>102</v>
      </c>
      <c r="D1124" t="s">
        <v>22</v>
      </c>
      <c r="E1124" t="s">
        <v>163</v>
      </c>
      <c r="F1124">
        <v>1233</v>
      </c>
      <c r="G1124">
        <v>19</v>
      </c>
      <c r="H1124">
        <v>1467</v>
      </c>
      <c r="I1124" t="s">
        <v>24</v>
      </c>
      <c r="J1124" t="s">
        <v>25</v>
      </c>
      <c r="K1124">
        <v>0</v>
      </c>
      <c r="L1124">
        <v>0</v>
      </c>
      <c r="M1124" t="s">
        <v>25</v>
      </c>
      <c r="N1124" t="s">
        <v>25</v>
      </c>
      <c r="O1124" t="s">
        <v>26</v>
      </c>
      <c r="P1124" t="s">
        <v>25</v>
      </c>
      <c r="Q1124" t="s">
        <v>27</v>
      </c>
      <c r="R1124" t="s">
        <v>28</v>
      </c>
    </row>
    <row r="1125" spans="1:18">
      <c r="A1125">
        <v>1129</v>
      </c>
      <c r="B1125" t="s">
        <v>1278</v>
      </c>
      <c r="C1125" t="s">
        <v>102</v>
      </c>
      <c r="D1125" t="s">
        <v>22</v>
      </c>
      <c r="E1125" t="s">
        <v>163</v>
      </c>
      <c r="F1125">
        <v>1233</v>
      </c>
      <c r="G1125">
        <v>19</v>
      </c>
      <c r="H1125">
        <v>1467</v>
      </c>
      <c r="I1125" t="s">
        <v>24</v>
      </c>
      <c r="J1125" t="s">
        <v>25</v>
      </c>
      <c r="K1125">
        <v>0</v>
      </c>
      <c r="L1125">
        <v>0</v>
      </c>
      <c r="M1125" t="s">
        <v>25</v>
      </c>
      <c r="N1125" t="s">
        <v>25</v>
      </c>
      <c r="O1125" t="s">
        <v>26</v>
      </c>
      <c r="P1125" t="s">
        <v>25</v>
      </c>
      <c r="Q1125" t="s">
        <v>27</v>
      </c>
      <c r="R1125" t="s">
        <v>28</v>
      </c>
    </row>
    <row r="1126" spans="1:18">
      <c r="A1126">
        <v>1130</v>
      </c>
      <c r="B1126" t="s">
        <v>1279</v>
      </c>
      <c r="C1126" t="s">
        <v>102</v>
      </c>
      <c r="D1126" t="s">
        <v>22</v>
      </c>
      <c r="E1126" t="s">
        <v>163</v>
      </c>
      <c r="F1126">
        <v>951</v>
      </c>
      <c r="G1126">
        <v>19</v>
      </c>
      <c r="H1126">
        <v>1132</v>
      </c>
      <c r="I1126" t="s">
        <v>24</v>
      </c>
      <c r="J1126" t="s">
        <v>25</v>
      </c>
      <c r="K1126">
        <v>0</v>
      </c>
      <c r="L1126">
        <v>0</v>
      </c>
      <c r="M1126" t="s">
        <v>25</v>
      </c>
      <c r="N1126" t="s">
        <v>25</v>
      </c>
      <c r="O1126" t="s">
        <v>26</v>
      </c>
      <c r="P1126" t="s">
        <v>25</v>
      </c>
      <c r="Q1126" t="s">
        <v>27</v>
      </c>
      <c r="R1126" t="s">
        <v>28</v>
      </c>
    </row>
    <row r="1127" spans="1:18">
      <c r="A1127">
        <v>1131</v>
      </c>
      <c r="B1127" t="s">
        <v>1280</v>
      </c>
      <c r="C1127" t="s">
        <v>102</v>
      </c>
      <c r="D1127" t="s">
        <v>22</v>
      </c>
      <c r="E1127" t="s">
        <v>163</v>
      </c>
      <c r="F1127">
        <v>951</v>
      </c>
      <c r="G1127">
        <v>19</v>
      </c>
      <c r="H1127">
        <v>1132</v>
      </c>
      <c r="I1127" t="s">
        <v>24</v>
      </c>
      <c r="J1127" t="s">
        <v>25</v>
      </c>
      <c r="K1127">
        <v>0</v>
      </c>
      <c r="L1127">
        <v>0</v>
      </c>
      <c r="M1127" t="s">
        <v>25</v>
      </c>
      <c r="N1127" t="s">
        <v>25</v>
      </c>
      <c r="O1127" t="s">
        <v>26</v>
      </c>
      <c r="P1127" t="s">
        <v>25</v>
      </c>
      <c r="Q1127" t="s">
        <v>27</v>
      </c>
      <c r="R1127" t="s">
        <v>28</v>
      </c>
    </row>
    <row r="1128" spans="1:18">
      <c r="A1128">
        <v>1132</v>
      </c>
      <c r="B1128" t="s">
        <v>1281</v>
      </c>
      <c r="C1128" t="s">
        <v>102</v>
      </c>
      <c r="D1128" t="s">
        <v>22</v>
      </c>
      <c r="E1128" t="s">
        <v>163</v>
      </c>
      <c r="F1128">
        <v>6076</v>
      </c>
      <c r="G1128">
        <v>19</v>
      </c>
      <c r="H1128">
        <v>7230</v>
      </c>
      <c r="I1128" t="s">
        <v>24</v>
      </c>
      <c r="J1128" t="s">
        <v>25</v>
      </c>
      <c r="K1128">
        <v>0</v>
      </c>
      <c r="L1128">
        <v>0</v>
      </c>
      <c r="M1128" t="s">
        <v>25</v>
      </c>
      <c r="N1128" t="s">
        <v>25</v>
      </c>
      <c r="O1128" t="s">
        <v>26</v>
      </c>
      <c r="P1128" t="s">
        <v>25</v>
      </c>
      <c r="Q1128" t="s">
        <v>27</v>
      </c>
      <c r="R1128" t="s">
        <v>28</v>
      </c>
    </row>
    <row r="1129" spans="1:18">
      <c r="A1129">
        <v>1133</v>
      </c>
      <c r="B1129" t="s">
        <v>1282</v>
      </c>
      <c r="C1129" t="s">
        <v>102</v>
      </c>
      <c r="D1129" t="s">
        <v>22</v>
      </c>
      <c r="E1129" t="s">
        <v>163</v>
      </c>
      <c r="F1129">
        <v>3011</v>
      </c>
      <c r="G1129">
        <v>19</v>
      </c>
      <c r="H1129">
        <v>3583</v>
      </c>
      <c r="I1129" t="s">
        <v>24</v>
      </c>
      <c r="J1129" t="s">
        <v>25</v>
      </c>
      <c r="K1129">
        <v>0</v>
      </c>
      <c r="L1129">
        <v>0</v>
      </c>
      <c r="M1129" t="s">
        <v>25</v>
      </c>
      <c r="N1129" t="s">
        <v>25</v>
      </c>
      <c r="O1129" t="s">
        <v>26</v>
      </c>
      <c r="P1129" t="s">
        <v>25</v>
      </c>
      <c r="Q1129" t="s">
        <v>27</v>
      </c>
      <c r="R1129" t="s">
        <v>28</v>
      </c>
    </row>
    <row r="1130" spans="1:18">
      <c r="A1130">
        <v>1134</v>
      </c>
      <c r="B1130" t="s">
        <v>1283</v>
      </c>
      <c r="C1130" t="s">
        <v>102</v>
      </c>
      <c r="D1130" t="s">
        <v>22</v>
      </c>
      <c r="E1130" t="s">
        <v>163</v>
      </c>
      <c r="F1130">
        <v>41177</v>
      </c>
      <c r="G1130">
        <v>19</v>
      </c>
      <c r="H1130">
        <v>49001</v>
      </c>
      <c r="I1130" t="s">
        <v>24</v>
      </c>
      <c r="J1130" t="s">
        <v>25</v>
      </c>
      <c r="K1130">
        <v>0</v>
      </c>
      <c r="L1130">
        <v>0</v>
      </c>
      <c r="M1130" t="s">
        <v>25</v>
      </c>
      <c r="N1130" t="s">
        <v>25</v>
      </c>
      <c r="O1130" t="s">
        <v>26</v>
      </c>
      <c r="P1130" t="s">
        <v>25</v>
      </c>
      <c r="Q1130" t="s">
        <v>27</v>
      </c>
      <c r="R1130" t="s">
        <v>28</v>
      </c>
    </row>
    <row r="1131" spans="1:18">
      <c r="A1131">
        <v>1135</v>
      </c>
      <c r="B1131" t="s">
        <v>1284</v>
      </c>
      <c r="C1131" t="s">
        <v>102</v>
      </c>
      <c r="D1131" t="s">
        <v>22</v>
      </c>
      <c r="E1131" t="s">
        <v>163</v>
      </c>
      <c r="F1131">
        <v>6805</v>
      </c>
      <c r="G1131">
        <v>19</v>
      </c>
      <c r="H1131">
        <v>8098</v>
      </c>
      <c r="I1131" t="s">
        <v>24</v>
      </c>
      <c r="J1131" t="s">
        <v>25</v>
      </c>
      <c r="K1131">
        <v>0</v>
      </c>
      <c r="L1131">
        <v>0</v>
      </c>
      <c r="M1131" t="s">
        <v>25</v>
      </c>
      <c r="N1131" t="s">
        <v>25</v>
      </c>
      <c r="O1131" t="s">
        <v>26</v>
      </c>
      <c r="P1131" t="s">
        <v>25</v>
      </c>
      <c r="Q1131" t="s">
        <v>27</v>
      </c>
      <c r="R1131" t="s">
        <v>28</v>
      </c>
    </row>
    <row r="1132" spans="1:18">
      <c r="A1132">
        <v>1136</v>
      </c>
      <c r="B1132" t="s">
        <v>1285</v>
      </c>
      <c r="C1132" t="s">
        <v>102</v>
      </c>
      <c r="D1132" t="s">
        <v>22</v>
      </c>
      <c r="E1132" t="s">
        <v>163</v>
      </c>
      <c r="F1132">
        <v>7452</v>
      </c>
      <c r="G1132">
        <v>19</v>
      </c>
      <c r="H1132">
        <v>8868</v>
      </c>
      <c r="I1132" t="s">
        <v>24</v>
      </c>
      <c r="J1132" t="s">
        <v>25</v>
      </c>
      <c r="K1132">
        <v>0</v>
      </c>
      <c r="L1132">
        <v>0</v>
      </c>
      <c r="M1132" t="s">
        <v>25</v>
      </c>
      <c r="N1132" t="s">
        <v>25</v>
      </c>
      <c r="O1132" t="s">
        <v>26</v>
      </c>
      <c r="P1132" t="s">
        <v>25</v>
      </c>
      <c r="Q1132" t="s">
        <v>27</v>
      </c>
      <c r="R1132" t="s">
        <v>28</v>
      </c>
    </row>
    <row r="1133" spans="1:18">
      <c r="A1133">
        <v>1137</v>
      </c>
      <c r="B1133" t="s">
        <v>1286</v>
      </c>
      <c r="C1133" t="s">
        <v>102</v>
      </c>
      <c r="D1133" t="s">
        <v>22</v>
      </c>
      <c r="E1133" t="s">
        <v>163</v>
      </c>
      <c r="F1133">
        <v>8819</v>
      </c>
      <c r="G1133">
        <v>19</v>
      </c>
      <c r="H1133">
        <v>10495</v>
      </c>
      <c r="I1133" t="s">
        <v>24</v>
      </c>
      <c r="J1133" t="s">
        <v>25</v>
      </c>
      <c r="K1133">
        <v>0</v>
      </c>
      <c r="L1133">
        <v>0</v>
      </c>
      <c r="M1133" t="s">
        <v>25</v>
      </c>
      <c r="N1133" t="s">
        <v>25</v>
      </c>
      <c r="O1133" t="s">
        <v>26</v>
      </c>
      <c r="P1133" t="s">
        <v>25</v>
      </c>
      <c r="Q1133" t="s">
        <v>27</v>
      </c>
      <c r="R1133" t="s">
        <v>28</v>
      </c>
    </row>
    <row r="1134" spans="1:18">
      <c r="A1134">
        <v>1138</v>
      </c>
      <c r="B1134" t="s">
        <v>1287</v>
      </c>
      <c r="C1134" t="s">
        <v>102</v>
      </c>
      <c r="D1134" t="s">
        <v>22</v>
      </c>
      <c r="E1134" t="s">
        <v>163</v>
      </c>
      <c r="F1134">
        <v>12053</v>
      </c>
      <c r="G1134">
        <v>19</v>
      </c>
      <c r="H1134">
        <v>14343</v>
      </c>
      <c r="I1134" t="s">
        <v>24</v>
      </c>
      <c r="J1134" t="s">
        <v>25</v>
      </c>
      <c r="K1134">
        <v>0</v>
      </c>
      <c r="L1134">
        <v>0</v>
      </c>
      <c r="M1134" t="s">
        <v>25</v>
      </c>
      <c r="N1134" t="s">
        <v>25</v>
      </c>
      <c r="O1134" t="s">
        <v>26</v>
      </c>
      <c r="P1134" t="s">
        <v>25</v>
      </c>
      <c r="Q1134" t="s">
        <v>27</v>
      </c>
      <c r="R1134" t="s">
        <v>28</v>
      </c>
    </row>
    <row r="1135" spans="1:18">
      <c r="A1135">
        <v>1139</v>
      </c>
      <c r="B1135" t="s">
        <v>1288</v>
      </c>
      <c r="C1135" t="s">
        <v>102</v>
      </c>
      <c r="D1135" t="s">
        <v>22</v>
      </c>
      <c r="E1135" t="s">
        <v>163</v>
      </c>
      <c r="F1135">
        <v>21137</v>
      </c>
      <c r="G1135">
        <v>19</v>
      </c>
      <c r="H1135">
        <v>25153</v>
      </c>
      <c r="I1135" t="s">
        <v>24</v>
      </c>
      <c r="J1135" t="s">
        <v>25</v>
      </c>
      <c r="K1135">
        <v>0</v>
      </c>
      <c r="L1135">
        <v>0</v>
      </c>
      <c r="M1135" t="s">
        <v>25</v>
      </c>
      <c r="N1135" t="s">
        <v>25</v>
      </c>
      <c r="O1135" t="s">
        <v>26</v>
      </c>
      <c r="P1135" t="s">
        <v>25</v>
      </c>
      <c r="Q1135" t="s">
        <v>27</v>
      </c>
      <c r="R1135" t="s">
        <v>28</v>
      </c>
    </row>
    <row r="1136" spans="1:18">
      <c r="A1136">
        <v>1140</v>
      </c>
      <c r="B1136" t="s">
        <v>1289</v>
      </c>
      <c r="C1136" t="s">
        <v>102</v>
      </c>
      <c r="D1136" t="s">
        <v>22</v>
      </c>
      <c r="E1136" t="s">
        <v>163</v>
      </c>
      <c r="F1136">
        <v>5455</v>
      </c>
      <c r="G1136">
        <v>19</v>
      </c>
      <c r="H1136">
        <v>6491</v>
      </c>
      <c r="I1136" t="s">
        <v>24</v>
      </c>
      <c r="J1136" t="s">
        <v>25</v>
      </c>
      <c r="K1136">
        <v>0</v>
      </c>
      <c r="L1136">
        <v>0</v>
      </c>
      <c r="M1136" t="s">
        <v>25</v>
      </c>
      <c r="N1136" t="s">
        <v>25</v>
      </c>
      <c r="O1136" t="s">
        <v>26</v>
      </c>
      <c r="P1136" t="s">
        <v>25</v>
      </c>
      <c r="Q1136" t="s">
        <v>27</v>
      </c>
      <c r="R1136" t="s">
        <v>28</v>
      </c>
    </row>
    <row r="1137" spans="1:18">
      <c r="A1137">
        <v>1141</v>
      </c>
      <c r="B1137" t="s">
        <v>1290</v>
      </c>
      <c r="C1137" t="s">
        <v>102</v>
      </c>
      <c r="D1137" t="s">
        <v>22</v>
      </c>
      <c r="E1137" t="s">
        <v>163</v>
      </c>
      <c r="F1137">
        <v>3717</v>
      </c>
      <c r="G1137">
        <v>19</v>
      </c>
      <c r="H1137">
        <v>4423</v>
      </c>
      <c r="I1137" t="s">
        <v>24</v>
      </c>
      <c r="J1137" t="s">
        <v>25</v>
      </c>
      <c r="K1137">
        <v>0</v>
      </c>
      <c r="L1137">
        <v>0</v>
      </c>
      <c r="M1137" t="s">
        <v>25</v>
      </c>
      <c r="N1137" t="s">
        <v>25</v>
      </c>
      <c r="O1137" t="s">
        <v>26</v>
      </c>
      <c r="P1137" t="s">
        <v>25</v>
      </c>
      <c r="Q1137" t="s">
        <v>27</v>
      </c>
      <c r="R1137" t="s">
        <v>28</v>
      </c>
    </row>
    <row r="1138" spans="1:18">
      <c r="A1138">
        <v>1142</v>
      </c>
      <c r="B1138" t="s">
        <v>1291</v>
      </c>
      <c r="C1138" t="s">
        <v>102</v>
      </c>
      <c r="D1138" t="s">
        <v>22</v>
      </c>
      <c r="E1138" t="s">
        <v>163</v>
      </c>
      <c r="F1138">
        <v>11220</v>
      </c>
      <c r="G1138">
        <v>19</v>
      </c>
      <c r="H1138">
        <v>13352</v>
      </c>
      <c r="I1138" t="s">
        <v>24</v>
      </c>
      <c r="J1138" t="s">
        <v>25</v>
      </c>
      <c r="K1138">
        <v>0</v>
      </c>
      <c r="L1138">
        <v>0</v>
      </c>
      <c r="M1138" t="s">
        <v>25</v>
      </c>
      <c r="N1138" t="s">
        <v>25</v>
      </c>
      <c r="O1138" t="s">
        <v>26</v>
      </c>
      <c r="P1138" t="s">
        <v>25</v>
      </c>
      <c r="Q1138" t="s">
        <v>27</v>
      </c>
      <c r="R1138" t="s">
        <v>28</v>
      </c>
    </row>
    <row r="1139" spans="1:18">
      <c r="A1139">
        <v>1143</v>
      </c>
      <c r="B1139" t="s">
        <v>1292</v>
      </c>
      <c r="C1139" t="s">
        <v>102</v>
      </c>
      <c r="D1139" t="s">
        <v>22</v>
      </c>
      <c r="E1139" t="s">
        <v>163</v>
      </c>
      <c r="F1139">
        <v>22015</v>
      </c>
      <c r="G1139">
        <v>19</v>
      </c>
      <c r="H1139">
        <v>26198</v>
      </c>
      <c r="I1139" t="s">
        <v>24</v>
      </c>
      <c r="J1139" t="s">
        <v>25</v>
      </c>
      <c r="K1139">
        <v>0</v>
      </c>
      <c r="L1139">
        <v>0</v>
      </c>
      <c r="M1139" t="s">
        <v>25</v>
      </c>
      <c r="N1139" t="s">
        <v>25</v>
      </c>
      <c r="O1139" t="s">
        <v>26</v>
      </c>
      <c r="P1139" t="s">
        <v>25</v>
      </c>
      <c r="Q1139" t="s">
        <v>27</v>
      </c>
      <c r="R1139" t="s">
        <v>28</v>
      </c>
    </row>
    <row r="1140" spans="1:18">
      <c r="A1140">
        <v>1144</v>
      </c>
      <c r="B1140" t="s">
        <v>1293</v>
      </c>
      <c r="C1140" t="s">
        <v>102</v>
      </c>
      <c r="D1140" t="s">
        <v>22</v>
      </c>
      <c r="E1140" t="s">
        <v>163</v>
      </c>
      <c r="F1140">
        <v>13891</v>
      </c>
      <c r="G1140">
        <v>19</v>
      </c>
      <c r="H1140">
        <v>16530</v>
      </c>
      <c r="I1140" t="s">
        <v>24</v>
      </c>
      <c r="J1140" t="s">
        <v>25</v>
      </c>
      <c r="K1140">
        <v>0</v>
      </c>
      <c r="L1140">
        <v>0</v>
      </c>
      <c r="M1140" t="s">
        <v>25</v>
      </c>
      <c r="N1140" t="s">
        <v>25</v>
      </c>
      <c r="O1140" t="s">
        <v>26</v>
      </c>
      <c r="P1140" t="s">
        <v>25</v>
      </c>
      <c r="Q1140" t="s">
        <v>27</v>
      </c>
      <c r="R1140" t="s">
        <v>28</v>
      </c>
    </row>
    <row r="1141" spans="1:18">
      <c r="A1141">
        <v>1145</v>
      </c>
      <c r="B1141" t="s">
        <v>1294</v>
      </c>
      <c r="C1141" t="s">
        <v>102</v>
      </c>
      <c r="D1141" t="s">
        <v>22</v>
      </c>
      <c r="E1141" t="s">
        <v>163</v>
      </c>
      <c r="F1141">
        <v>2505</v>
      </c>
      <c r="G1141">
        <v>19</v>
      </c>
      <c r="H1141">
        <v>2981</v>
      </c>
      <c r="I1141" t="s">
        <v>24</v>
      </c>
      <c r="J1141" t="s">
        <v>25</v>
      </c>
      <c r="K1141">
        <v>0</v>
      </c>
      <c r="L1141">
        <v>0</v>
      </c>
      <c r="M1141" t="s">
        <v>25</v>
      </c>
      <c r="N1141" t="s">
        <v>25</v>
      </c>
      <c r="O1141" t="s">
        <v>26</v>
      </c>
      <c r="P1141" t="s">
        <v>25</v>
      </c>
      <c r="Q1141" t="s">
        <v>27</v>
      </c>
      <c r="R1141" t="s">
        <v>28</v>
      </c>
    </row>
    <row r="1142" spans="1:18">
      <c r="A1142">
        <v>1146</v>
      </c>
      <c r="B1142" t="s">
        <v>1295</v>
      </c>
      <c r="C1142" t="s">
        <v>102</v>
      </c>
      <c r="D1142" t="s">
        <v>22</v>
      </c>
      <c r="E1142" t="s">
        <v>163</v>
      </c>
      <c r="F1142">
        <v>1263</v>
      </c>
      <c r="G1142">
        <v>19</v>
      </c>
      <c r="H1142">
        <v>1503</v>
      </c>
      <c r="I1142" t="s">
        <v>24</v>
      </c>
      <c r="J1142" t="s">
        <v>25</v>
      </c>
      <c r="K1142">
        <v>0</v>
      </c>
      <c r="L1142">
        <v>0</v>
      </c>
      <c r="M1142" t="s">
        <v>25</v>
      </c>
      <c r="N1142" t="s">
        <v>25</v>
      </c>
      <c r="O1142" t="s">
        <v>26</v>
      </c>
      <c r="P1142" t="s">
        <v>25</v>
      </c>
      <c r="Q1142" t="s">
        <v>27</v>
      </c>
      <c r="R1142" t="s">
        <v>28</v>
      </c>
    </row>
    <row r="1143" spans="1:18">
      <c r="A1143">
        <v>1147</v>
      </c>
      <c r="B1143" t="s">
        <v>1296</v>
      </c>
      <c r="C1143" t="s">
        <v>102</v>
      </c>
      <c r="D1143" t="s">
        <v>22</v>
      </c>
      <c r="E1143" t="s">
        <v>163</v>
      </c>
      <c r="F1143">
        <v>5993</v>
      </c>
      <c r="G1143">
        <v>19</v>
      </c>
      <c r="H1143">
        <v>7132</v>
      </c>
      <c r="I1143" t="s">
        <v>24</v>
      </c>
      <c r="J1143" t="s">
        <v>25</v>
      </c>
      <c r="K1143">
        <v>0</v>
      </c>
      <c r="L1143">
        <v>0</v>
      </c>
      <c r="M1143" t="s">
        <v>25</v>
      </c>
      <c r="N1143" t="s">
        <v>25</v>
      </c>
      <c r="O1143" t="s">
        <v>26</v>
      </c>
      <c r="P1143" t="s">
        <v>25</v>
      </c>
      <c r="Q1143" t="s">
        <v>27</v>
      </c>
      <c r="R1143" t="s">
        <v>28</v>
      </c>
    </row>
    <row r="1144" spans="1:18">
      <c r="A1144">
        <v>1148</v>
      </c>
      <c r="B1144" t="s">
        <v>1297</v>
      </c>
      <c r="C1144" t="s">
        <v>102</v>
      </c>
      <c r="D1144" t="s">
        <v>22</v>
      </c>
      <c r="E1144" t="s">
        <v>163</v>
      </c>
      <c r="F1144">
        <v>4405</v>
      </c>
      <c r="G1144">
        <v>19</v>
      </c>
      <c r="H1144">
        <v>5242</v>
      </c>
      <c r="I1144" t="s">
        <v>24</v>
      </c>
      <c r="J1144" t="s">
        <v>25</v>
      </c>
      <c r="K1144">
        <v>0</v>
      </c>
      <c r="L1144">
        <v>0</v>
      </c>
      <c r="M1144" t="s">
        <v>25</v>
      </c>
      <c r="N1144" t="s">
        <v>25</v>
      </c>
      <c r="O1144" t="s">
        <v>26</v>
      </c>
      <c r="P1144" t="s">
        <v>25</v>
      </c>
      <c r="Q1144" t="s">
        <v>27</v>
      </c>
      <c r="R1144" t="s">
        <v>28</v>
      </c>
    </row>
    <row r="1145" spans="1:18">
      <c r="A1145">
        <v>1149</v>
      </c>
      <c r="B1145" t="s">
        <v>1298</v>
      </c>
      <c r="C1145" t="s">
        <v>102</v>
      </c>
      <c r="D1145" t="s">
        <v>22</v>
      </c>
      <c r="E1145" t="s">
        <v>163</v>
      </c>
      <c r="F1145">
        <v>4405</v>
      </c>
      <c r="G1145">
        <v>19</v>
      </c>
      <c r="H1145">
        <v>5242</v>
      </c>
      <c r="I1145" t="s">
        <v>24</v>
      </c>
      <c r="J1145" t="s">
        <v>25</v>
      </c>
      <c r="K1145">
        <v>0</v>
      </c>
      <c r="L1145">
        <v>0</v>
      </c>
      <c r="M1145" t="s">
        <v>25</v>
      </c>
      <c r="N1145" t="s">
        <v>25</v>
      </c>
      <c r="O1145" t="s">
        <v>26</v>
      </c>
      <c r="P1145" t="s">
        <v>25</v>
      </c>
      <c r="Q1145" t="s">
        <v>27</v>
      </c>
      <c r="R1145" t="s">
        <v>28</v>
      </c>
    </row>
    <row r="1146" spans="1:18">
      <c r="A1146">
        <v>1150</v>
      </c>
      <c r="B1146" t="s">
        <v>1299</v>
      </c>
      <c r="C1146" t="s">
        <v>102</v>
      </c>
      <c r="D1146" t="s">
        <v>22</v>
      </c>
      <c r="E1146" t="s">
        <v>163</v>
      </c>
      <c r="F1146">
        <v>35001</v>
      </c>
      <c r="G1146">
        <v>19</v>
      </c>
      <c r="H1146">
        <v>41651</v>
      </c>
      <c r="I1146" t="s">
        <v>24</v>
      </c>
      <c r="J1146" t="s">
        <v>25</v>
      </c>
      <c r="K1146">
        <v>0</v>
      </c>
      <c r="L1146">
        <v>0</v>
      </c>
      <c r="M1146" t="s">
        <v>25</v>
      </c>
      <c r="N1146" t="s">
        <v>25</v>
      </c>
      <c r="O1146" t="s">
        <v>26</v>
      </c>
      <c r="P1146" t="s">
        <v>25</v>
      </c>
      <c r="Q1146" t="s">
        <v>27</v>
      </c>
      <c r="R1146" t="s">
        <v>28</v>
      </c>
    </row>
    <row r="1147" spans="1:18">
      <c r="A1147">
        <v>1151</v>
      </c>
      <c r="B1147" t="s">
        <v>1300</v>
      </c>
      <c r="C1147" t="s">
        <v>102</v>
      </c>
      <c r="D1147" t="s">
        <v>22</v>
      </c>
      <c r="E1147" t="s">
        <v>163</v>
      </c>
      <c r="F1147">
        <v>35001</v>
      </c>
      <c r="G1147">
        <v>19</v>
      </c>
      <c r="H1147">
        <v>41651</v>
      </c>
      <c r="I1147" t="s">
        <v>24</v>
      </c>
      <c r="J1147" t="s">
        <v>25</v>
      </c>
      <c r="K1147">
        <v>0</v>
      </c>
      <c r="L1147">
        <v>0</v>
      </c>
      <c r="M1147" t="s">
        <v>25</v>
      </c>
      <c r="N1147" t="s">
        <v>25</v>
      </c>
      <c r="O1147" t="s">
        <v>26</v>
      </c>
      <c r="P1147" t="s">
        <v>25</v>
      </c>
      <c r="Q1147" t="s">
        <v>27</v>
      </c>
      <c r="R1147" t="s">
        <v>28</v>
      </c>
    </row>
    <row r="1148" spans="1:18">
      <c r="A1148">
        <v>1152</v>
      </c>
      <c r="B1148" t="s">
        <v>1301</v>
      </c>
      <c r="C1148" t="s">
        <v>102</v>
      </c>
      <c r="D1148" t="s">
        <v>22</v>
      </c>
      <c r="E1148" t="s">
        <v>163</v>
      </c>
      <c r="F1148">
        <v>35001</v>
      </c>
      <c r="G1148">
        <v>19</v>
      </c>
      <c r="H1148">
        <v>41651</v>
      </c>
      <c r="I1148" t="s">
        <v>24</v>
      </c>
      <c r="J1148" t="s">
        <v>25</v>
      </c>
      <c r="K1148">
        <v>0</v>
      </c>
      <c r="L1148">
        <v>0</v>
      </c>
      <c r="M1148" t="s">
        <v>25</v>
      </c>
      <c r="N1148" t="s">
        <v>25</v>
      </c>
      <c r="O1148" t="s">
        <v>26</v>
      </c>
      <c r="P1148" t="s">
        <v>25</v>
      </c>
      <c r="Q1148" t="s">
        <v>27</v>
      </c>
      <c r="R1148" t="s">
        <v>28</v>
      </c>
    </row>
    <row r="1149" spans="1:18">
      <c r="A1149">
        <v>1153</v>
      </c>
      <c r="B1149" t="s">
        <v>1302</v>
      </c>
      <c r="C1149" t="s">
        <v>102</v>
      </c>
      <c r="D1149" t="s">
        <v>22</v>
      </c>
      <c r="E1149" t="s">
        <v>163</v>
      </c>
      <c r="F1149">
        <v>35001</v>
      </c>
      <c r="G1149">
        <v>19</v>
      </c>
      <c r="H1149">
        <v>41651</v>
      </c>
      <c r="I1149" t="s">
        <v>24</v>
      </c>
      <c r="J1149" t="s">
        <v>25</v>
      </c>
      <c r="K1149">
        <v>0</v>
      </c>
      <c r="L1149">
        <v>0</v>
      </c>
      <c r="M1149" t="s">
        <v>25</v>
      </c>
      <c r="N1149" t="s">
        <v>25</v>
      </c>
      <c r="O1149" t="s">
        <v>26</v>
      </c>
      <c r="P1149" t="s">
        <v>25</v>
      </c>
      <c r="Q1149" t="s">
        <v>27</v>
      </c>
      <c r="R1149" t="s">
        <v>28</v>
      </c>
    </row>
    <row r="1150" spans="1:18">
      <c r="A1150">
        <v>1154</v>
      </c>
      <c r="B1150" t="s">
        <v>1303</v>
      </c>
      <c r="C1150" t="s">
        <v>102</v>
      </c>
      <c r="D1150" t="s">
        <v>22</v>
      </c>
      <c r="E1150" t="s">
        <v>163</v>
      </c>
      <c r="F1150">
        <v>35001</v>
      </c>
      <c r="G1150">
        <v>19</v>
      </c>
      <c r="H1150">
        <v>41651</v>
      </c>
      <c r="I1150" t="s">
        <v>24</v>
      </c>
      <c r="J1150" t="s">
        <v>25</v>
      </c>
      <c r="K1150">
        <v>0</v>
      </c>
      <c r="L1150">
        <v>0</v>
      </c>
      <c r="M1150" t="s">
        <v>25</v>
      </c>
      <c r="N1150" t="s">
        <v>25</v>
      </c>
      <c r="O1150" t="s">
        <v>26</v>
      </c>
      <c r="P1150" t="s">
        <v>25</v>
      </c>
      <c r="Q1150" t="s">
        <v>27</v>
      </c>
      <c r="R1150" t="s">
        <v>28</v>
      </c>
    </row>
    <row r="1151" spans="1:18">
      <c r="A1151">
        <v>1155</v>
      </c>
      <c r="B1151" t="s">
        <v>1304</v>
      </c>
      <c r="C1151" t="s">
        <v>102</v>
      </c>
      <c r="D1151" t="s">
        <v>22</v>
      </c>
      <c r="E1151" t="s">
        <v>163</v>
      </c>
      <c r="F1151">
        <v>35001</v>
      </c>
      <c r="G1151">
        <v>19</v>
      </c>
      <c r="H1151">
        <v>41651</v>
      </c>
      <c r="I1151" t="s">
        <v>24</v>
      </c>
      <c r="J1151" t="s">
        <v>25</v>
      </c>
      <c r="K1151">
        <v>0</v>
      </c>
      <c r="L1151">
        <v>0</v>
      </c>
      <c r="M1151" t="s">
        <v>25</v>
      </c>
      <c r="N1151" t="s">
        <v>25</v>
      </c>
      <c r="O1151" t="s">
        <v>26</v>
      </c>
      <c r="P1151" t="s">
        <v>25</v>
      </c>
      <c r="Q1151" t="s">
        <v>27</v>
      </c>
      <c r="R1151" t="s">
        <v>28</v>
      </c>
    </row>
    <row r="1152" spans="1:18">
      <c r="A1152">
        <v>1156</v>
      </c>
      <c r="B1152" t="s">
        <v>1305</v>
      </c>
      <c r="C1152" t="s">
        <v>102</v>
      </c>
      <c r="D1152" t="s">
        <v>22</v>
      </c>
      <c r="E1152" t="s">
        <v>163</v>
      </c>
      <c r="F1152">
        <v>12493</v>
      </c>
      <c r="G1152">
        <v>19</v>
      </c>
      <c r="H1152">
        <v>14867</v>
      </c>
      <c r="I1152" t="s">
        <v>24</v>
      </c>
      <c r="J1152" t="s">
        <v>25</v>
      </c>
      <c r="K1152">
        <v>0</v>
      </c>
      <c r="L1152">
        <v>0</v>
      </c>
      <c r="M1152" t="s">
        <v>25</v>
      </c>
      <c r="N1152" t="s">
        <v>25</v>
      </c>
      <c r="O1152" t="s">
        <v>26</v>
      </c>
      <c r="P1152" t="s">
        <v>25</v>
      </c>
      <c r="Q1152" t="s">
        <v>27</v>
      </c>
      <c r="R1152" t="s">
        <v>28</v>
      </c>
    </row>
    <row r="1153" spans="1:18">
      <c r="A1153">
        <v>1157</v>
      </c>
      <c r="B1153" t="s">
        <v>1306</v>
      </c>
      <c r="C1153" t="s">
        <v>102</v>
      </c>
      <c r="D1153" t="s">
        <v>22</v>
      </c>
      <c r="E1153" t="s">
        <v>163</v>
      </c>
      <c r="F1153">
        <v>1270</v>
      </c>
      <c r="G1153">
        <v>19</v>
      </c>
      <c r="H1153">
        <v>1511</v>
      </c>
      <c r="I1153" t="s">
        <v>24</v>
      </c>
      <c r="J1153" t="s">
        <v>25</v>
      </c>
      <c r="K1153">
        <v>0</v>
      </c>
      <c r="L1153">
        <v>0</v>
      </c>
      <c r="M1153" t="s">
        <v>25</v>
      </c>
      <c r="N1153" t="s">
        <v>25</v>
      </c>
      <c r="O1153" t="s">
        <v>26</v>
      </c>
      <c r="P1153" t="s">
        <v>25</v>
      </c>
      <c r="Q1153" t="s">
        <v>27</v>
      </c>
      <c r="R1153" t="s">
        <v>28</v>
      </c>
    </row>
    <row r="1154" spans="1:18">
      <c r="A1154">
        <v>1158</v>
      </c>
      <c r="B1154" t="s">
        <v>1307</v>
      </c>
      <c r="C1154" t="s">
        <v>102</v>
      </c>
      <c r="D1154" t="s">
        <v>22</v>
      </c>
      <c r="E1154" t="s">
        <v>163</v>
      </c>
      <c r="F1154">
        <v>1267</v>
      </c>
      <c r="G1154">
        <v>19</v>
      </c>
      <c r="H1154">
        <v>1508</v>
      </c>
      <c r="I1154" t="s">
        <v>24</v>
      </c>
      <c r="J1154" t="s">
        <v>25</v>
      </c>
      <c r="K1154">
        <v>0</v>
      </c>
      <c r="L1154">
        <v>0</v>
      </c>
      <c r="M1154" t="s">
        <v>25</v>
      </c>
      <c r="N1154" t="s">
        <v>25</v>
      </c>
      <c r="O1154" t="s">
        <v>26</v>
      </c>
      <c r="P1154" t="s">
        <v>25</v>
      </c>
      <c r="Q1154" t="s">
        <v>27</v>
      </c>
      <c r="R1154" t="s">
        <v>28</v>
      </c>
    </row>
    <row r="1155" spans="1:18">
      <c r="A1155">
        <v>1159</v>
      </c>
      <c r="B1155" t="s">
        <v>1308</v>
      </c>
      <c r="C1155" t="s">
        <v>102</v>
      </c>
      <c r="D1155" t="s">
        <v>22</v>
      </c>
      <c r="E1155" t="s">
        <v>163</v>
      </c>
      <c r="F1155">
        <v>1747</v>
      </c>
      <c r="G1155">
        <v>19</v>
      </c>
      <c r="H1155">
        <v>2079</v>
      </c>
      <c r="I1155" t="s">
        <v>24</v>
      </c>
      <c r="J1155" t="s">
        <v>25</v>
      </c>
      <c r="K1155">
        <v>0</v>
      </c>
      <c r="L1155">
        <v>0</v>
      </c>
      <c r="M1155" t="s">
        <v>25</v>
      </c>
      <c r="N1155" t="s">
        <v>25</v>
      </c>
      <c r="O1155" t="s">
        <v>26</v>
      </c>
      <c r="P1155" t="s">
        <v>25</v>
      </c>
      <c r="Q1155" t="s">
        <v>27</v>
      </c>
      <c r="R1155" t="s">
        <v>28</v>
      </c>
    </row>
    <row r="1156" spans="1:18">
      <c r="A1156">
        <v>1160</v>
      </c>
      <c r="B1156" t="s">
        <v>1309</v>
      </c>
      <c r="C1156" t="s">
        <v>102</v>
      </c>
      <c r="D1156" t="s">
        <v>22</v>
      </c>
      <c r="E1156" t="s">
        <v>163</v>
      </c>
      <c r="F1156">
        <v>1178</v>
      </c>
      <c r="G1156">
        <v>19</v>
      </c>
      <c r="H1156">
        <v>1402</v>
      </c>
      <c r="I1156" t="s">
        <v>24</v>
      </c>
      <c r="J1156" t="s">
        <v>25</v>
      </c>
      <c r="K1156">
        <v>0</v>
      </c>
      <c r="L1156">
        <v>0</v>
      </c>
      <c r="M1156" t="s">
        <v>25</v>
      </c>
      <c r="N1156" t="s">
        <v>25</v>
      </c>
      <c r="O1156" t="s">
        <v>26</v>
      </c>
      <c r="P1156" t="s">
        <v>25</v>
      </c>
      <c r="Q1156" t="s">
        <v>27</v>
      </c>
      <c r="R1156" t="s">
        <v>28</v>
      </c>
    </row>
    <row r="1157" spans="1:18">
      <c r="A1157">
        <v>1161</v>
      </c>
      <c r="B1157" t="s">
        <v>1310</v>
      </c>
      <c r="C1157" t="s">
        <v>102</v>
      </c>
      <c r="D1157" t="s">
        <v>22</v>
      </c>
      <c r="E1157" t="s">
        <v>163</v>
      </c>
      <c r="F1157">
        <v>1178</v>
      </c>
      <c r="G1157">
        <v>19</v>
      </c>
      <c r="H1157">
        <v>1402</v>
      </c>
      <c r="I1157" t="s">
        <v>24</v>
      </c>
      <c r="J1157" t="s">
        <v>25</v>
      </c>
      <c r="K1157">
        <v>0</v>
      </c>
      <c r="L1157">
        <v>0</v>
      </c>
      <c r="M1157" t="s">
        <v>25</v>
      </c>
      <c r="N1157" t="s">
        <v>25</v>
      </c>
      <c r="O1157" t="s">
        <v>26</v>
      </c>
      <c r="P1157" t="s">
        <v>25</v>
      </c>
      <c r="Q1157" t="s">
        <v>27</v>
      </c>
      <c r="R1157" t="s">
        <v>28</v>
      </c>
    </row>
    <row r="1158" spans="1:18">
      <c r="A1158">
        <v>1162</v>
      </c>
      <c r="B1158" t="s">
        <v>1311</v>
      </c>
      <c r="C1158" t="s">
        <v>102</v>
      </c>
      <c r="D1158" t="s">
        <v>22</v>
      </c>
      <c r="E1158" t="s">
        <v>163</v>
      </c>
      <c r="F1158">
        <v>1178</v>
      </c>
      <c r="G1158">
        <v>19</v>
      </c>
      <c r="H1158">
        <v>1402</v>
      </c>
      <c r="I1158" t="s">
        <v>24</v>
      </c>
      <c r="J1158" t="s">
        <v>25</v>
      </c>
      <c r="K1158">
        <v>0</v>
      </c>
      <c r="L1158">
        <v>0</v>
      </c>
      <c r="M1158" t="s">
        <v>25</v>
      </c>
      <c r="N1158" t="s">
        <v>25</v>
      </c>
      <c r="O1158" t="s">
        <v>26</v>
      </c>
      <c r="P1158" t="s">
        <v>25</v>
      </c>
      <c r="Q1158" t="s">
        <v>27</v>
      </c>
      <c r="R1158" t="s">
        <v>28</v>
      </c>
    </row>
    <row r="1159" spans="1:18">
      <c r="A1159">
        <v>1163</v>
      </c>
      <c r="B1159" t="s">
        <v>1312</v>
      </c>
      <c r="C1159" t="s">
        <v>102</v>
      </c>
      <c r="D1159" t="s">
        <v>22</v>
      </c>
      <c r="E1159" t="s">
        <v>163</v>
      </c>
      <c r="F1159">
        <v>2026</v>
      </c>
      <c r="G1159">
        <v>19</v>
      </c>
      <c r="H1159">
        <v>2411</v>
      </c>
      <c r="I1159" t="s">
        <v>24</v>
      </c>
      <c r="J1159" t="s">
        <v>25</v>
      </c>
      <c r="K1159">
        <v>0</v>
      </c>
      <c r="L1159">
        <v>0</v>
      </c>
      <c r="M1159" t="s">
        <v>25</v>
      </c>
      <c r="N1159" t="s">
        <v>25</v>
      </c>
      <c r="O1159" t="s">
        <v>26</v>
      </c>
      <c r="P1159" t="s">
        <v>25</v>
      </c>
      <c r="Q1159" t="s">
        <v>27</v>
      </c>
      <c r="R1159" t="s">
        <v>28</v>
      </c>
    </row>
    <row r="1160" spans="1:18">
      <c r="A1160">
        <v>1164</v>
      </c>
      <c r="B1160" t="s">
        <v>1313</v>
      </c>
      <c r="C1160" t="s">
        <v>102</v>
      </c>
      <c r="D1160" t="s">
        <v>22</v>
      </c>
      <c r="E1160" t="s">
        <v>163</v>
      </c>
      <c r="F1160">
        <v>2026</v>
      </c>
      <c r="G1160">
        <v>19</v>
      </c>
      <c r="H1160">
        <v>2411</v>
      </c>
      <c r="I1160" t="s">
        <v>24</v>
      </c>
      <c r="J1160" t="s">
        <v>25</v>
      </c>
      <c r="K1160">
        <v>0</v>
      </c>
      <c r="L1160">
        <v>0</v>
      </c>
      <c r="M1160" t="s">
        <v>25</v>
      </c>
      <c r="N1160" t="s">
        <v>25</v>
      </c>
      <c r="O1160" t="s">
        <v>26</v>
      </c>
      <c r="P1160" t="s">
        <v>25</v>
      </c>
      <c r="Q1160" t="s">
        <v>27</v>
      </c>
      <c r="R1160" t="s">
        <v>28</v>
      </c>
    </row>
    <row r="1161" spans="1:18">
      <c r="A1161">
        <v>1165</v>
      </c>
      <c r="B1161" t="s">
        <v>1314</v>
      </c>
      <c r="C1161" t="s">
        <v>102</v>
      </c>
      <c r="D1161" t="s">
        <v>22</v>
      </c>
      <c r="E1161" t="s">
        <v>163</v>
      </c>
      <c r="F1161">
        <v>2026</v>
      </c>
      <c r="G1161">
        <v>19</v>
      </c>
      <c r="H1161">
        <v>2411</v>
      </c>
      <c r="I1161" t="s">
        <v>24</v>
      </c>
      <c r="J1161" t="s">
        <v>25</v>
      </c>
      <c r="K1161">
        <v>0</v>
      </c>
      <c r="L1161">
        <v>0</v>
      </c>
      <c r="M1161" t="s">
        <v>25</v>
      </c>
      <c r="N1161" t="s">
        <v>25</v>
      </c>
      <c r="O1161" t="s">
        <v>26</v>
      </c>
      <c r="P1161" t="s">
        <v>25</v>
      </c>
      <c r="Q1161" t="s">
        <v>27</v>
      </c>
      <c r="R1161" t="s">
        <v>28</v>
      </c>
    </row>
    <row r="1162" spans="1:18">
      <c r="A1162">
        <v>1166</v>
      </c>
      <c r="B1162" t="s">
        <v>1315</v>
      </c>
      <c r="C1162" t="s">
        <v>102</v>
      </c>
      <c r="D1162" t="s">
        <v>22</v>
      </c>
      <c r="E1162" t="s">
        <v>163</v>
      </c>
      <c r="F1162">
        <v>2026</v>
      </c>
      <c r="G1162">
        <v>19</v>
      </c>
      <c r="H1162">
        <v>2411</v>
      </c>
      <c r="I1162" t="s">
        <v>24</v>
      </c>
      <c r="J1162" t="s">
        <v>25</v>
      </c>
      <c r="K1162">
        <v>0</v>
      </c>
      <c r="L1162">
        <v>0</v>
      </c>
      <c r="M1162" t="s">
        <v>25</v>
      </c>
      <c r="N1162" t="s">
        <v>25</v>
      </c>
      <c r="O1162" t="s">
        <v>26</v>
      </c>
      <c r="P1162" t="s">
        <v>25</v>
      </c>
      <c r="Q1162" t="s">
        <v>27</v>
      </c>
      <c r="R1162" t="s">
        <v>28</v>
      </c>
    </row>
    <row r="1163" spans="1:18">
      <c r="A1163">
        <v>1167</v>
      </c>
      <c r="B1163" t="s">
        <v>1316</v>
      </c>
      <c r="C1163" t="s">
        <v>102</v>
      </c>
      <c r="D1163" t="s">
        <v>22</v>
      </c>
      <c r="E1163" t="s">
        <v>163</v>
      </c>
      <c r="F1163">
        <v>55318</v>
      </c>
      <c r="G1163">
        <v>19</v>
      </c>
      <c r="H1163">
        <v>65828</v>
      </c>
      <c r="I1163" t="s">
        <v>24</v>
      </c>
      <c r="J1163" t="s">
        <v>25</v>
      </c>
      <c r="K1163">
        <v>0</v>
      </c>
      <c r="L1163">
        <v>0</v>
      </c>
      <c r="M1163" t="s">
        <v>25</v>
      </c>
      <c r="N1163" t="s">
        <v>25</v>
      </c>
      <c r="O1163" t="s">
        <v>26</v>
      </c>
      <c r="P1163" t="s">
        <v>25</v>
      </c>
      <c r="Q1163" t="s">
        <v>27</v>
      </c>
      <c r="R1163" t="s">
        <v>28</v>
      </c>
    </row>
    <row r="1164" spans="1:18">
      <c r="A1164">
        <v>1168</v>
      </c>
      <c r="B1164" t="s">
        <v>1317</v>
      </c>
      <c r="C1164" t="s">
        <v>102</v>
      </c>
      <c r="D1164" t="s">
        <v>22</v>
      </c>
      <c r="E1164" t="s">
        <v>163</v>
      </c>
      <c r="F1164">
        <v>18660</v>
      </c>
      <c r="G1164">
        <v>19</v>
      </c>
      <c r="H1164">
        <v>22205</v>
      </c>
      <c r="I1164" t="s">
        <v>24</v>
      </c>
      <c r="J1164" t="s">
        <v>25</v>
      </c>
      <c r="K1164">
        <v>0</v>
      </c>
      <c r="L1164">
        <v>0</v>
      </c>
      <c r="M1164" t="s">
        <v>25</v>
      </c>
      <c r="N1164" t="s">
        <v>25</v>
      </c>
      <c r="O1164" t="s">
        <v>26</v>
      </c>
      <c r="P1164" t="s">
        <v>25</v>
      </c>
      <c r="Q1164" t="s">
        <v>27</v>
      </c>
      <c r="R1164" t="s">
        <v>28</v>
      </c>
    </row>
    <row r="1165" spans="1:18">
      <c r="A1165">
        <v>1169</v>
      </c>
      <c r="B1165" t="s">
        <v>1318</v>
      </c>
      <c r="C1165" t="s">
        <v>102</v>
      </c>
      <c r="D1165" t="s">
        <v>22</v>
      </c>
      <c r="E1165" t="s">
        <v>163</v>
      </c>
      <c r="F1165">
        <v>25234</v>
      </c>
      <c r="G1165">
        <v>19</v>
      </c>
      <c r="H1165">
        <v>30028</v>
      </c>
      <c r="I1165" t="s">
        <v>24</v>
      </c>
      <c r="J1165" t="s">
        <v>25</v>
      </c>
      <c r="K1165">
        <v>0</v>
      </c>
      <c r="L1165">
        <v>0</v>
      </c>
      <c r="M1165" t="s">
        <v>25</v>
      </c>
      <c r="N1165" t="s">
        <v>25</v>
      </c>
      <c r="O1165" t="s">
        <v>26</v>
      </c>
      <c r="P1165" t="s">
        <v>25</v>
      </c>
      <c r="Q1165" t="s">
        <v>27</v>
      </c>
      <c r="R1165" t="s">
        <v>28</v>
      </c>
    </row>
    <row r="1166" spans="1:18">
      <c r="A1166">
        <v>1170</v>
      </c>
      <c r="B1166" t="s">
        <v>1319</v>
      </c>
      <c r="C1166" t="s">
        <v>102</v>
      </c>
      <c r="D1166" t="s">
        <v>22</v>
      </c>
      <c r="E1166" t="s">
        <v>163</v>
      </c>
      <c r="F1166">
        <v>34210</v>
      </c>
      <c r="G1166">
        <v>19</v>
      </c>
      <c r="H1166">
        <v>40710</v>
      </c>
      <c r="I1166" t="s">
        <v>24</v>
      </c>
      <c r="J1166" t="s">
        <v>25</v>
      </c>
      <c r="K1166">
        <v>0</v>
      </c>
      <c r="L1166">
        <v>0</v>
      </c>
      <c r="M1166" t="s">
        <v>25</v>
      </c>
      <c r="N1166" t="s">
        <v>25</v>
      </c>
      <c r="O1166" t="s">
        <v>26</v>
      </c>
      <c r="P1166" t="s">
        <v>25</v>
      </c>
      <c r="Q1166" t="s">
        <v>27</v>
      </c>
      <c r="R1166" t="s">
        <v>28</v>
      </c>
    </row>
    <row r="1167" spans="1:18">
      <c r="A1167">
        <v>1171</v>
      </c>
      <c r="B1167" t="s">
        <v>1320</v>
      </c>
      <c r="C1167" t="s">
        <v>102</v>
      </c>
      <c r="D1167" t="s">
        <v>22</v>
      </c>
      <c r="E1167" t="s">
        <v>163</v>
      </c>
      <c r="F1167">
        <v>1893</v>
      </c>
      <c r="G1167">
        <v>19</v>
      </c>
      <c r="H1167">
        <v>2253</v>
      </c>
      <c r="I1167" t="s">
        <v>24</v>
      </c>
      <c r="J1167" t="s">
        <v>25</v>
      </c>
      <c r="K1167">
        <v>0</v>
      </c>
      <c r="L1167">
        <v>0</v>
      </c>
      <c r="M1167" t="s">
        <v>25</v>
      </c>
      <c r="N1167" t="s">
        <v>25</v>
      </c>
      <c r="O1167" t="s">
        <v>26</v>
      </c>
      <c r="P1167" t="s">
        <v>25</v>
      </c>
      <c r="Q1167" t="s">
        <v>27</v>
      </c>
      <c r="R1167" t="s">
        <v>28</v>
      </c>
    </row>
    <row r="1168" spans="1:18">
      <c r="A1168">
        <v>1172</v>
      </c>
      <c r="B1168" t="s">
        <v>1321</v>
      </c>
      <c r="C1168" t="s">
        <v>102</v>
      </c>
      <c r="D1168" t="s">
        <v>22</v>
      </c>
      <c r="E1168" t="s">
        <v>163</v>
      </c>
      <c r="F1168">
        <v>1651</v>
      </c>
      <c r="G1168">
        <v>19</v>
      </c>
      <c r="H1168">
        <v>1965</v>
      </c>
      <c r="I1168" t="s">
        <v>24</v>
      </c>
      <c r="J1168" t="s">
        <v>25</v>
      </c>
      <c r="K1168">
        <v>0</v>
      </c>
      <c r="L1168">
        <v>0</v>
      </c>
      <c r="M1168" t="s">
        <v>25</v>
      </c>
      <c r="N1168" t="s">
        <v>25</v>
      </c>
      <c r="O1168" t="s">
        <v>26</v>
      </c>
      <c r="P1168" t="s">
        <v>25</v>
      </c>
      <c r="Q1168" t="s">
        <v>27</v>
      </c>
      <c r="R1168" t="s">
        <v>28</v>
      </c>
    </row>
    <row r="1169" spans="1:18">
      <c r="A1169">
        <v>1173</v>
      </c>
      <c r="B1169" t="s">
        <v>1322</v>
      </c>
      <c r="C1169" t="s">
        <v>102</v>
      </c>
      <c r="D1169" t="s">
        <v>22</v>
      </c>
      <c r="E1169" t="s">
        <v>163</v>
      </c>
      <c r="F1169">
        <v>1646</v>
      </c>
      <c r="G1169">
        <v>19</v>
      </c>
      <c r="H1169">
        <v>1959</v>
      </c>
      <c r="I1169" t="s">
        <v>24</v>
      </c>
      <c r="J1169" t="s">
        <v>25</v>
      </c>
      <c r="K1169">
        <v>0</v>
      </c>
      <c r="L1169">
        <v>0</v>
      </c>
      <c r="M1169" t="s">
        <v>25</v>
      </c>
      <c r="N1169" t="s">
        <v>25</v>
      </c>
      <c r="O1169" t="s">
        <v>26</v>
      </c>
      <c r="P1169" t="s">
        <v>25</v>
      </c>
      <c r="Q1169" t="s">
        <v>27</v>
      </c>
      <c r="R1169" t="s">
        <v>28</v>
      </c>
    </row>
    <row r="1170" spans="1:18">
      <c r="A1170">
        <v>1174</v>
      </c>
      <c r="B1170" t="s">
        <v>1323</v>
      </c>
      <c r="C1170" t="s">
        <v>102</v>
      </c>
      <c r="D1170" t="s">
        <v>22</v>
      </c>
      <c r="E1170" t="s">
        <v>163</v>
      </c>
      <c r="F1170">
        <v>5250</v>
      </c>
      <c r="G1170">
        <v>19</v>
      </c>
      <c r="H1170">
        <v>6248</v>
      </c>
      <c r="I1170" t="s">
        <v>24</v>
      </c>
      <c r="J1170" t="s">
        <v>25</v>
      </c>
      <c r="K1170">
        <v>0</v>
      </c>
      <c r="L1170">
        <v>0</v>
      </c>
      <c r="M1170" t="s">
        <v>25</v>
      </c>
      <c r="N1170" t="s">
        <v>25</v>
      </c>
      <c r="O1170" t="s">
        <v>26</v>
      </c>
      <c r="P1170" t="s">
        <v>25</v>
      </c>
      <c r="Q1170" t="s">
        <v>27</v>
      </c>
      <c r="R1170" t="s">
        <v>28</v>
      </c>
    </row>
    <row r="1171" spans="1:18">
      <c r="A1171">
        <v>1175</v>
      </c>
      <c r="B1171" t="s">
        <v>1324</v>
      </c>
      <c r="C1171" t="s">
        <v>102</v>
      </c>
      <c r="D1171" t="s">
        <v>22</v>
      </c>
      <c r="E1171" t="s">
        <v>163</v>
      </c>
      <c r="F1171">
        <v>1318</v>
      </c>
      <c r="G1171">
        <v>19</v>
      </c>
      <c r="H1171">
        <v>1568</v>
      </c>
      <c r="I1171" t="s">
        <v>24</v>
      </c>
      <c r="J1171" t="s">
        <v>25</v>
      </c>
      <c r="K1171">
        <v>0</v>
      </c>
      <c r="L1171">
        <v>0</v>
      </c>
      <c r="M1171" t="s">
        <v>25</v>
      </c>
      <c r="N1171" t="s">
        <v>25</v>
      </c>
      <c r="O1171" t="s">
        <v>26</v>
      </c>
      <c r="P1171" t="s">
        <v>25</v>
      </c>
      <c r="Q1171" t="s">
        <v>27</v>
      </c>
      <c r="R1171" t="s">
        <v>28</v>
      </c>
    </row>
    <row r="1172" spans="1:18">
      <c r="A1172">
        <v>1176</v>
      </c>
      <c r="B1172" t="s">
        <v>1325</v>
      </c>
      <c r="C1172" t="s">
        <v>102</v>
      </c>
      <c r="D1172" t="s">
        <v>22</v>
      </c>
      <c r="E1172" t="s">
        <v>163</v>
      </c>
      <c r="F1172">
        <v>79</v>
      </c>
      <c r="G1172">
        <v>19</v>
      </c>
      <c r="H1172">
        <v>94</v>
      </c>
      <c r="I1172" t="s">
        <v>24</v>
      </c>
      <c r="J1172" t="s">
        <v>25</v>
      </c>
      <c r="K1172">
        <v>0</v>
      </c>
      <c r="L1172">
        <v>0</v>
      </c>
      <c r="M1172" t="s">
        <v>25</v>
      </c>
      <c r="N1172" t="s">
        <v>25</v>
      </c>
      <c r="O1172" t="s">
        <v>26</v>
      </c>
      <c r="P1172" t="s">
        <v>25</v>
      </c>
      <c r="Q1172" t="s">
        <v>27</v>
      </c>
      <c r="R1172" t="s">
        <v>28</v>
      </c>
    </row>
    <row r="1173" spans="1:18">
      <c r="A1173">
        <v>1177</v>
      </c>
      <c r="B1173" t="s">
        <v>1326</v>
      </c>
      <c r="C1173" t="s">
        <v>102</v>
      </c>
      <c r="D1173" t="s">
        <v>22</v>
      </c>
      <c r="E1173" t="s">
        <v>163</v>
      </c>
      <c r="F1173">
        <v>2337</v>
      </c>
      <c r="G1173">
        <v>19</v>
      </c>
      <c r="H1173">
        <v>2781</v>
      </c>
      <c r="I1173" t="s">
        <v>24</v>
      </c>
      <c r="J1173" t="s">
        <v>25</v>
      </c>
      <c r="K1173">
        <v>0</v>
      </c>
      <c r="L1173">
        <v>0</v>
      </c>
      <c r="M1173" t="s">
        <v>25</v>
      </c>
      <c r="N1173" t="s">
        <v>25</v>
      </c>
      <c r="O1173" t="s">
        <v>26</v>
      </c>
      <c r="P1173" t="s">
        <v>25</v>
      </c>
      <c r="Q1173" t="s">
        <v>27</v>
      </c>
      <c r="R1173" t="s">
        <v>28</v>
      </c>
    </row>
    <row r="1174" spans="1:18">
      <c r="A1174">
        <v>1178</v>
      </c>
      <c r="B1174" t="s">
        <v>1327</v>
      </c>
      <c r="C1174" t="s">
        <v>102</v>
      </c>
      <c r="D1174" t="s">
        <v>22</v>
      </c>
      <c r="E1174" t="s">
        <v>163</v>
      </c>
      <c r="F1174">
        <v>151</v>
      </c>
      <c r="G1174">
        <v>19</v>
      </c>
      <c r="H1174">
        <v>180</v>
      </c>
      <c r="I1174" t="s">
        <v>24</v>
      </c>
      <c r="J1174" t="s">
        <v>25</v>
      </c>
      <c r="K1174">
        <v>0</v>
      </c>
      <c r="L1174">
        <v>0</v>
      </c>
      <c r="M1174" t="s">
        <v>25</v>
      </c>
      <c r="N1174" t="s">
        <v>25</v>
      </c>
      <c r="O1174" t="s">
        <v>26</v>
      </c>
      <c r="P1174" t="s">
        <v>25</v>
      </c>
      <c r="Q1174" t="s">
        <v>27</v>
      </c>
      <c r="R1174" t="s">
        <v>28</v>
      </c>
    </row>
    <row r="1175" spans="1:18">
      <c r="A1175">
        <v>1179</v>
      </c>
      <c r="B1175" t="s">
        <v>1328</v>
      </c>
      <c r="C1175" t="s">
        <v>102</v>
      </c>
      <c r="D1175" t="s">
        <v>22</v>
      </c>
      <c r="E1175" t="s">
        <v>163</v>
      </c>
      <c r="F1175">
        <v>147</v>
      </c>
      <c r="G1175">
        <v>19</v>
      </c>
      <c r="H1175">
        <v>175</v>
      </c>
      <c r="I1175" t="s">
        <v>24</v>
      </c>
      <c r="J1175" t="s">
        <v>25</v>
      </c>
      <c r="K1175">
        <v>0</v>
      </c>
      <c r="L1175">
        <v>0</v>
      </c>
      <c r="M1175" t="s">
        <v>25</v>
      </c>
      <c r="N1175" t="s">
        <v>25</v>
      </c>
      <c r="O1175" t="s">
        <v>26</v>
      </c>
      <c r="P1175" t="s">
        <v>25</v>
      </c>
      <c r="Q1175" t="s">
        <v>27</v>
      </c>
      <c r="R1175" t="s">
        <v>28</v>
      </c>
    </row>
    <row r="1176" spans="1:18">
      <c r="A1176">
        <v>1180</v>
      </c>
      <c r="B1176" t="s">
        <v>1329</v>
      </c>
      <c r="C1176" t="s">
        <v>102</v>
      </c>
      <c r="D1176" t="s">
        <v>22</v>
      </c>
      <c r="E1176" t="s">
        <v>163</v>
      </c>
      <c r="F1176">
        <v>151</v>
      </c>
      <c r="G1176">
        <v>19</v>
      </c>
      <c r="H1176">
        <v>180</v>
      </c>
      <c r="I1176" t="s">
        <v>24</v>
      </c>
      <c r="J1176" t="s">
        <v>25</v>
      </c>
      <c r="K1176">
        <v>0</v>
      </c>
      <c r="L1176">
        <v>0</v>
      </c>
      <c r="M1176" t="s">
        <v>25</v>
      </c>
      <c r="N1176" t="s">
        <v>25</v>
      </c>
      <c r="O1176" t="s">
        <v>26</v>
      </c>
      <c r="P1176" t="s">
        <v>25</v>
      </c>
      <c r="Q1176" t="s">
        <v>27</v>
      </c>
      <c r="R1176" t="s">
        <v>28</v>
      </c>
    </row>
    <row r="1177" spans="1:18">
      <c r="A1177">
        <v>1181</v>
      </c>
      <c r="B1177" t="s">
        <v>1330</v>
      </c>
      <c r="C1177" t="s">
        <v>102</v>
      </c>
      <c r="D1177" t="s">
        <v>22</v>
      </c>
      <c r="E1177" t="s">
        <v>163</v>
      </c>
      <c r="F1177">
        <v>204</v>
      </c>
      <c r="G1177">
        <v>19</v>
      </c>
      <c r="H1177">
        <v>243</v>
      </c>
      <c r="I1177" t="s">
        <v>24</v>
      </c>
      <c r="J1177" t="s">
        <v>25</v>
      </c>
      <c r="K1177">
        <v>0</v>
      </c>
      <c r="L1177">
        <v>0</v>
      </c>
      <c r="M1177" t="s">
        <v>25</v>
      </c>
      <c r="N1177" t="s">
        <v>25</v>
      </c>
      <c r="O1177" t="s">
        <v>26</v>
      </c>
      <c r="P1177" t="s">
        <v>25</v>
      </c>
      <c r="Q1177" t="s">
        <v>27</v>
      </c>
      <c r="R1177" t="s">
        <v>28</v>
      </c>
    </row>
    <row r="1178" spans="1:18">
      <c r="A1178">
        <v>1182</v>
      </c>
      <c r="B1178" t="s">
        <v>1331</v>
      </c>
      <c r="C1178" t="s">
        <v>102</v>
      </c>
      <c r="D1178" t="s">
        <v>22</v>
      </c>
      <c r="E1178" t="s">
        <v>163</v>
      </c>
      <c r="F1178">
        <v>72</v>
      </c>
      <c r="G1178">
        <v>19</v>
      </c>
      <c r="H1178">
        <v>86</v>
      </c>
      <c r="I1178" t="s">
        <v>24</v>
      </c>
      <c r="J1178" t="s">
        <v>25</v>
      </c>
      <c r="K1178">
        <v>0</v>
      </c>
      <c r="L1178">
        <v>0</v>
      </c>
      <c r="M1178" t="s">
        <v>25</v>
      </c>
      <c r="N1178" t="s">
        <v>25</v>
      </c>
      <c r="O1178" t="s">
        <v>26</v>
      </c>
      <c r="P1178" t="s">
        <v>25</v>
      </c>
      <c r="Q1178" t="s">
        <v>27</v>
      </c>
      <c r="R1178" t="s">
        <v>28</v>
      </c>
    </row>
    <row r="1179" spans="1:18">
      <c r="A1179">
        <v>1183</v>
      </c>
      <c r="B1179" t="s">
        <v>1332</v>
      </c>
      <c r="C1179" t="s">
        <v>102</v>
      </c>
      <c r="D1179" t="s">
        <v>22</v>
      </c>
      <c r="E1179" t="s">
        <v>163</v>
      </c>
      <c r="F1179">
        <v>424</v>
      </c>
      <c r="G1179">
        <v>19</v>
      </c>
      <c r="H1179">
        <v>505</v>
      </c>
      <c r="I1179" t="s">
        <v>24</v>
      </c>
      <c r="J1179" t="s">
        <v>25</v>
      </c>
      <c r="K1179">
        <v>0</v>
      </c>
      <c r="L1179">
        <v>0</v>
      </c>
      <c r="M1179" t="s">
        <v>25</v>
      </c>
      <c r="N1179" t="s">
        <v>25</v>
      </c>
      <c r="O1179" t="s">
        <v>26</v>
      </c>
      <c r="P1179" t="s">
        <v>25</v>
      </c>
      <c r="Q1179" t="s">
        <v>27</v>
      </c>
      <c r="R1179" t="s">
        <v>28</v>
      </c>
    </row>
    <row r="1180" spans="1:18">
      <c r="A1180">
        <v>1184</v>
      </c>
      <c r="B1180" t="s">
        <v>1333</v>
      </c>
      <c r="C1180" t="s">
        <v>102</v>
      </c>
      <c r="D1180" t="s">
        <v>22</v>
      </c>
      <c r="E1180" t="s">
        <v>163</v>
      </c>
      <c r="F1180">
        <v>426</v>
      </c>
      <c r="G1180">
        <v>19</v>
      </c>
      <c r="H1180">
        <v>507</v>
      </c>
      <c r="I1180" t="s">
        <v>24</v>
      </c>
      <c r="J1180" t="s">
        <v>25</v>
      </c>
      <c r="K1180">
        <v>0</v>
      </c>
      <c r="L1180">
        <v>0</v>
      </c>
      <c r="M1180" t="s">
        <v>25</v>
      </c>
      <c r="N1180" t="s">
        <v>25</v>
      </c>
      <c r="O1180" t="s">
        <v>26</v>
      </c>
      <c r="P1180" t="s">
        <v>25</v>
      </c>
      <c r="Q1180" t="s">
        <v>27</v>
      </c>
      <c r="R1180" t="s">
        <v>28</v>
      </c>
    </row>
    <row r="1181" spans="1:18">
      <c r="A1181">
        <v>1185</v>
      </c>
      <c r="B1181" t="s">
        <v>1334</v>
      </c>
      <c r="C1181" t="s">
        <v>102</v>
      </c>
      <c r="D1181" t="s">
        <v>22</v>
      </c>
      <c r="E1181" t="s">
        <v>163</v>
      </c>
      <c r="F1181">
        <v>4579</v>
      </c>
      <c r="G1181">
        <v>19</v>
      </c>
      <c r="H1181">
        <v>5449</v>
      </c>
      <c r="I1181" t="s">
        <v>24</v>
      </c>
      <c r="J1181" t="s">
        <v>25</v>
      </c>
      <c r="K1181">
        <v>0</v>
      </c>
      <c r="L1181">
        <v>0</v>
      </c>
      <c r="M1181" t="s">
        <v>25</v>
      </c>
      <c r="N1181" t="s">
        <v>25</v>
      </c>
      <c r="O1181" t="s">
        <v>26</v>
      </c>
      <c r="P1181" t="s">
        <v>25</v>
      </c>
      <c r="Q1181" t="s">
        <v>27</v>
      </c>
      <c r="R1181" t="s">
        <v>28</v>
      </c>
    </row>
    <row r="1182" spans="1:18">
      <c r="A1182">
        <v>1186</v>
      </c>
      <c r="B1182" t="s">
        <v>1335</v>
      </c>
      <c r="C1182" t="s">
        <v>102</v>
      </c>
      <c r="D1182" t="s">
        <v>22</v>
      </c>
      <c r="E1182" t="s">
        <v>163</v>
      </c>
      <c r="F1182">
        <v>3577</v>
      </c>
      <c r="G1182">
        <v>19</v>
      </c>
      <c r="H1182">
        <v>4257</v>
      </c>
      <c r="I1182" t="s">
        <v>24</v>
      </c>
      <c r="J1182" t="s">
        <v>25</v>
      </c>
      <c r="K1182">
        <v>0</v>
      </c>
      <c r="L1182">
        <v>0</v>
      </c>
      <c r="M1182" t="s">
        <v>25</v>
      </c>
      <c r="N1182" t="s">
        <v>25</v>
      </c>
      <c r="O1182" t="s">
        <v>26</v>
      </c>
      <c r="P1182" t="s">
        <v>25</v>
      </c>
      <c r="Q1182" t="s">
        <v>27</v>
      </c>
      <c r="R1182" t="s">
        <v>28</v>
      </c>
    </row>
    <row r="1183" spans="1:18">
      <c r="A1183">
        <v>1187</v>
      </c>
      <c r="B1183" t="s">
        <v>1336</v>
      </c>
      <c r="C1183" t="s">
        <v>102</v>
      </c>
      <c r="D1183" t="s">
        <v>22</v>
      </c>
      <c r="E1183" t="s">
        <v>163</v>
      </c>
      <c r="F1183">
        <v>3577</v>
      </c>
      <c r="G1183">
        <v>19</v>
      </c>
      <c r="H1183">
        <v>4257</v>
      </c>
      <c r="I1183" t="s">
        <v>24</v>
      </c>
      <c r="J1183" t="s">
        <v>25</v>
      </c>
      <c r="K1183">
        <v>0</v>
      </c>
      <c r="L1183">
        <v>0</v>
      </c>
      <c r="M1183" t="s">
        <v>25</v>
      </c>
      <c r="N1183" t="s">
        <v>25</v>
      </c>
      <c r="O1183" t="s">
        <v>26</v>
      </c>
      <c r="P1183" t="s">
        <v>25</v>
      </c>
      <c r="Q1183" t="s">
        <v>27</v>
      </c>
      <c r="R1183" t="s">
        <v>28</v>
      </c>
    </row>
    <row r="1184" spans="1:18">
      <c r="A1184">
        <v>1188</v>
      </c>
      <c r="B1184" t="s">
        <v>1337</v>
      </c>
      <c r="C1184" t="s">
        <v>102</v>
      </c>
      <c r="D1184" t="s">
        <v>22</v>
      </c>
      <c r="E1184" t="s">
        <v>103</v>
      </c>
      <c r="F1184">
        <v>31695</v>
      </c>
      <c r="G1184">
        <v>19</v>
      </c>
      <c r="H1184">
        <v>37717</v>
      </c>
      <c r="I1184" t="s">
        <v>24</v>
      </c>
      <c r="J1184" t="s">
        <v>25</v>
      </c>
      <c r="K1184">
        <v>0</v>
      </c>
      <c r="L1184">
        <v>0</v>
      </c>
      <c r="M1184" t="s">
        <v>25</v>
      </c>
      <c r="N1184" t="s">
        <v>25</v>
      </c>
      <c r="O1184" t="s">
        <v>26</v>
      </c>
      <c r="P1184" t="s">
        <v>25</v>
      </c>
      <c r="Q1184" t="s">
        <v>27</v>
      </c>
      <c r="R1184" t="s">
        <v>28</v>
      </c>
    </row>
    <row r="1185" spans="1:18">
      <c r="A1185">
        <v>1189</v>
      </c>
      <c r="B1185" t="s">
        <v>1338</v>
      </c>
      <c r="C1185" t="s">
        <v>102</v>
      </c>
      <c r="D1185" t="s">
        <v>22</v>
      </c>
      <c r="E1185" t="s">
        <v>103</v>
      </c>
      <c r="F1185">
        <v>12081</v>
      </c>
      <c r="G1185">
        <v>19</v>
      </c>
      <c r="H1185">
        <v>14376</v>
      </c>
      <c r="I1185" t="s">
        <v>24</v>
      </c>
      <c r="J1185" t="s">
        <v>25</v>
      </c>
      <c r="K1185">
        <v>0</v>
      </c>
      <c r="L1185">
        <v>0</v>
      </c>
      <c r="M1185" t="s">
        <v>25</v>
      </c>
      <c r="N1185" t="s">
        <v>25</v>
      </c>
      <c r="O1185" t="s">
        <v>26</v>
      </c>
      <c r="P1185" t="s">
        <v>25</v>
      </c>
      <c r="Q1185" t="s">
        <v>27</v>
      </c>
      <c r="R1185" t="s">
        <v>28</v>
      </c>
    </row>
    <row r="1186" spans="1:18">
      <c r="A1186">
        <v>1190</v>
      </c>
      <c r="B1186" t="s">
        <v>1339</v>
      </c>
      <c r="C1186" t="s">
        <v>102</v>
      </c>
      <c r="D1186" t="s">
        <v>22</v>
      </c>
      <c r="E1186" t="s">
        <v>103</v>
      </c>
      <c r="F1186">
        <v>12081</v>
      </c>
      <c r="G1186">
        <v>19</v>
      </c>
      <c r="H1186">
        <v>14376</v>
      </c>
      <c r="I1186" t="s">
        <v>24</v>
      </c>
      <c r="J1186" t="s">
        <v>25</v>
      </c>
      <c r="K1186">
        <v>0</v>
      </c>
      <c r="L1186">
        <v>0</v>
      </c>
      <c r="M1186" t="s">
        <v>25</v>
      </c>
      <c r="N1186" t="s">
        <v>25</v>
      </c>
      <c r="O1186" t="s">
        <v>26</v>
      </c>
      <c r="P1186" t="s">
        <v>25</v>
      </c>
      <c r="Q1186" t="s">
        <v>27</v>
      </c>
      <c r="R1186" t="s">
        <v>28</v>
      </c>
    </row>
    <row r="1187" spans="1:18">
      <c r="A1187">
        <v>1191</v>
      </c>
      <c r="B1187" t="s">
        <v>1340</v>
      </c>
      <c r="C1187" t="s">
        <v>102</v>
      </c>
      <c r="D1187" t="s">
        <v>22</v>
      </c>
      <c r="E1187" t="s">
        <v>103</v>
      </c>
      <c r="F1187">
        <v>9098</v>
      </c>
      <c r="G1187">
        <v>19</v>
      </c>
      <c r="H1187">
        <v>10827</v>
      </c>
      <c r="I1187" t="s">
        <v>24</v>
      </c>
      <c r="J1187" t="s">
        <v>25</v>
      </c>
      <c r="K1187">
        <v>0</v>
      </c>
      <c r="L1187">
        <v>0</v>
      </c>
      <c r="M1187" t="s">
        <v>25</v>
      </c>
      <c r="N1187" t="s">
        <v>25</v>
      </c>
      <c r="O1187" t="s">
        <v>26</v>
      </c>
      <c r="P1187" t="s">
        <v>25</v>
      </c>
      <c r="Q1187" t="s">
        <v>27</v>
      </c>
      <c r="R1187" t="s">
        <v>28</v>
      </c>
    </row>
    <row r="1188" spans="1:18">
      <c r="A1188">
        <v>1192</v>
      </c>
      <c r="B1188" t="s">
        <v>1341</v>
      </c>
      <c r="C1188" t="s">
        <v>102</v>
      </c>
      <c r="D1188" t="s">
        <v>22</v>
      </c>
      <c r="E1188" t="s">
        <v>103</v>
      </c>
      <c r="F1188">
        <v>9319</v>
      </c>
      <c r="G1188">
        <v>19</v>
      </c>
      <c r="H1188">
        <v>11090</v>
      </c>
      <c r="I1188" t="s">
        <v>24</v>
      </c>
      <c r="J1188" t="s">
        <v>25</v>
      </c>
      <c r="K1188">
        <v>0</v>
      </c>
      <c r="L1188">
        <v>0</v>
      </c>
      <c r="M1188" t="s">
        <v>25</v>
      </c>
      <c r="N1188" t="s">
        <v>25</v>
      </c>
      <c r="O1188" t="s">
        <v>26</v>
      </c>
      <c r="P1188" t="s">
        <v>25</v>
      </c>
      <c r="Q1188" t="s">
        <v>27</v>
      </c>
      <c r="R1188" t="s">
        <v>28</v>
      </c>
    </row>
    <row r="1189" spans="1:18">
      <c r="A1189">
        <v>1193</v>
      </c>
      <c r="B1189" t="s">
        <v>1342</v>
      </c>
      <c r="C1189" t="s">
        <v>102</v>
      </c>
      <c r="D1189" t="s">
        <v>22</v>
      </c>
      <c r="E1189" t="s">
        <v>103</v>
      </c>
      <c r="F1189">
        <v>7277</v>
      </c>
      <c r="G1189">
        <v>19</v>
      </c>
      <c r="H1189">
        <v>8660</v>
      </c>
      <c r="I1189" t="s">
        <v>24</v>
      </c>
      <c r="J1189" t="s">
        <v>25</v>
      </c>
      <c r="K1189">
        <v>0</v>
      </c>
      <c r="L1189">
        <v>0</v>
      </c>
      <c r="M1189" t="s">
        <v>25</v>
      </c>
      <c r="N1189" t="s">
        <v>25</v>
      </c>
      <c r="O1189" t="s">
        <v>26</v>
      </c>
      <c r="P1189" t="s">
        <v>25</v>
      </c>
      <c r="Q1189" t="s">
        <v>27</v>
      </c>
      <c r="R1189" t="s">
        <v>28</v>
      </c>
    </row>
    <row r="1190" spans="1:18">
      <c r="A1190">
        <v>1194</v>
      </c>
      <c r="B1190" t="s">
        <v>1343</v>
      </c>
      <c r="C1190" t="s">
        <v>102</v>
      </c>
      <c r="D1190" t="s">
        <v>22</v>
      </c>
      <c r="E1190" t="s">
        <v>103</v>
      </c>
      <c r="F1190">
        <v>18605</v>
      </c>
      <c r="G1190">
        <v>19</v>
      </c>
      <c r="H1190">
        <v>22140</v>
      </c>
      <c r="I1190" t="s">
        <v>24</v>
      </c>
      <c r="J1190" t="s">
        <v>25</v>
      </c>
      <c r="K1190">
        <v>0</v>
      </c>
      <c r="L1190">
        <v>0</v>
      </c>
      <c r="M1190" t="s">
        <v>25</v>
      </c>
      <c r="N1190" t="s">
        <v>25</v>
      </c>
      <c r="O1190" t="s">
        <v>26</v>
      </c>
      <c r="P1190" t="s">
        <v>25</v>
      </c>
      <c r="Q1190" t="s">
        <v>27</v>
      </c>
      <c r="R1190" t="s">
        <v>28</v>
      </c>
    </row>
    <row r="1191" spans="1:18">
      <c r="A1191">
        <v>1195</v>
      </c>
      <c r="B1191" t="s">
        <v>1344</v>
      </c>
      <c r="C1191" t="s">
        <v>102</v>
      </c>
      <c r="D1191" t="s">
        <v>22</v>
      </c>
      <c r="E1191" t="s">
        <v>103</v>
      </c>
      <c r="F1191">
        <v>3189</v>
      </c>
      <c r="G1191">
        <v>19</v>
      </c>
      <c r="H1191">
        <v>3795</v>
      </c>
      <c r="I1191" t="s">
        <v>24</v>
      </c>
      <c r="J1191" t="s">
        <v>25</v>
      </c>
      <c r="K1191">
        <v>0</v>
      </c>
      <c r="L1191">
        <v>0</v>
      </c>
      <c r="M1191" t="s">
        <v>25</v>
      </c>
      <c r="N1191" t="s">
        <v>25</v>
      </c>
      <c r="O1191" t="s">
        <v>26</v>
      </c>
      <c r="P1191" t="s">
        <v>25</v>
      </c>
      <c r="Q1191" t="s">
        <v>27</v>
      </c>
      <c r="R1191" t="s">
        <v>28</v>
      </c>
    </row>
    <row r="1192" spans="1:18">
      <c r="A1192">
        <v>1196</v>
      </c>
      <c r="B1192" t="s">
        <v>1345</v>
      </c>
      <c r="C1192" t="s">
        <v>102</v>
      </c>
      <c r="D1192" t="s">
        <v>22</v>
      </c>
      <c r="E1192" t="s">
        <v>103</v>
      </c>
      <c r="F1192">
        <v>5586</v>
      </c>
      <c r="G1192">
        <v>19</v>
      </c>
      <c r="H1192">
        <v>6647</v>
      </c>
      <c r="I1192" t="s">
        <v>24</v>
      </c>
      <c r="J1192" t="s">
        <v>25</v>
      </c>
      <c r="K1192">
        <v>0</v>
      </c>
      <c r="L1192">
        <v>0</v>
      </c>
      <c r="M1192" t="s">
        <v>25</v>
      </c>
      <c r="N1192" t="s">
        <v>25</v>
      </c>
      <c r="O1192" t="s">
        <v>26</v>
      </c>
      <c r="P1192" t="s">
        <v>25</v>
      </c>
      <c r="Q1192" t="s">
        <v>27</v>
      </c>
      <c r="R1192" t="s">
        <v>28</v>
      </c>
    </row>
    <row r="1193" spans="1:18">
      <c r="A1193">
        <v>1197</v>
      </c>
      <c r="B1193" t="s">
        <v>1346</v>
      </c>
      <c r="C1193" t="s">
        <v>102</v>
      </c>
      <c r="D1193" t="s">
        <v>22</v>
      </c>
      <c r="E1193" t="s">
        <v>103</v>
      </c>
      <c r="F1193">
        <v>16569</v>
      </c>
      <c r="G1193">
        <v>19</v>
      </c>
      <c r="H1193">
        <v>19717</v>
      </c>
      <c r="I1193" t="s">
        <v>24</v>
      </c>
      <c r="J1193" t="s">
        <v>25</v>
      </c>
      <c r="K1193">
        <v>0</v>
      </c>
      <c r="L1193">
        <v>0</v>
      </c>
      <c r="M1193" t="s">
        <v>25</v>
      </c>
      <c r="N1193" t="s">
        <v>25</v>
      </c>
      <c r="O1193" t="s">
        <v>26</v>
      </c>
      <c r="P1193" t="s">
        <v>25</v>
      </c>
      <c r="Q1193" t="s">
        <v>27</v>
      </c>
      <c r="R1193" t="s">
        <v>28</v>
      </c>
    </row>
    <row r="1194" spans="1:18">
      <c r="A1194">
        <v>1198</v>
      </c>
      <c r="B1194" t="s">
        <v>1347</v>
      </c>
      <c r="C1194" t="s">
        <v>102</v>
      </c>
      <c r="D1194" t="s">
        <v>22</v>
      </c>
      <c r="E1194" t="s">
        <v>103</v>
      </c>
      <c r="F1194">
        <v>7522</v>
      </c>
      <c r="G1194">
        <v>19</v>
      </c>
      <c r="H1194">
        <v>8951</v>
      </c>
      <c r="I1194" t="s">
        <v>24</v>
      </c>
      <c r="J1194" t="s">
        <v>25</v>
      </c>
      <c r="K1194">
        <v>0</v>
      </c>
      <c r="L1194">
        <v>0</v>
      </c>
      <c r="M1194" t="s">
        <v>25</v>
      </c>
      <c r="N1194" t="s">
        <v>25</v>
      </c>
      <c r="O1194" t="s">
        <v>26</v>
      </c>
      <c r="P1194" t="s">
        <v>25</v>
      </c>
      <c r="Q1194" t="s">
        <v>27</v>
      </c>
      <c r="R1194" t="s">
        <v>28</v>
      </c>
    </row>
    <row r="1195" spans="1:18">
      <c r="A1195">
        <v>1199</v>
      </c>
      <c r="B1195" t="s">
        <v>1348</v>
      </c>
      <c r="C1195" t="s">
        <v>102</v>
      </c>
      <c r="D1195" t="s">
        <v>22</v>
      </c>
      <c r="E1195" t="s">
        <v>103</v>
      </c>
      <c r="F1195">
        <v>7551</v>
      </c>
      <c r="G1195">
        <v>19</v>
      </c>
      <c r="H1195">
        <v>8986</v>
      </c>
      <c r="I1195" t="s">
        <v>24</v>
      </c>
      <c r="J1195" t="s">
        <v>25</v>
      </c>
      <c r="K1195">
        <v>0</v>
      </c>
      <c r="L1195">
        <v>0</v>
      </c>
      <c r="M1195" t="s">
        <v>25</v>
      </c>
      <c r="N1195" t="s">
        <v>25</v>
      </c>
      <c r="O1195" t="s">
        <v>26</v>
      </c>
      <c r="P1195" t="s">
        <v>25</v>
      </c>
      <c r="Q1195" t="s">
        <v>27</v>
      </c>
      <c r="R1195" t="s">
        <v>28</v>
      </c>
    </row>
    <row r="1196" spans="1:18">
      <c r="A1196">
        <v>1200</v>
      </c>
      <c r="B1196" t="s">
        <v>1349</v>
      </c>
      <c r="C1196" t="s">
        <v>102</v>
      </c>
      <c r="D1196" t="s">
        <v>22</v>
      </c>
      <c r="E1196" t="s">
        <v>103</v>
      </c>
      <c r="F1196">
        <v>13904</v>
      </c>
      <c r="G1196">
        <v>19</v>
      </c>
      <c r="H1196">
        <v>16546</v>
      </c>
      <c r="I1196" t="s">
        <v>24</v>
      </c>
      <c r="J1196" t="s">
        <v>25</v>
      </c>
      <c r="K1196">
        <v>0</v>
      </c>
      <c r="L1196">
        <v>0</v>
      </c>
      <c r="M1196" t="s">
        <v>25</v>
      </c>
      <c r="N1196" t="s">
        <v>25</v>
      </c>
      <c r="O1196" t="s">
        <v>26</v>
      </c>
      <c r="P1196" t="s">
        <v>25</v>
      </c>
      <c r="Q1196" t="s">
        <v>27</v>
      </c>
      <c r="R1196" t="s">
        <v>28</v>
      </c>
    </row>
    <row r="1197" spans="1:18">
      <c r="A1197">
        <v>1201</v>
      </c>
      <c r="B1197" t="s">
        <v>1350</v>
      </c>
      <c r="C1197" t="s">
        <v>102</v>
      </c>
      <c r="D1197" t="s">
        <v>22</v>
      </c>
      <c r="E1197" t="s">
        <v>103</v>
      </c>
      <c r="F1197">
        <v>18028</v>
      </c>
      <c r="G1197">
        <v>19</v>
      </c>
      <c r="H1197">
        <v>21453</v>
      </c>
      <c r="I1197" t="s">
        <v>24</v>
      </c>
      <c r="J1197" t="s">
        <v>25</v>
      </c>
      <c r="K1197">
        <v>0</v>
      </c>
      <c r="L1197">
        <v>0</v>
      </c>
      <c r="M1197" t="s">
        <v>25</v>
      </c>
      <c r="N1197" t="s">
        <v>25</v>
      </c>
      <c r="O1197" t="s">
        <v>26</v>
      </c>
      <c r="P1197" t="s">
        <v>25</v>
      </c>
      <c r="Q1197" t="s">
        <v>27</v>
      </c>
      <c r="R1197" t="s">
        <v>28</v>
      </c>
    </row>
    <row r="1198" spans="1:18">
      <c r="A1198">
        <v>1202</v>
      </c>
      <c r="B1198" t="s">
        <v>1351</v>
      </c>
      <c r="C1198" t="s">
        <v>102</v>
      </c>
      <c r="D1198" t="s">
        <v>22</v>
      </c>
      <c r="E1198" t="s">
        <v>103</v>
      </c>
      <c r="F1198">
        <v>1147</v>
      </c>
      <c r="G1198">
        <v>19</v>
      </c>
      <c r="H1198">
        <v>1365</v>
      </c>
      <c r="I1198" t="s">
        <v>24</v>
      </c>
      <c r="J1198" t="s">
        <v>25</v>
      </c>
      <c r="K1198">
        <v>0</v>
      </c>
      <c r="L1198">
        <v>0</v>
      </c>
      <c r="M1198" t="s">
        <v>25</v>
      </c>
      <c r="N1198" t="s">
        <v>25</v>
      </c>
      <c r="O1198" t="s">
        <v>26</v>
      </c>
      <c r="P1198" t="s">
        <v>25</v>
      </c>
      <c r="Q1198" t="s">
        <v>27</v>
      </c>
      <c r="R1198" t="s">
        <v>28</v>
      </c>
    </row>
    <row r="1199" spans="1:18">
      <c r="A1199">
        <v>1203</v>
      </c>
      <c r="B1199" t="s">
        <v>1352</v>
      </c>
      <c r="C1199" t="s">
        <v>102</v>
      </c>
      <c r="D1199" t="s">
        <v>22</v>
      </c>
      <c r="E1199" t="s">
        <v>103</v>
      </c>
      <c r="F1199">
        <v>1147</v>
      </c>
      <c r="G1199">
        <v>19</v>
      </c>
      <c r="H1199">
        <v>1365</v>
      </c>
      <c r="I1199" t="s">
        <v>24</v>
      </c>
      <c r="J1199" t="s">
        <v>25</v>
      </c>
      <c r="K1199">
        <v>0</v>
      </c>
      <c r="L1199">
        <v>0</v>
      </c>
      <c r="M1199" t="s">
        <v>25</v>
      </c>
      <c r="N1199" t="s">
        <v>25</v>
      </c>
      <c r="O1199" t="s">
        <v>26</v>
      </c>
      <c r="P1199" t="s">
        <v>25</v>
      </c>
      <c r="Q1199" t="s">
        <v>27</v>
      </c>
      <c r="R1199" t="s">
        <v>28</v>
      </c>
    </row>
    <row r="1200" spans="1:18">
      <c r="A1200">
        <v>1204</v>
      </c>
      <c r="B1200" t="s">
        <v>1353</v>
      </c>
      <c r="C1200" t="s">
        <v>102</v>
      </c>
      <c r="D1200" t="s">
        <v>22</v>
      </c>
      <c r="E1200" t="s">
        <v>103</v>
      </c>
      <c r="F1200">
        <v>1561</v>
      </c>
      <c r="G1200">
        <v>19</v>
      </c>
      <c r="H1200">
        <v>1858</v>
      </c>
      <c r="I1200" t="s">
        <v>24</v>
      </c>
      <c r="J1200" t="s">
        <v>25</v>
      </c>
      <c r="K1200">
        <v>0</v>
      </c>
      <c r="L1200">
        <v>0</v>
      </c>
      <c r="M1200" t="s">
        <v>25</v>
      </c>
      <c r="N1200" t="s">
        <v>25</v>
      </c>
      <c r="O1200" t="s">
        <v>26</v>
      </c>
      <c r="P1200" t="s">
        <v>25</v>
      </c>
      <c r="Q1200" t="s">
        <v>27</v>
      </c>
      <c r="R1200" t="s">
        <v>28</v>
      </c>
    </row>
    <row r="1201" spans="1:18">
      <c r="A1201">
        <v>1205</v>
      </c>
      <c r="B1201" t="s">
        <v>1354</v>
      </c>
      <c r="C1201" t="s">
        <v>102</v>
      </c>
      <c r="D1201" t="s">
        <v>22</v>
      </c>
      <c r="E1201" t="s">
        <v>103</v>
      </c>
      <c r="F1201">
        <v>2863</v>
      </c>
      <c r="G1201">
        <v>19</v>
      </c>
      <c r="H1201">
        <v>3407</v>
      </c>
      <c r="I1201" t="s">
        <v>24</v>
      </c>
      <c r="J1201" t="s">
        <v>25</v>
      </c>
      <c r="K1201">
        <v>0</v>
      </c>
      <c r="L1201">
        <v>0</v>
      </c>
      <c r="M1201" t="s">
        <v>25</v>
      </c>
      <c r="N1201" t="s">
        <v>25</v>
      </c>
      <c r="O1201" t="s">
        <v>26</v>
      </c>
      <c r="P1201" t="s">
        <v>25</v>
      </c>
      <c r="Q1201" t="s">
        <v>27</v>
      </c>
      <c r="R1201" t="s">
        <v>28</v>
      </c>
    </row>
    <row r="1202" spans="1:18">
      <c r="A1202">
        <v>1206</v>
      </c>
      <c r="B1202" t="s">
        <v>1355</v>
      </c>
      <c r="C1202" t="s">
        <v>102</v>
      </c>
      <c r="D1202" t="s">
        <v>22</v>
      </c>
      <c r="E1202" t="s">
        <v>103</v>
      </c>
      <c r="F1202">
        <v>2669</v>
      </c>
      <c r="G1202">
        <v>19</v>
      </c>
      <c r="H1202">
        <v>3176</v>
      </c>
      <c r="I1202" t="s">
        <v>24</v>
      </c>
      <c r="J1202" t="s">
        <v>25</v>
      </c>
      <c r="K1202">
        <v>0</v>
      </c>
      <c r="L1202">
        <v>0</v>
      </c>
      <c r="M1202" t="s">
        <v>25</v>
      </c>
      <c r="N1202" t="s">
        <v>25</v>
      </c>
      <c r="O1202" t="s">
        <v>26</v>
      </c>
      <c r="P1202" t="s">
        <v>25</v>
      </c>
      <c r="Q1202" t="s">
        <v>27</v>
      </c>
      <c r="R1202" t="s">
        <v>28</v>
      </c>
    </row>
    <row r="1203" spans="1:18">
      <c r="A1203">
        <v>1207</v>
      </c>
      <c r="B1203" t="s">
        <v>1356</v>
      </c>
      <c r="C1203" t="s">
        <v>102</v>
      </c>
      <c r="D1203" t="s">
        <v>22</v>
      </c>
      <c r="E1203" t="s">
        <v>103</v>
      </c>
      <c r="F1203">
        <v>2863</v>
      </c>
      <c r="G1203">
        <v>19</v>
      </c>
      <c r="H1203">
        <v>3407</v>
      </c>
      <c r="I1203" t="s">
        <v>24</v>
      </c>
      <c r="J1203" t="s">
        <v>25</v>
      </c>
      <c r="K1203">
        <v>0</v>
      </c>
      <c r="L1203">
        <v>0</v>
      </c>
      <c r="M1203" t="s">
        <v>25</v>
      </c>
      <c r="N1203" t="s">
        <v>25</v>
      </c>
      <c r="O1203" t="s">
        <v>26</v>
      </c>
      <c r="P1203" t="s">
        <v>25</v>
      </c>
      <c r="Q1203" t="s">
        <v>27</v>
      </c>
      <c r="R1203" t="s">
        <v>28</v>
      </c>
    </row>
    <row r="1204" spans="1:18">
      <c r="A1204">
        <v>1208</v>
      </c>
      <c r="B1204" t="s">
        <v>1357</v>
      </c>
      <c r="C1204" t="s">
        <v>102</v>
      </c>
      <c r="D1204" t="s">
        <v>22</v>
      </c>
      <c r="E1204" t="s">
        <v>103</v>
      </c>
      <c r="F1204">
        <v>2863</v>
      </c>
      <c r="G1204">
        <v>19</v>
      </c>
      <c r="H1204">
        <v>3407</v>
      </c>
      <c r="I1204" t="s">
        <v>24</v>
      </c>
      <c r="J1204" t="s">
        <v>25</v>
      </c>
      <c r="K1204">
        <v>0</v>
      </c>
      <c r="L1204">
        <v>0</v>
      </c>
      <c r="M1204" t="s">
        <v>25</v>
      </c>
      <c r="N1204" t="s">
        <v>25</v>
      </c>
      <c r="O1204" t="s">
        <v>26</v>
      </c>
      <c r="P1204" t="s">
        <v>25</v>
      </c>
      <c r="Q1204" t="s">
        <v>27</v>
      </c>
      <c r="R1204" t="s">
        <v>28</v>
      </c>
    </row>
    <row r="1205" spans="1:18">
      <c r="A1205">
        <v>1209</v>
      </c>
      <c r="B1205" t="s">
        <v>1358</v>
      </c>
      <c r="C1205" t="s">
        <v>102</v>
      </c>
      <c r="D1205" t="s">
        <v>22</v>
      </c>
      <c r="E1205" t="s">
        <v>103</v>
      </c>
      <c r="F1205">
        <v>4018</v>
      </c>
      <c r="G1205">
        <v>19</v>
      </c>
      <c r="H1205">
        <v>4781</v>
      </c>
      <c r="I1205" t="s">
        <v>24</v>
      </c>
      <c r="J1205" t="s">
        <v>25</v>
      </c>
      <c r="K1205">
        <v>0</v>
      </c>
      <c r="L1205">
        <v>0</v>
      </c>
      <c r="M1205" t="s">
        <v>25</v>
      </c>
      <c r="N1205" t="s">
        <v>25</v>
      </c>
      <c r="O1205" t="s">
        <v>26</v>
      </c>
      <c r="P1205" t="s">
        <v>25</v>
      </c>
      <c r="Q1205" t="s">
        <v>27</v>
      </c>
      <c r="R1205" t="s">
        <v>28</v>
      </c>
    </row>
    <row r="1206" spans="1:18">
      <c r="A1206">
        <v>1210</v>
      </c>
      <c r="B1206" t="s">
        <v>1359</v>
      </c>
      <c r="C1206" t="s">
        <v>102</v>
      </c>
      <c r="D1206" t="s">
        <v>22</v>
      </c>
      <c r="E1206" t="s">
        <v>103</v>
      </c>
      <c r="F1206">
        <v>1533</v>
      </c>
      <c r="G1206">
        <v>19</v>
      </c>
      <c r="H1206">
        <v>1824</v>
      </c>
      <c r="I1206" t="s">
        <v>24</v>
      </c>
      <c r="J1206" t="s">
        <v>25</v>
      </c>
      <c r="K1206">
        <v>0</v>
      </c>
      <c r="L1206">
        <v>0</v>
      </c>
      <c r="M1206" t="s">
        <v>25</v>
      </c>
      <c r="N1206" t="s">
        <v>25</v>
      </c>
      <c r="O1206" t="s">
        <v>26</v>
      </c>
      <c r="P1206" t="s">
        <v>25</v>
      </c>
      <c r="Q1206" t="s">
        <v>27</v>
      </c>
      <c r="R1206" t="s">
        <v>28</v>
      </c>
    </row>
    <row r="1207" spans="1:18">
      <c r="A1207">
        <v>1211</v>
      </c>
      <c r="B1207" t="s">
        <v>1360</v>
      </c>
      <c r="C1207" t="s">
        <v>102</v>
      </c>
      <c r="D1207" t="s">
        <v>22</v>
      </c>
      <c r="E1207" t="s">
        <v>103</v>
      </c>
      <c r="F1207">
        <v>14500</v>
      </c>
      <c r="G1207">
        <v>19</v>
      </c>
      <c r="H1207">
        <v>17255</v>
      </c>
      <c r="I1207" t="s">
        <v>24</v>
      </c>
      <c r="J1207" t="s">
        <v>25</v>
      </c>
      <c r="K1207">
        <v>0</v>
      </c>
      <c r="L1207">
        <v>0</v>
      </c>
      <c r="M1207" t="s">
        <v>25</v>
      </c>
      <c r="N1207" t="s">
        <v>25</v>
      </c>
      <c r="O1207" t="s">
        <v>26</v>
      </c>
      <c r="P1207" t="s">
        <v>25</v>
      </c>
      <c r="Q1207" t="s">
        <v>27</v>
      </c>
      <c r="R1207" t="s">
        <v>28</v>
      </c>
    </row>
    <row r="1208" spans="1:18">
      <c r="A1208">
        <v>1212</v>
      </c>
      <c r="B1208" t="s">
        <v>1361</v>
      </c>
      <c r="C1208" t="s">
        <v>102</v>
      </c>
      <c r="D1208" t="s">
        <v>22</v>
      </c>
      <c r="E1208" t="s">
        <v>103</v>
      </c>
      <c r="F1208">
        <v>27067</v>
      </c>
      <c r="G1208">
        <v>19</v>
      </c>
      <c r="H1208">
        <v>32210</v>
      </c>
      <c r="I1208" t="s">
        <v>24</v>
      </c>
      <c r="J1208" t="s">
        <v>25</v>
      </c>
      <c r="K1208">
        <v>0</v>
      </c>
      <c r="L1208">
        <v>0</v>
      </c>
      <c r="M1208" t="s">
        <v>25</v>
      </c>
      <c r="N1208" t="s">
        <v>25</v>
      </c>
      <c r="O1208" t="s">
        <v>26</v>
      </c>
      <c r="P1208" t="s">
        <v>25</v>
      </c>
      <c r="Q1208" t="s">
        <v>27</v>
      </c>
      <c r="R1208" t="s">
        <v>28</v>
      </c>
    </row>
    <row r="1209" spans="1:18">
      <c r="A1209">
        <v>1213</v>
      </c>
      <c r="B1209" t="s">
        <v>1362</v>
      </c>
      <c r="C1209" t="s">
        <v>102</v>
      </c>
      <c r="D1209" t="s">
        <v>22</v>
      </c>
      <c r="E1209" t="s">
        <v>103</v>
      </c>
      <c r="F1209">
        <v>20085</v>
      </c>
      <c r="G1209">
        <v>19</v>
      </c>
      <c r="H1209">
        <v>23901</v>
      </c>
      <c r="I1209" t="s">
        <v>24</v>
      </c>
      <c r="J1209" t="s">
        <v>25</v>
      </c>
      <c r="K1209">
        <v>0</v>
      </c>
      <c r="L1209">
        <v>0</v>
      </c>
      <c r="M1209" t="s">
        <v>25</v>
      </c>
      <c r="N1209" t="s">
        <v>25</v>
      </c>
      <c r="O1209" t="s">
        <v>26</v>
      </c>
      <c r="P1209" t="s">
        <v>25</v>
      </c>
      <c r="Q1209" t="s">
        <v>27</v>
      </c>
      <c r="R1209" t="s">
        <v>28</v>
      </c>
    </row>
    <row r="1210" spans="1:18">
      <c r="A1210">
        <v>1214</v>
      </c>
      <c r="B1210" t="s">
        <v>1363</v>
      </c>
      <c r="C1210" t="s">
        <v>102</v>
      </c>
      <c r="D1210" t="s">
        <v>22</v>
      </c>
      <c r="E1210" t="s">
        <v>103</v>
      </c>
      <c r="F1210">
        <v>11810</v>
      </c>
      <c r="G1210">
        <v>19</v>
      </c>
      <c r="H1210">
        <v>14054</v>
      </c>
      <c r="I1210" t="s">
        <v>24</v>
      </c>
      <c r="J1210" t="s">
        <v>25</v>
      </c>
      <c r="K1210">
        <v>0</v>
      </c>
      <c r="L1210">
        <v>0</v>
      </c>
      <c r="M1210" t="s">
        <v>25</v>
      </c>
      <c r="N1210" t="s">
        <v>25</v>
      </c>
      <c r="O1210" t="s">
        <v>26</v>
      </c>
      <c r="P1210" t="s">
        <v>25</v>
      </c>
      <c r="Q1210" t="s">
        <v>27</v>
      </c>
      <c r="R1210" t="s">
        <v>28</v>
      </c>
    </row>
    <row r="1211" spans="1:18">
      <c r="A1211">
        <v>1215</v>
      </c>
      <c r="B1211" t="s">
        <v>1364</v>
      </c>
      <c r="C1211" t="s">
        <v>102</v>
      </c>
      <c r="D1211" t="s">
        <v>22</v>
      </c>
      <c r="E1211" t="s">
        <v>103</v>
      </c>
      <c r="F1211">
        <v>6926</v>
      </c>
      <c r="G1211">
        <v>19</v>
      </c>
      <c r="H1211">
        <v>8242</v>
      </c>
      <c r="I1211" t="s">
        <v>24</v>
      </c>
      <c r="J1211" t="s">
        <v>25</v>
      </c>
      <c r="K1211">
        <v>0</v>
      </c>
      <c r="L1211">
        <v>0</v>
      </c>
      <c r="M1211" t="s">
        <v>25</v>
      </c>
      <c r="N1211" t="s">
        <v>25</v>
      </c>
      <c r="O1211" t="s">
        <v>26</v>
      </c>
      <c r="P1211" t="s">
        <v>25</v>
      </c>
      <c r="Q1211" t="s">
        <v>27</v>
      </c>
      <c r="R1211" t="s">
        <v>28</v>
      </c>
    </row>
    <row r="1212" spans="1:18">
      <c r="A1212">
        <v>1216</v>
      </c>
      <c r="B1212" t="s">
        <v>1365</v>
      </c>
      <c r="C1212" t="s">
        <v>102</v>
      </c>
      <c r="D1212" t="s">
        <v>22</v>
      </c>
      <c r="E1212" t="s">
        <v>103</v>
      </c>
      <c r="F1212">
        <v>2676</v>
      </c>
      <c r="G1212">
        <v>19</v>
      </c>
      <c r="H1212">
        <v>3184</v>
      </c>
      <c r="I1212" t="s">
        <v>24</v>
      </c>
      <c r="J1212" t="s">
        <v>25</v>
      </c>
      <c r="K1212">
        <v>0</v>
      </c>
      <c r="L1212">
        <v>0</v>
      </c>
      <c r="M1212" t="s">
        <v>25</v>
      </c>
      <c r="N1212" t="s">
        <v>25</v>
      </c>
      <c r="O1212" t="s">
        <v>26</v>
      </c>
      <c r="P1212" t="s">
        <v>25</v>
      </c>
      <c r="Q1212" t="s">
        <v>27</v>
      </c>
      <c r="R1212" t="s">
        <v>28</v>
      </c>
    </row>
    <row r="1213" spans="1:18">
      <c r="A1213">
        <v>1217</v>
      </c>
      <c r="B1213" t="s">
        <v>1366</v>
      </c>
      <c r="C1213" t="s">
        <v>102</v>
      </c>
      <c r="D1213" t="s">
        <v>22</v>
      </c>
      <c r="E1213" t="s">
        <v>103</v>
      </c>
      <c r="F1213">
        <v>2655</v>
      </c>
      <c r="G1213">
        <v>19</v>
      </c>
      <c r="H1213">
        <v>3159</v>
      </c>
      <c r="I1213" t="s">
        <v>24</v>
      </c>
      <c r="J1213" t="s">
        <v>25</v>
      </c>
      <c r="K1213">
        <v>0</v>
      </c>
      <c r="L1213">
        <v>0</v>
      </c>
      <c r="M1213" t="s">
        <v>25</v>
      </c>
      <c r="N1213" t="s">
        <v>25</v>
      </c>
      <c r="O1213" t="s">
        <v>26</v>
      </c>
      <c r="P1213" t="s">
        <v>25</v>
      </c>
      <c r="Q1213" t="s">
        <v>27</v>
      </c>
      <c r="R1213" t="s">
        <v>28</v>
      </c>
    </row>
    <row r="1214" spans="1:18">
      <c r="A1214">
        <v>1218</v>
      </c>
      <c r="B1214" t="s">
        <v>1367</v>
      </c>
      <c r="C1214" t="s">
        <v>102</v>
      </c>
      <c r="D1214" t="s">
        <v>22</v>
      </c>
      <c r="E1214" t="s">
        <v>103</v>
      </c>
      <c r="F1214">
        <v>38693</v>
      </c>
      <c r="G1214">
        <v>19</v>
      </c>
      <c r="H1214">
        <v>46045</v>
      </c>
      <c r="I1214" t="s">
        <v>24</v>
      </c>
      <c r="J1214" t="s">
        <v>25</v>
      </c>
      <c r="K1214">
        <v>0</v>
      </c>
      <c r="L1214">
        <v>0</v>
      </c>
      <c r="M1214" t="s">
        <v>25</v>
      </c>
      <c r="N1214" t="s">
        <v>25</v>
      </c>
      <c r="O1214" t="s">
        <v>26</v>
      </c>
      <c r="P1214" t="s">
        <v>25</v>
      </c>
      <c r="Q1214" t="s">
        <v>27</v>
      </c>
      <c r="R1214" t="s">
        <v>28</v>
      </c>
    </row>
    <row r="1215" spans="1:18">
      <c r="A1215">
        <v>1219</v>
      </c>
      <c r="B1215" t="s">
        <v>1368</v>
      </c>
      <c r="C1215" t="s">
        <v>102</v>
      </c>
      <c r="D1215" t="s">
        <v>22</v>
      </c>
      <c r="E1215" t="s">
        <v>103</v>
      </c>
      <c r="F1215">
        <v>10094</v>
      </c>
      <c r="G1215">
        <v>19</v>
      </c>
      <c r="H1215">
        <v>12012</v>
      </c>
      <c r="I1215" t="s">
        <v>24</v>
      </c>
      <c r="J1215" t="s">
        <v>25</v>
      </c>
      <c r="K1215">
        <v>0</v>
      </c>
      <c r="L1215">
        <v>0</v>
      </c>
      <c r="M1215" t="s">
        <v>25</v>
      </c>
      <c r="N1215" t="s">
        <v>25</v>
      </c>
      <c r="O1215" t="s">
        <v>26</v>
      </c>
      <c r="P1215" t="s">
        <v>25</v>
      </c>
      <c r="Q1215" t="s">
        <v>27</v>
      </c>
      <c r="R1215" t="s">
        <v>28</v>
      </c>
    </row>
    <row r="1216" spans="1:18">
      <c r="A1216">
        <v>1220</v>
      </c>
      <c r="B1216" t="s">
        <v>1369</v>
      </c>
      <c r="C1216" t="s">
        <v>102</v>
      </c>
      <c r="D1216" t="s">
        <v>22</v>
      </c>
      <c r="E1216" t="s">
        <v>103</v>
      </c>
      <c r="F1216">
        <v>10800</v>
      </c>
      <c r="G1216">
        <v>19</v>
      </c>
      <c r="H1216">
        <v>12852</v>
      </c>
      <c r="I1216" t="s">
        <v>24</v>
      </c>
      <c r="J1216" t="s">
        <v>25</v>
      </c>
      <c r="K1216">
        <v>0</v>
      </c>
      <c r="L1216">
        <v>0</v>
      </c>
      <c r="M1216" t="s">
        <v>25</v>
      </c>
      <c r="N1216" t="s">
        <v>25</v>
      </c>
      <c r="O1216" t="s">
        <v>26</v>
      </c>
      <c r="P1216" t="s">
        <v>25</v>
      </c>
      <c r="Q1216" t="s">
        <v>27</v>
      </c>
      <c r="R1216" t="s">
        <v>28</v>
      </c>
    </row>
    <row r="1217" spans="1:18">
      <c r="A1217">
        <v>1221</v>
      </c>
      <c r="B1217" t="s">
        <v>1370</v>
      </c>
      <c r="C1217" t="s">
        <v>102</v>
      </c>
      <c r="D1217" t="s">
        <v>22</v>
      </c>
      <c r="E1217" t="s">
        <v>103</v>
      </c>
      <c r="F1217">
        <v>7413</v>
      </c>
      <c r="G1217">
        <v>19</v>
      </c>
      <c r="H1217">
        <v>8821</v>
      </c>
      <c r="I1217" t="s">
        <v>24</v>
      </c>
      <c r="J1217" t="s">
        <v>25</v>
      </c>
      <c r="K1217">
        <v>0</v>
      </c>
      <c r="L1217">
        <v>0</v>
      </c>
      <c r="M1217" t="s">
        <v>25</v>
      </c>
      <c r="N1217" t="s">
        <v>25</v>
      </c>
      <c r="O1217" t="s">
        <v>26</v>
      </c>
      <c r="P1217" t="s">
        <v>25</v>
      </c>
      <c r="Q1217" t="s">
        <v>27</v>
      </c>
      <c r="R1217" t="s">
        <v>28</v>
      </c>
    </row>
    <row r="1218" spans="1:18">
      <c r="A1218">
        <v>1222</v>
      </c>
      <c r="B1218" t="s">
        <v>1371</v>
      </c>
      <c r="C1218" t="s">
        <v>102</v>
      </c>
      <c r="D1218" t="s">
        <v>22</v>
      </c>
      <c r="E1218" t="s">
        <v>103</v>
      </c>
      <c r="F1218">
        <v>9554</v>
      </c>
      <c r="G1218">
        <v>19</v>
      </c>
      <c r="H1218">
        <v>11369</v>
      </c>
      <c r="I1218" t="s">
        <v>24</v>
      </c>
      <c r="J1218" t="s">
        <v>25</v>
      </c>
      <c r="K1218">
        <v>0</v>
      </c>
      <c r="L1218">
        <v>0</v>
      </c>
      <c r="M1218" t="s">
        <v>25</v>
      </c>
      <c r="N1218" t="s">
        <v>25</v>
      </c>
      <c r="O1218" t="s">
        <v>26</v>
      </c>
      <c r="P1218" t="s">
        <v>25</v>
      </c>
      <c r="Q1218" t="s">
        <v>27</v>
      </c>
      <c r="R1218" t="s">
        <v>28</v>
      </c>
    </row>
    <row r="1219" spans="1:18">
      <c r="A1219">
        <v>1223</v>
      </c>
      <c r="B1219" t="s">
        <v>1372</v>
      </c>
      <c r="C1219" t="s">
        <v>102</v>
      </c>
      <c r="D1219" t="s">
        <v>22</v>
      </c>
      <c r="E1219" t="s">
        <v>103</v>
      </c>
      <c r="F1219">
        <v>31993</v>
      </c>
      <c r="G1219">
        <v>19</v>
      </c>
      <c r="H1219">
        <v>38072</v>
      </c>
      <c r="I1219" t="s">
        <v>24</v>
      </c>
      <c r="J1219" t="s">
        <v>25</v>
      </c>
      <c r="K1219">
        <v>0</v>
      </c>
      <c r="L1219">
        <v>0</v>
      </c>
      <c r="M1219" t="s">
        <v>25</v>
      </c>
      <c r="N1219" t="s">
        <v>25</v>
      </c>
      <c r="O1219" t="s">
        <v>26</v>
      </c>
      <c r="P1219" t="s">
        <v>25</v>
      </c>
      <c r="Q1219" t="s">
        <v>27</v>
      </c>
      <c r="R1219" t="s">
        <v>28</v>
      </c>
    </row>
    <row r="1220" spans="1:18">
      <c r="A1220">
        <v>1224</v>
      </c>
      <c r="B1220" t="s">
        <v>1373</v>
      </c>
      <c r="C1220" t="s">
        <v>102</v>
      </c>
      <c r="D1220" t="s">
        <v>22</v>
      </c>
      <c r="E1220" t="s">
        <v>103</v>
      </c>
      <c r="F1220">
        <v>5111</v>
      </c>
      <c r="G1220">
        <v>19</v>
      </c>
      <c r="H1220">
        <v>6082</v>
      </c>
      <c r="I1220" t="s">
        <v>24</v>
      </c>
      <c r="J1220" t="s">
        <v>25</v>
      </c>
      <c r="K1220">
        <v>0</v>
      </c>
      <c r="L1220">
        <v>0</v>
      </c>
      <c r="M1220" t="s">
        <v>25</v>
      </c>
      <c r="N1220" t="s">
        <v>25</v>
      </c>
      <c r="O1220" t="s">
        <v>26</v>
      </c>
      <c r="P1220" t="s">
        <v>25</v>
      </c>
      <c r="Q1220" t="s">
        <v>27</v>
      </c>
      <c r="R1220" t="s">
        <v>28</v>
      </c>
    </row>
    <row r="1221" spans="1:18">
      <c r="A1221">
        <v>1225</v>
      </c>
      <c r="B1221" t="s">
        <v>1374</v>
      </c>
      <c r="C1221" t="s">
        <v>102</v>
      </c>
      <c r="D1221" t="s">
        <v>22</v>
      </c>
      <c r="E1221" t="s">
        <v>103</v>
      </c>
      <c r="F1221">
        <v>16684</v>
      </c>
      <c r="G1221">
        <v>19</v>
      </c>
      <c r="H1221">
        <v>19854</v>
      </c>
      <c r="I1221" t="s">
        <v>24</v>
      </c>
      <c r="J1221" t="s">
        <v>25</v>
      </c>
      <c r="K1221">
        <v>0</v>
      </c>
      <c r="L1221">
        <v>0</v>
      </c>
      <c r="M1221" t="s">
        <v>25</v>
      </c>
      <c r="N1221" t="s">
        <v>25</v>
      </c>
      <c r="O1221" t="s">
        <v>26</v>
      </c>
      <c r="P1221" t="s">
        <v>25</v>
      </c>
      <c r="Q1221" t="s">
        <v>27</v>
      </c>
      <c r="R1221" t="s">
        <v>28</v>
      </c>
    </row>
    <row r="1222" spans="1:18">
      <c r="A1222">
        <v>1226</v>
      </c>
      <c r="B1222" t="s">
        <v>1375</v>
      </c>
      <c r="C1222" t="s">
        <v>102</v>
      </c>
      <c r="D1222" t="s">
        <v>22</v>
      </c>
      <c r="E1222" t="s">
        <v>103</v>
      </c>
      <c r="F1222">
        <v>10517</v>
      </c>
      <c r="G1222">
        <v>19</v>
      </c>
      <c r="H1222">
        <v>12515</v>
      </c>
      <c r="I1222" t="s">
        <v>24</v>
      </c>
      <c r="J1222" t="s">
        <v>25</v>
      </c>
      <c r="K1222">
        <v>0</v>
      </c>
      <c r="L1222">
        <v>0</v>
      </c>
      <c r="M1222" t="s">
        <v>25</v>
      </c>
      <c r="N1222" t="s">
        <v>25</v>
      </c>
      <c r="O1222" t="s">
        <v>26</v>
      </c>
      <c r="P1222" t="s">
        <v>25</v>
      </c>
      <c r="Q1222" t="s">
        <v>27</v>
      </c>
      <c r="R1222" t="s">
        <v>28</v>
      </c>
    </row>
    <row r="1223" spans="1:18">
      <c r="A1223">
        <v>1227</v>
      </c>
      <c r="B1223" t="s">
        <v>1376</v>
      </c>
      <c r="C1223" t="s">
        <v>102</v>
      </c>
      <c r="D1223" t="s">
        <v>22</v>
      </c>
      <c r="E1223" t="s">
        <v>103</v>
      </c>
      <c r="F1223">
        <v>31370</v>
      </c>
      <c r="G1223">
        <v>19</v>
      </c>
      <c r="H1223">
        <v>37330</v>
      </c>
      <c r="I1223" t="s">
        <v>24</v>
      </c>
      <c r="J1223" t="s">
        <v>25</v>
      </c>
      <c r="K1223">
        <v>0</v>
      </c>
      <c r="L1223">
        <v>0</v>
      </c>
      <c r="M1223" t="s">
        <v>25</v>
      </c>
      <c r="N1223" t="s">
        <v>25</v>
      </c>
      <c r="O1223" t="s">
        <v>26</v>
      </c>
      <c r="P1223" t="s">
        <v>25</v>
      </c>
      <c r="Q1223" t="s">
        <v>27</v>
      </c>
      <c r="R1223" t="s">
        <v>28</v>
      </c>
    </row>
    <row r="1224" spans="1:18">
      <c r="A1224">
        <v>1228</v>
      </c>
      <c r="B1224" t="s">
        <v>1377</v>
      </c>
      <c r="C1224" t="s">
        <v>102</v>
      </c>
      <c r="D1224" t="s">
        <v>22</v>
      </c>
      <c r="E1224" t="s">
        <v>103</v>
      </c>
      <c r="F1224">
        <v>3064</v>
      </c>
      <c r="G1224">
        <v>19</v>
      </c>
      <c r="H1224">
        <v>3646</v>
      </c>
      <c r="I1224" t="s">
        <v>24</v>
      </c>
      <c r="J1224" t="s">
        <v>25</v>
      </c>
      <c r="K1224">
        <v>0</v>
      </c>
      <c r="L1224">
        <v>0</v>
      </c>
      <c r="M1224" t="s">
        <v>25</v>
      </c>
      <c r="N1224" t="s">
        <v>25</v>
      </c>
      <c r="O1224" t="s">
        <v>26</v>
      </c>
      <c r="P1224" t="s">
        <v>25</v>
      </c>
      <c r="Q1224" t="s">
        <v>27</v>
      </c>
      <c r="R1224" t="s">
        <v>28</v>
      </c>
    </row>
    <row r="1225" spans="1:18">
      <c r="A1225">
        <v>1229</v>
      </c>
      <c r="B1225" t="s">
        <v>1378</v>
      </c>
      <c r="C1225" t="s">
        <v>102</v>
      </c>
      <c r="D1225" t="s">
        <v>22</v>
      </c>
      <c r="E1225" t="s">
        <v>103</v>
      </c>
      <c r="F1225">
        <v>13053</v>
      </c>
      <c r="G1225">
        <v>19</v>
      </c>
      <c r="H1225">
        <v>15533</v>
      </c>
      <c r="I1225" t="s">
        <v>24</v>
      </c>
      <c r="J1225" t="s">
        <v>25</v>
      </c>
      <c r="K1225">
        <v>0</v>
      </c>
      <c r="L1225">
        <v>0</v>
      </c>
      <c r="M1225" t="s">
        <v>25</v>
      </c>
      <c r="N1225" t="s">
        <v>25</v>
      </c>
      <c r="O1225" t="s">
        <v>26</v>
      </c>
      <c r="P1225" t="s">
        <v>25</v>
      </c>
      <c r="Q1225" t="s">
        <v>27</v>
      </c>
      <c r="R1225" t="s">
        <v>28</v>
      </c>
    </row>
    <row r="1226" spans="1:18">
      <c r="A1226">
        <v>1230</v>
      </c>
      <c r="B1226" t="s">
        <v>1379</v>
      </c>
      <c r="C1226" t="s">
        <v>102</v>
      </c>
      <c r="D1226" t="s">
        <v>22</v>
      </c>
      <c r="E1226" t="s">
        <v>103</v>
      </c>
      <c r="F1226">
        <v>39314</v>
      </c>
      <c r="G1226">
        <v>19</v>
      </c>
      <c r="H1226">
        <v>46784</v>
      </c>
      <c r="I1226" t="s">
        <v>24</v>
      </c>
      <c r="J1226" t="s">
        <v>25</v>
      </c>
      <c r="K1226">
        <v>0</v>
      </c>
      <c r="L1226">
        <v>0</v>
      </c>
      <c r="M1226" t="s">
        <v>25</v>
      </c>
      <c r="N1226" t="s">
        <v>25</v>
      </c>
      <c r="O1226" t="s">
        <v>26</v>
      </c>
      <c r="P1226" t="s">
        <v>25</v>
      </c>
      <c r="Q1226" t="s">
        <v>27</v>
      </c>
      <c r="R1226" t="s">
        <v>28</v>
      </c>
    </row>
    <row r="1227" spans="1:18">
      <c r="A1227">
        <v>1231</v>
      </c>
      <c r="B1227" t="s">
        <v>1380</v>
      </c>
      <c r="C1227" t="s">
        <v>102</v>
      </c>
      <c r="D1227" t="s">
        <v>22</v>
      </c>
      <c r="E1227" t="s">
        <v>103</v>
      </c>
      <c r="F1227">
        <v>13005</v>
      </c>
      <c r="G1227">
        <v>19</v>
      </c>
      <c r="H1227">
        <v>15476</v>
      </c>
      <c r="I1227" t="s">
        <v>24</v>
      </c>
      <c r="J1227" t="s">
        <v>25</v>
      </c>
      <c r="K1227">
        <v>0</v>
      </c>
      <c r="L1227">
        <v>0</v>
      </c>
      <c r="M1227" t="s">
        <v>25</v>
      </c>
      <c r="N1227" t="s">
        <v>25</v>
      </c>
      <c r="O1227" t="s">
        <v>26</v>
      </c>
      <c r="P1227" t="s">
        <v>25</v>
      </c>
      <c r="Q1227" t="s">
        <v>27</v>
      </c>
      <c r="R1227" t="s">
        <v>28</v>
      </c>
    </row>
    <row r="1228" spans="1:18">
      <c r="A1228">
        <v>1232</v>
      </c>
      <c r="B1228" t="s">
        <v>1381</v>
      </c>
      <c r="C1228" t="s">
        <v>102</v>
      </c>
      <c r="D1228" t="s">
        <v>22</v>
      </c>
      <c r="E1228" t="s">
        <v>103</v>
      </c>
      <c r="F1228">
        <v>4112</v>
      </c>
      <c r="G1228">
        <v>19</v>
      </c>
      <c r="H1228">
        <v>4893</v>
      </c>
      <c r="I1228" t="s">
        <v>24</v>
      </c>
      <c r="J1228" t="s">
        <v>25</v>
      </c>
      <c r="K1228">
        <v>0</v>
      </c>
      <c r="L1228">
        <v>0</v>
      </c>
      <c r="M1228" t="s">
        <v>25</v>
      </c>
      <c r="N1228" t="s">
        <v>25</v>
      </c>
      <c r="O1228" t="s">
        <v>26</v>
      </c>
      <c r="P1228" t="s">
        <v>25</v>
      </c>
      <c r="Q1228" t="s">
        <v>27</v>
      </c>
      <c r="R1228" t="s">
        <v>28</v>
      </c>
    </row>
    <row r="1229" spans="1:18">
      <c r="A1229">
        <v>1233</v>
      </c>
      <c r="B1229" t="s">
        <v>1382</v>
      </c>
      <c r="C1229" t="s">
        <v>102</v>
      </c>
      <c r="D1229" t="s">
        <v>22</v>
      </c>
      <c r="E1229" t="s">
        <v>103</v>
      </c>
      <c r="F1229">
        <v>3788</v>
      </c>
      <c r="G1229">
        <v>19</v>
      </c>
      <c r="H1229">
        <v>4508</v>
      </c>
      <c r="I1229" t="s">
        <v>24</v>
      </c>
      <c r="J1229" t="s">
        <v>25</v>
      </c>
      <c r="K1229">
        <v>0</v>
      </c>
      <c r="L1229">
        <v>0</v>
      </c>
      <c r="M1229" t="s">
        <v>25</v>
      </c>
      <c r="N1229" t="s">
        <v>25</v>
      </c>
      <c r="O1229" t="s">
        <v>26</v>
      </c>
      <c r="P1229" t="s">
        <v>25</v>
      </c>
      <c r="Q1229" t="s">
        <v>27</v>
      </c>
      <c r="R1229" t="s">
        <v>28</v>
      </c>
    </row>
    <row r="1230" spans="1:18">
      <c r="A1230">
        <v>1234</v>
      </c>
      <c r="B1230" t="s">
        <v>1383</v>
      </c>
      <c r="C1230" t="s">
        <v>102</v>
      </c>
      <c r="D1230" t="s">
        <v>22</v>
      </c>
      <c r="E1230" t="s">
        <v>103</v>
      </c>
      <c r="F1230">
        <v>2629</v>
      </c>
      <c r="G1230">
        <v>19</v>
      </c>
      <c r="H1230">
        <v>3129</v>
      </c>
      <c r="I1230" t="s">
        <v>24</v>
      </c>
      <c r="J1230" t="s">
        <v>25</v>
      </c>
      <c r="K1230">
        <v>0</v>
      </c>
      <c r="L1230">
        <v>0</v>
      </c>
      <c r="M1230" t="s">
        <v>25</v>
      </c>
      <c r="N1230" t="s">
        <v>25</v>
      </c>
      <c r="O1230" t="s">
        <v>26</v>
      </c>
      <c r="P1230" t="s">
        <v>25</v>
      </c>
      <c r="Q1230" t="s">
        <v>27</v>
      </c>
      <c r="R1230" t="s">
        <v>28</v>
      </c>
    </row>
    <row r="1231" spans="1:18">
      <c r="A1231">
        <v>1235</v>
      </c>
      <c r="B1231" t="s">
        <v>1384</v>
      </c>
      <c r="C1231" t="s">
        <v>102</v>
      </c>
      <c r="D1231" t="s">
        <v>22</v>
      </c>
      <c r="E1231" t="s">
        <v>103</v>
      </c>
      <c r="F1231">
        <v>20028</v>
      </c>
      <c r="G1231">
        <v>19</v>
      </c>
      <c r="H1231">
        <v>23833</v>
      </c>
      <c r="I1231" t="s">
        <v>24</v>
      </c>
      <c r="J1231" t="s">
        <v>25</v>
      </c>
      <c r="K1231">
        <v>0</v>
      </c>
      <c r="L1231">
        <v>0</v>
      </c>
      <c r="M1231" t="s">
        <v>25</v>
      </c>
      <c r="N1231" t="s">
        <v>25</v>
      </c>
      <c r="O1231" t="s">
        <v>26</v>
      </c>
      <c r="P1231" t="s">
        <v>25</v>
      </c>
      <c r="Q1231" t="s">
        <v>27</v>
      </c>
      <c r="R1231" t="s">
        <v>28</v>
      </c>
    </row>
    <row r="1232" spans="1:18">
      <c r="A1232">
        <v>1236</v>
      </c>
      <c r="B1232" t="s">
        <v>1385</v>
      </c>
      <c r="C1232" t="s">
        <v>102</v>
      </c>
      <c r="D1232" t="s">
        <v>22</v>
      </c>
      <c r="E1232" t="s">
        <v>103</v>
      </c>
      <c r="F1232">
        <v>826</v>
      </c>
      <c r="G1232">
        <v>19</v>
      </c>
      <c r="H1232">
        <v>983</v>
      </c>
      <c r="I1232" t="s">
        <v>24</v>
      </c>
      <c r="J1232" t="s">
        <v>25</v>
      </c>
      <c r="K1232">
        <v>0</v>
      </c>
      <c r="L1232">
        <v>0</v>
      </c>
      <c r="M1232" t="s">
        <v>25</v>
      </c>
      <c r="N1232" t="s">
        <v>25</v>
      </c>
      <c r="O1232" t="s">
        <v>26</v>
      </c>
      <c r="P1232" t="s">
        <v>25</v>
      </c>
      <c r="Q1232" t="s">
        <v>27</v>
      </c>
      <c r="R1232" t="s">
        <v>28</v>
      </c>
    </row>
    <row r="1233" spans="1:20">
      <c r="A1233">
        <v>1237</v>
      </c>
      <c r="B1233" t="s">
        <v>1386</v>
      </c>
      <c r="C1233" t="s">
        <v>102</v>
      </c>
      <c r="D1233" t="s">
        <v>22</v>
      </c>
      <c r="E1233" t="s">
        <v>103</v>
      </c>
      <c r="F1233">
        <v>94023</v>
      </c>
      <c r="G1233">
        <v>19</v>
      </c>
      <c r="H1233">
        <v>111887</v>
      </c>
      <c r="I1233" t="s">
        <v>24</v>
      </c>
      <c r="J1233" t="s">
        <v>25</v>
      </c>
      <c r="K1233">
        <v>0</v>
      </c>
      <c r="L1233">
        <v>0</v>
      </c>
      <c r="M1233" t="s">
        <v>25</v>
      </c>
      <c r="N1233" t="s">
        <v>25</v>
      </c>
      <c r="O1233" t="s">
        <v>26</v>
      </c>
      <c r="P1233" t="s">
        <v>25</v>
      </c>
      <c r="Q1233" t="s">
        <v>27</v>
      </c>
      <c r="R1233" t="s">
        <v>28</v>
      </c>
    </row>
    <row r="1234" spans="1:20">
      <c r="A1234">
        <v>1238</v>
      </c>
      <c r="B1234" t="s">
        <v>1387</v>
      </c>
      <c r="C1234" t="s">
        <v>102</v>
      </c>
      <c r="D1234" t="s">
        <v>22</v>
      </c>
      <c r="E1234" t="s">
        <v>103</v>
      </c>
      <c r="F1234">
        <v>2009</v>
      </c>
      <c r="G1234">
        <v>19</v>
      </c>
      <c r="H1234">
        <v>2391</v>
      </c>
      <c r="I1234" t="s">
        <v>24</v>
      </c>
      <c r="J1234" t="s">
        <v>25</v>
      </c>
      <c r="K1234">
        <v>0</v>
      </c>
      <c r="L1234">
        <v>0</v>
      </c>
      <c r="M1234" t="s">
        <v>25</v>
      </c>
      <c r="N1234" t="s">
        <v>25</v>
      </c>
      <c r="O1234" t="s">
        <v>26</v>
      </c>
      <c r="P1234" t="s">
        <v>25</v>
      </c>
      <c r="Q1234" t="s">
        <v>27</v>
      </c>
      <c r="R1234" t="s">
        <v>28</v>
      </c>
    </row>
    <row r="1235" spans="1:20">
      <c r="A1235">
        <v>1239</v>
      </c>
      <c r="B1235" t="s">
        <v>1388</v>
      </c>
      <c r="C1235" t="s">
        <v>102</v>
      </c>
      <c r="D1235" t="s">
        <v>22</v>
      </c>
      <c r="E1235" t="s">
        <v>103</v>
      </c>
      <c r="F1235">
        <v>5062</v>
      </c>
      <c r="G1235">
        <v>19</v>
      </c>
      <c r="H1235">
        <v>6024</v>
      </c>
      <c r="I1235" t="s">
        <v>24</v>
      </c>
      <c r="J1235" t="s">
        <v>25</v>
      </c>
      <c r="K1235">
        <v>0</v>
      </c>
      <c r="L1235">
        <v>0</v>
      </c>
      <c r="M1235" t="s">
        <v>25</v>
      </c>
      <c r="N1235" t="s">
        <v>25</v>
      </c>
      <c r="O1235" t="s">
        <v>26</v>
      </c>
      <c r="P1235" t="s">
        <v>25</v>
      </c>
      <c r="Q1235" t="s">
        <v>27</v>
      </c>
      <c r="R1235" t="s">
        <v>28</v>
      </c>
    </row>
    <row r="1236" spans="1:20">
      <c r="A1236">
        <v>1240</v>
      </c>
      <c r="B1236" t="s">
        <v>1389</v>
      </c>
      <c r="C1236" t="s">
        <v>102</v>
      </c>
      <c r="D1236" t="s">
        <v>22</v>
      </c>
      <c r="E1236" t="s">
        <v>103</v>
      </c>
      <c r="F1236">
        <v>8903</v>
      </c>
      <c r="G1236">
        <v>19</v>
      </c>
      <c r="H1236">
        <v>10595</v>
      </c>
      <c r="I1236" t="s">
        <v>24</v>
      </c>
      <c r="J1236" t="s">
        <v>25</v>
      </c>
      <c r="K1236">
        <v>0</v>
      </c>
      <c r="L1236">
        <v>0</v>
      </c>
      <c r="M1236" t="s">
        <v>25</v>
      </c>
      <c r="N1236" t="s">
        <v>25</v>
      </c>
      <c r="O1236" t="s">
        <v>26</v>
      </c>
      <c r="P1236" t="s">
        <v>25</v>
      </c>
      <c r="Q1236" t="s">
        <v>27</v>
      </c>
      <c r="R1236" t="s">
        <v>28</v>
      </c>
    </row>
    <row r="1237" spans="1:20">
      <c r="A1237">
        <v>1241</v>
      </c>
      <c r="B1237" t="s">
        <v>1390</v>
      </c>
      <c r="C1237" t="s">
        <v>102</v>
      </c>
      <c r="D1237" t="s">
        <v>22</v>
      </c>
      <c r="E1237" t="s">
        <v>103</v>
      </c>
      <c r="F1237">
        <v>9534</v>
      </c>
      <c r="G1237">
        <v>19</v>
      </c>
      <c r="H1237">
        <v>11345</v>
      </c>
      <c r="I1237" t="s">
        <v>24</v>
      </c>
      <c r="J1237" t="s">
        <v>25</v>
      </c>
      <c r="K1237">
        <v>0</v>
      </c>
      <c r="L1237">
        <v>0</v>
      </c>
      <c r="M1237" t="s">
        <v>25</v>
      </c>
      <c r="N1237" t="s">
        <v>25</v>
      </c>
      <c r="O1237" t="s">
        <v>26</v>
      </c>
      <c r="P1237" t="s">
        <v>25</v>
      </c>
      <c r="Q1237" t="s">
        <v>27</v>
      </c>
      <c r="R1237" t="s">
        <v>28</v>
      </c>
    </row>
    <row r="1238" spans="1:20">
      <c r="A1238">
        <v>1242</v>
      </c>
      <c r="B1238" t="s">
        <v>1391</v>
      </c>
      <c r="C1238" t="s">
        <v>102</v>
      </c>
      <c r="D1238" t="s">
        <v>22</v>
      </c>
      <c r="E1238" t="s">
        <v>103</v>
      </c>
      <c r="F1238">
        <v>8715</v>
      </c>
      <c r="G1238">
        <v>19</v>
      </c>
      <c r="H1238">
        <v>10371</v>
      </c>
      <c r="I1238" t="s">
        <v>24</v>
      </c>
      <c r="J1238" t="s">
        <v>25</v>
      </c>
      <c r="K1238">
        <v>0</v>
      </c>
      <c r="L1238">
        <v>0</v>
      </c>
      <c r="M1238" t="s">
        <v>25</v>
      </c>
      <c r="N1238" t="s">
        <v>25</v>
      </c>
      <c r="O1238" t="s">
        <v>26</v>
      </c>
      <c r="P1238" t="s">
        <v>25</v>
      </c>
      <c r="Q1238" t="s">
        <v>27</v>
      </c>
      <c r="R1238" t="s">
        <v>28</v>
      </c>
    </row>
    <row r="1239" spans="1:20">
      <c r="A1239">
        <v>1243</v>
      </c>
      <c r="B1239" t="s">
        <v>1392</v>
      </c>
      <c r="C1239" t="s">
        <v>102</v>
      </c>
      <c r="D1239" t="s">
        <v>22</v>
      </c>
      <c r="E1239" t="s">
        <v>103</v>
      </c>
      <c r="F1239">
        <v>11375</v>
      </c>
      <c r="G1239">
        <v>19</v>
      </c>
      <c r="H1239">
        <v>13536</v>
      </c>
      <c r="I1239" t="s">
        <v>24</v>
      </c>
      <c r="J1239" t="s">
        <v>25</v>
      </c>
      <c r="K1239">
        <v>0</v>
      </c>
      <c r="L1239">
        <v>0</v>
      </c>
      <c r="M1239" t="s">
        <v>25</v>
      </c>
      <c r="N1239" t="s">
        <v>25</v>
      </c>
      <c r="O1239" t="s">
        <v>26</v>
      </c>
      <c r="P1239" t="s">
        <v>25</v>
      </c>
      <c r="Q1239" t="s">
        <v>27</v>
      </c>
      <c r="R1239" t="s">
        <v>28</v>
      </c>
    </row>
    <row r="1240" spans="1:20">
      <c r="A1240">
        <v>1244</v>
      </c>
      <c r="B1240" t="s">
        <v>1393</v>
      </c>
      <c r="C1240" t="s">
        <v>102</v>
      </c>
      <c r="D1240" t="s">
        <v>22</v>
      </c>
      <c r="E1240" t="s">
        <v>103</v>
      </c>
      <c r="F1240">
        <v>21660</v>
      </c>
      <c r="G1240">
        <v>19</v>
      </c>
      <c r="H1240">
        <v>25775</v>
      </c>
      <c r="I1240" t="s">
        <v>24</v>
      </c>
      <c r="J1240" t="s">
        <v>25</v>
      </c>
      <c r="K1240">
        <v>0</v>
      </c>
      <c r="L1240">
        <v>0</v>
      </c>
      <c r="M1240" t="s">
        <v>25</v>
      </c>
      <c r="N1240" t="s">
        <v>25</v>
      </c>
      <c r="O1240" t="s">
        <v>26</v>
      </c>
      <c r="P1240" t="s">
        <v>25</v>
      </c>
      <c r="Q1240" t="s">
        <v>27</v>
      </c>
      <c r="R1240" t="s">
        <v>28</v>
      </c>
    </row>
    <row r="1241" spans="1:20">
      <c r="A1241">
        <v>1245</v>
      </c>
      <c r="B1241" t="s">
        <v>1394</v>
      </c>
      <c r="C1241" t="s">
        <v>102</v>
      </c>
      <c r="D1241" t="s">
        <v>22</v>
      </c>
      <c r="E1241" t="s">
        <v>103</v>
      </c>
      <c r="F1241">
        <v>15591</v>
      </c>
      <c r="G1241">
        <v>19</v>
      </c>
      <c r="H1241">
        <v>18553</v>
      </c>
      <c r="I1241" t="s">
        <v>24</v>
      </c>
      <c r="J1241" t="s">
        <v>25</v>
      </c>
      <c r="K1241">
        <v>0</v>
      </c>
      <c r="L1241">
        <v>0</v>
      </c>
      <c r="M1241" t="s">
        <v>25</v>
      </c>
      <c r="N1241" t="s">
        <v>25</v>
      </c>
      <c r="O1241" t="s">
        <v>26</v>
      </c>
      <c r="P1241" t="s">
        <v>25</v>
      </c>
      <c r="Q1241" t="s">
        <v>27</v>
      </c>
      <c r="R1241" t="s">
        <v>28</v>
      </c>
    </row>
    <row r="1242" spans="1:20">
      <c r="A1242">
        <v>1246</v>
      </c>
      <c r="B1242" t="s">
        <v>1395</v>
      </c>
      <c r="C1242" t="s">
        <v>102</v>
      </c>
      <c r="D1242" t="s">
        <v>22</v>
      </c>
      <c r="E1242" t="s">
        <v>103</v>
      </c>
      <c r="F1242">
        <v>7668</v>
      </c>
      <c r="G1242">
        <v>19</v>
      </c>
      <c r="H1242">
        <v>9125</v>
      </c>
      <c r="I1242" t="s">
        <v>24</v>
      </c>
      <c r="J1242" t="s">
        <v>25</v>
      </c>
      <c r="K1242">
        <v>0</v>
      </c>
      <c r="L1242">
        <v>0</v>
      </c>
      <c r="M1242" t="s">
        <v>25</v>
      </c>
      <c r="N1242" t="s">
        <v>25</v>
      </c>
      <c r="O1242" t="s">
        <v>26</v>
      </c>
      <c r="P1242" t="s">
        <v>25</v>
      </c>
      <c r="Q1242" t="s">
        <v>27</v>
      </c>
      <c r="R1242" t="s">
        <v>28</v>
      </c>
    </row>
    <row r="1243" spans="1:20">
      <c r="A1243">
        <v>1247</v>
      </c>
      <c r="B1243" t="s">
        <v>1396</v>
      </c>
      <c r="C1243" t="s">
        <v>102</v>
      </c>
      <c r="D1243" t="s">
        <v>22</v>
      </c>
      <c r="E1243" t="s">
        <v>103</v>
      </c>
      <c r="F1243">
        <v>2460</v>
      </c>
      <c r="G1243">
        <v>19</v>
      </c>
      <c r="H1243">
        <v>2927</v>
      </c>
      <c r="I1243" t="s">
        <v>24</v>
      </c>
      <c r="J1243" t="s">
        <v>25</v>
      </c>
      <c r="K1243">
        <v>0</v>
      </c>
      <c r="L1243">
        <v>0</v>
      </c>
      <c r="M1243" t="s">
        <v>25</v>
      </c>
      <c r="N1243" t="s">
        <v>25</v>
      </c>
      <c r="O1243" t="s">
        <v>26</v>
      </c>
      <c r="P1243" t="s">
        <v>25</v>
      </c>
      <c r="Q1243" t="s">
        <v>27</v>
      </c>
      <c r="R1243" t="s">
        <v>28</v>
      </c>
    </row>
    <row r="1244" spans="1:20">
      <c r="A1244">
        <v>1248</v>
      </c>
      <c r="B1244" t="s">
        <v>1397</v>
      </c>
      <c r="C1244" t="s">
        <v>320</v>
      </c>
      <c r="D1244" t="s">
        <v>22</v>
      </c>
      <c r="E1244" t="s">
        <v>321</v>
      </c>
      <c r="F1244">
        <v>6405882</v>
      </c>
      <c r="G1244">
        <v>19</v>
      </c>
      <c r="H1244">
        <v>7623000</v>
      </c>
      <c r="I1244" t="s">
        <v>24</v>
      </c>
      <c r="J1244" t="s">
        <v>25</v>
      </c>
      <c r="K1244">
        <v>0</v>
      </c>
      <c r="L1244">
        <v>0</v>
      </c>
      <c r="M1244" t="s">
        <v>25</v>
      </c>
      <c r="N1244" t="s">
        <v>25</v>
      </c>
      <c r="O1244" t="s">
        <v>26</v>
      </c>
      <c r="P1244" t="s">
        <v>25</v>
      </c>
      <c r="Q1244" t="s">
        <v>27</v>
      </c>
      <c r="R1244" t="s">
        <v>28</v>
      </c>
    </row>
    <row r="1245" spans="1:20">
      <c r="A1245">
        <v>1249</v>
      </c>
      <c r="B1245" t="s">
        <v>1398</v>
      </c>
      <c r="C1245" t="s">
        <v>102</v>
      </c>
      <c r="D1245" t="s">
        <v>22</v>
      </c>
      <c r="E1245" t="s">
        <v>163</v>
      </c>
      <c r="F1245">
        <v>103361</v>
      </c>
      <c r="G1245">
        <v>19</v>
      </c>
      <c r="H1245">
        <v>123000</v>
      </c>
      <c r="I1245" t="s">
        <v>24</v>
      </c>
      <c r="J1245" t="s">
        <v>25</v>
      </c>
      <c r="K1245">
        <v>0</v>
      </c>
      <c r="L1245">
        <v>0</v>
      </c>
      <c r="M1245" t="s">
        <v>25</v>
      </c>
      <c r="N1245" t="s">
        <v>25</v>
      </c>
      <c r="O1245" t="s">
        <v>26</v>
      </c>
      <c r="P1245" t="s">
        <v>25</v>
      </c>
      <c r="Q1245" t="s">
        <v>27</v>
      </c>
      <c r="R1245" t="s">
        <v>28</v>
      </c>
    </row>
    <row r="1246" spans="1:20">
      <c r="A1246">
        <v>1250</v>
      </c>
      <c r="B1246" t="s">
        <v>1399</v>
      </c>
      <c r="C1246" t="s">
        <v>36</v>
      </c>
      <c r="D1246" t="s">
        <v>22</v>
      </c>
      <c r="E1246" t="s">
        <v>570</v>
      </c>
      <c r="F1246">
        <v>1302521</v>
      </c>
      <c r="G1246">
        <v>19</v>
      </c>
      <c r="H1246">
        <v>1550000</v>
      </c>
      <c r="I1246" t="s">
        <v>24</v>
      </c>
      <c r="J1246" t="s">
        <v>25</v>
      </c>
      <c r="K1246">
        <v>0</v>
      </c>
      <c r="L1246">
        <v>0</v>
      </c>
      <c r="M1246" t="s">
        <v>25</v>
      </c>
      <c r="N1246" t="s">
        <v>25</v>
      </c>
      <c r="O1246" t="s">
        <v>26</v>
      </c>
      <c r="P1246" t="s">
        <v>25</v>
      </c>
      <c r="Q1246" t="s">
        <v>27</v>
      </c>
      <c r="R1246" t="s">
        <v>28</v>
      </c>
    </row>
    <row r="1247" spans="1:20">
      <c r="A1247">
        <v>1251</v>
      </c>
      <c r="B1247" t="s">
        <v>1400</v>
      </c>
      <c r="C1247" t="s">
        <v>102</v>
      </c>
      <c r="D1247" t="s">
        <v>22</v>
      </c>
      <c r="E1247" t="s">
        <v>163</v>
      </c>
      <c r="F1247">
        <v>2151</v>
      </c>
      <c r="G1247">
        <v>19</v>
      </c>
      <c r="H1247">
        <v>2560</v>
      </c>
      <c r="I1247" t="s">
        <v>24</v>
      </c>
      <c r="J1247" t="s">
        <v>25</v>
      </c>
      <c r="K1247">
        <v>0</v>
      </c>
      <c r="L1247">
        <v>0</v>
      </c>
      <c r="M1247" t="s">
        <v>25</v>
      </c>
      <c r="N1247" t="s">
        <v>25</v>
      </c>
      <c r="O1247" t="s">
        <v>26</v>
      </c>
      <c r="P1247" t="s">
        <v>25</v>
      </c>
      <c r="Q1247" t="s">
        <v>27</v>
      </c>
      <c r="R1247" t="s">
        <v>28</v>
      </c>
    </row>
    <row r="1248" spans="1:20">
      <c r="A1248">
        <v>1252</v>
      </c>
      <c r="B1248" t="s">
        <v>1401</v>
      </c>
      <c r="C1248" t="s">
        <v>102</v>
      </c>
      <c r="D1248" t="s">
        <v>22</v>
      </c>
      <c r="E1248" t="s">
        <v>163</v>
      </c>
      <c r="F1248">
        <v>5114</v>
      </c>
      <c r="G1248">
        <v>19</v>
      </c>
      <c r="H1248">
        <v>6086</v>
      </c>
      <c r="I1248" t="s">
        <v>24</v>
      </c>
      <c r="J1248" t="s">
        <v>25</v>
      </c>
      <c r="K1248">
        <v>0</v>
      </c>
      <c r="L1248">
        <v>0</v>
      </c>
      <c r="M1248" t="s">
        <v>25</v>
      </c>
      <c r="N1248" t="s">
        <v>25</v>
      </c>
      <c r="O1248" t="s">
        <v>26</v>
      </c>
      <c r="P1248" t="s">
        <v>25</v>
      </c>
      <c r="Q1248" t="s">
        <v>27</v>
      </c>
      <c r="R1248" t="s">
        <v>28</v>
      </c>
      <c r="S1248" t="s">
        <v>231</v>
      </c>
      <c r="T1248" t="s">
        <v>568</v>
      </c>
    </row>
    <row r="1249" spans="1:20">
      <c r="A1249">
        <v>1253</v>
      </c>
      <c r="B1249" t="s">
        <v>1402</v>
      </c>
      <c r="C1249" t="s">
        <v>36</v>
      </c>
      <c r="D1249" t="s">
        <v>22</v>
      </c>
      <c r="E1249" t="s">
        <v>37</v>
      </c>
      <c r="F1249">
        <v>270538</v>
      </c>
      <c r="G1249">
        <v>19</v>
      </c>
      <c r="H1249">
        <v>321940</v>
      </c>
      <c r="I1249" t="s">
        <v>24</v>
      </c>
      <c r="J1249" t="s">
        <v>25</v>
      </c>
      <c r="K1249">
        <v>0</v>
      </c>
      <c r="L1249">
        <v>0</v>
      </c>
      <c r="M1249" t="s">
        <v>25</v>
      </c>
      <c r="N1249" t="s">
        <v>25</v>
      </c>
      <c r="O1249" t="s">
        <v>26</v>
      </c>
      <c r="P1249" t="s">
        <v>25</v>
      </c>
      <c r="Q1249" t="s">
        <v>27</v>
      </c>
      <c r="R1249" t="s">
        <v>28</v>
      </c>
    </row>
    <row r="1250" spans="1:20">
      <c r="A1250">
        <v>1254</v>
      </c>
      <c r="B1250" t="s">
        <v>1403</v>
      </c>
      <c r="C1250" t="s">
        <v>36</v>
      </c>
      <c r="D1250" t="s">
        <v>22</v>
      </c>
      <c r="E1250" t="s">
        <v>1404</v>
      </c>
      <c r="F1250">
        <v>1286</v>
      </c>
      <c r="G1250">
        <v>19</v>
      </c>
      <c r="H1250">
        <v>1530</v>
      </c>
      <c r="I1250" t="s">
        <v>24</v>
      </c>
      <c r="J1250" t="s">
        <v>25</v>
      </c>
      <c r="K1250">
        <v>0</v>
      </c>
      <c r="L1250">
        <v>0</v>
      </c>
      <c r="M1250" t="s">
        <v>25</v>
      </c>
      <c r="N1250" t="s">
        <v>25</v>
      </c>
      <c r="O1250" t="s">
        <v>26</v>
      </c>
      <c r="P1250" t="s">
        <v>25</v>
      </c>
      <c r="Q1250" t="s">
        <v>27</v>
      </c>
      <c r="R1250" t="s">
        <v>28</v>
      </c>
    </row>
    <row r="1251" spans="1:20">
      <c r="A1251">
        <v>1255</v>
      </c>
      <c r="B1251" t="s">
        <v>1405</v>
      </c>
      <c r="C1251" t="s">
        <v>320</v>
      </c>
      <c r="D1251" t="s">
        <v>22</v>
      </c>
      <c r="E1251" t="s">
        <v>321</v>
      </c>
      <c r="F1251">
        <v>0</v>
      </c>
      <c r="G1251">
        <v>19</v>
      </c>
      <c r="H1251">
        <v>0</v>
      </c>
      <c r="I1251" t="s">
        <v>24</v>
      </c>
      <c r="J1251" t="s">
        <v>25</v>
      </c>
      <c r="K1251">
        <v>0</v>
      </c>
      <c r="L1251">
        <v>0</v>
      </c>
      <c r="M1251" t="s">
        <v>25</v>
      </c>
      <c r="N1251" t="s">
        <v>25</v>
      </c>
      <c r="O1251" t="s">
        <v>26</v>
      </c>
      <c r="P1251" t="s">
        <v>25</v>
      </c>
      <c r="Q1251" t="s">
        <v>27</v>
      </c>
      <c r="R1251" t="s">
        <v>28</v>
      </c>
    </row>
    <row r="1252" spans="1:20">
      <c r="A1252">
        <v>1256</v>
      </c>
      <c r="B1252" t="s">
        <v>1406</v>
      </c>
      <c r="C1252" t="s">
        <v>320</v>
      </c>
      <c r="D1252" t="s">
        <v>22</v>
      </c>
      <c r="E1252" t="s">
        <v>321</v>
      </c>
      <c r="F1252">
        <v>0</v>
      </c>
      <c r="G1252">
        <v>19</v>
      </c>
      <c r="H1252">
        <v>0</v>
      </c>
      <c r="I1252" t="s">
        <v>24</v>
      </c>
      <c r="J1252" t="s">
        <v>25</v>
      </c>
      <c r="K1252">
        <v>0</v>
      </c>
      <c r="L1252">
        <v>0</v>
      </c>
      <c r="M1252" t="s">
        <v>25</v>
      </c>
      <c r="N1252" t="s">
        <v>25</v>
      </c>
      <c r="O1252" t="s">
        <v>26</v>
      </c>
      <c r="P1252" t="s">
        <v>25</v>
      </c>
      <c r="Q1252" t="s">
        <v>27</v>
      </c>
      <c r="R1252" t="s">
        <v>28</v>
      </c>
    </row>
    <row r="1253" spans="1:20">
      <c r="A1253">
        <v>1257</v>
      </c>
      <c r="B1253" t="s">
        <v>1407</v>
      </c>
      <c r="C1253" t="s">
        <v>228</v>
      </c>
      <c r="D1253" t="s">
        <v>22</v>
      </c>
      <c r="E1253" t="s">
        <v>37</v>
      </c>
      <c r="F1253">
        <v>0</v>
      </c>
      <c r="G1253">
        <v>19</v>
      </c>
      <c r="H1253">
        <v>0</v>
      </c>
      <c r="I1253" t="s">
        <v>24</v>
      </c>
      <c r="J1253" t="s">
        <v>25</v>
      </c>
      <c r="K1253">
        <v>0</v>
      </c>
      <c r="L1253">
        <v>0</v>
      </c>
      <c r="M1253" t="s">
        <v>25</v>
      </c>
      <c r="N1253" t="s">
        <v>25</v>
      </c>
      <c r="O1253" t="s">
        <v>26</v>
      </c>
      <c r="P1253" t="s">
        <v>25</v>
      </c>
      <c r="Q1253" t="s">
        <v>27</v>
      </c>
      <c r="R1253" t="s">
        <v>28</v>
      </c>
      <c r="S1253" t="s">
        <v>231</v>
      </c>
      <c r="T1253" t="s">
        <v>1167</v>
      </c>
    </row>
    <row r="1254" spans="1:20">
      <c r="A1254">
        <v>1258</v>
      </c>
      <c r="B1254" t="s">
        <v>1408</v>
      </c>
      <c r="C1254" t="s">
        <v>102</v>
      </c>
      <c r="D1254" t="s">
        <v>22</v>
      </c>
      <c r="E1254" t="s">
        <v>163</v>
      </c>
      <c r="F1254">
        <v>0</v>
      </c>
      <c r="G1254">
        <v>19</v>
      </c>
      <c r="H1254">
        <v>0</v>
      </c>
      <c r="I1254" t="s">
        <v>24</v>
      </c>
      <c r="J1254" t="s">
        <v>25</v>
      </c>
      <c r="K1254">
        <v>0</v>
      </c>
      <c r="L1254">
        <v>0</v>
      </c>
      <c r="M1254" t="s">
        <v>25</v>
      </c>
      <c r="N1254" t="s">
        <v>25</v>
      </c>
      <c r="O1254" t="s">
        <v>26</v>
      </c>
      <c r="P1254" t="s">
        <v>25</v>
      </c>
      <c r="Q1254" t="s">
        <v>27</v>
      </c>
      <c r="R1254" t="s">
        <v>28</v>
      </c>
    </row>
    <row r="1255" spans="1:20">
      <c r="A1255">
        <v>1259</v>
      </c>
      <c r="B1255" t="s">
        <v>1409</v>
      </c>
      <c r="C1255" t="s">
        <v>36</v>
      </c>
      <c r="D1255" t="s">
        <v>22</v>
      </c>
      <c r="E1255" t="s">
        <v>354</v>
      </c>
      <c r="F1255">
        <v>0</v>
      </c>
      <c r="G1255">
        <v>19</v>
      </c>
      <c r="H1255">
        <v>0</v>
      </c>
      <c r="I1255" t="s">
        <v>24</v>
      </c>
      <c r="J1255" t="s">
        <v>25</v>
      </c>
      <c r="K1255">
        <v>0</v>
      </c>
      <c r="L1255">
        <v>0</v>
      </c>
      <c r="M1255" t="s">
        <v>25</v>
      </c>
      <c r="N1255" t="s">
        <v>25</v>
      </c>
      <c r="O1255" t="s">
        <v>26</v>
      </c>
      <c r="P1255" t="s">
        <v>25</v>
      </c>
      <c r="Q1255" t="s">
        <v>27</v>
      </c>
      <c r="R1255" t="s">
        <v>28</v>
      </c>
    </row>
    <row r="1256" spans="1:20">
      <c r="A1256">
        <v>1260</v>
      </c>
      <c r="B1256" t="s">
        <v>1410</v>
      </c>
      <c r="C1256" t="s">
        <v>36</v>
      </c>
      <c r="D1256" t="s">
        <v>22</v>
      </c>
      <c r="E1256" t="s">
        <v>37</v>
      </c>
      <c r="F1256">
        <v>0</v>
      </c>
      <c r="G1256">
        <v>19</v>
      </c>
      <c r="H1256">
        <v>0</v>
      </c>
      <c r="I1256" t="s">
        <v>24</v>
      </c>
      <c r="J1256" t="s">
        <v>25</v>
      </c>
      <c r="K1256">
        <v>0</v>
      </c>
      <c r="L1256">
        <v>0</v>
      </c>
      <c r="M1256" t="s">
        <v>25</v>
      </c>
      <c r="N1256" t="s">
        <v>25</v>
      </c>
      <c r="O1256" t="s">
        <v>26</v>
      </c>
      <c r="P1256" t="s">
        <v>25</v>
      </c>
      <c r="Q1256" t="s">
        <v>27</v>
      </c>
      <c r="R1256" t="s">
        <v>28</v>
      </c>
    </row>
    <row r="1257" spans="1:20">
      <c r="A1257">
        <v>1261</v>
      </c>
      <c r="B1257" t="s">
        <v>1411</v>
      </c>
      <c r="C1257" t="s">
        <v>102</v>
      </c>
      <c r="D1257" t="s">
        <v>22</v>
      </c>
      <c r="E1257" t="s">
        <v>23</v>
      </c>
      <c r="F1257">
        <v>0</v>
      </c>
      <c r="G1257">
        <v>19</v>
      </c>
      <c r="H1257">
        <v>0</v>
      </c>
      <c r="I1257" t="s">
        <v>24</v>
      </c>
      <c r="J1257" t="s">
        <v>25</v>
      </c>
      <c r="K1257">
        <v>0</v>
      </c>
      <c r="L1257">
        <v>0</v>
      </c>
      <c r="M1257" t="s">
        <v>25</v>
      </c>
      <c r="N1257" t="s">
        <v>25</v>
      </c>
      <c r="O1257" t="s">
        <v>26</v>
      </c>
      <c r="P1257" t="s">
        <v>25</v>
      </c>
      <c r="Q1257" t="s">
        <v>27</v>
      </c>
      <c r="R1257" t="s">
        <v>28</v>
      </c>
    </row>
    <row r="1258" spans="1:20">
      <c r="A1258">
        <v>1262</v>
      </c>
      <c r="B1258" t="s">
        <v>1412</v>
      </c>
      <c r="C1258" t="s">
        <v>21</v>
      </c>
      <c r="D1258" t="s">
        <v>22</v>
      </c>
      <c r="E1258" t="s">
        <v>23</v>
      </c>
      <c r="F1258">
        <v>0</v>
      </c>
      <c r="G1258">
        <v>19</v>
      </c>
      <c r="H1258">
        <v>0</v>
      </c>
      <c r="I1258" t="s">
        <v>24</v>
      </c>
      <c r="J1258" t="s">
        <v>25</v>
      </c>
      <c r="K1258">
        <v>0</v>
      </c>
      <c r="L1258">
        <v>0</v>
      </c>
      <c r="M1258" t="s">
        <v>25</v>
      </c>
      <c r="N1258" t="s">
        <v>25</v>
      </c>
      <c r="O1258" t="s">
        <v>26</v>
      </c>
      <c r="P1258" t="s">
        <v>25</v>
      </c>
      <c r="Q1258" t="s">
        <v>27</v>
      </c>
      <c r="R1258" t="s">
        <v>28</v>
      </c>
    </row>
    <row r="1259" spans="1:20">
      <c r="A1259">
        <v>1263</v>
      </c>
      <c r="B1259" t="s">
        <v>1413</v>
      </c>
      <c r="C1259" t="s">
        <v>21</v>
      </c>
      <c r="D1259" t="s">
        <v>22</v>
      </c>
      <c r="E1259" t="s">
        <v>23</v>
      </c>
      <c r="F1259">
        <v>0</v>
      </c>
      <c r="G1259">
        <v>19</v>
      </c>
      <c r="H1259">
        <v>0</v>
      </c>
      <c r="I1259" t="s">
        <v>24</v>
      </c>
      <c r="J1259" t="s">
        <v>25</v>
      </c>
      <c r="K1259">
        <v>0</v>
      </c>
      <c r="L1259">
        <v>0</v>
      </c>
      <c r="M1259" t="s">
        <v>25</v>
      </c>
      <c r="N1259" t="s">
        <v>25</v>
      </c>
      <c r="O1259" t="s">
        <v>26</v>
      </c>
      <c r="P1259" t="s">
        <v>25</v>
      </c>
      <c r="Q1259" t="s">
        <v>27</v>
      </c>
      <c r="R1259" t="s">
        <v>28</v>
      </c>
    </row>
    <row r="1260" spans="1:20">
      <c r="A1260">
        <v>1264</v>
      </c>
      <c r="B1260" t="s">
        <v>1414</v>
      </c>
      <c r="C1260" t="s">
        <v>21</v>
      </c>
      <c r="D1260" t="s">
        <v>22</v>
      </c>
      <c r="E1260" t="s">
        <v>23</v>
      </c>
      <c r="F1260">
        <v>0</v>
      </c>
      <c r="G1260">
        <v>19</v>
      </c>
      <c r="H1260">
        <v>0</v>
      </c>
      <c r="I1260" t="s">
        <v>24</v>
      </c>
      <c r="J1260" t="s">
        <v>25</v>
      </c>
      <c r="K1260">
        <v>0</v>
      </c>
      <c r="L1260">
        <v>0</v>
      </c>
      <c r="M1260" t="s">
        <v>25</v>
      </c>
      <c r="N1260" t="s">
        <v>25</v>
      </c>
      <c r="O1260" t="s">
        <v>26</v>
      </c>
      <c r="P1260" t="s">
        <v>25</v>
      </c>
      <c r="Q1260" t="s">
        <v>27</v>
      </c>
      <c r="R1260" t="s">
        <v>28</v>
      </c>
    </row>
    <row r="1261" spans="1:20">
      <c r="A1261">
        <v>1265</v>
      </c>
      <c r="B1261" t="s">
        <v>1415</v>
      </c>
      <c r="C1261" t="s">
        <v>21</v>
      </c>
      <c r="D1261" t="s">
        <v>22</v>
      </c>
      <c r="E1261" t="s">
        <v>23</v>
      </c>
      <c r="F1261">
        <v>0</v>
      </c>
      <c r="G1261">
        <v>19</v>
      </c>
      <c r="H1261">
        <v>0</v>
      </c>
      <c r="I1261" t="s">
        <v>24</v>
      </c>
      <c r="J1261" t="s">
        <v>25</v>
      </c>
      <c r="K1261">
        <v>0</v>
      </c>
      <c r="L1261">
        <v>0</v>
      </c>
      <c r="M1261" t="s">
        <v>25</v>
      </c>
      <c r="N1261" t="s">
        <v>25</v>
      </c>
      <c r="O1261" t="s">
        <v>26</v>
      </c>
      <c r="P1261" t="s">
        <v>25</v>
      </c>
      <c r="Q1261" t="s">
        <v>27</v>
      </c>
      <c r="R1261" t="s">
        <v>28</v>
      </c>
    </row>
    <row r="1262" spans="1:20">
      <c r="A1262">
        <v>1266</v>
      </c>
      <c r="B1262" t="s">
        <v>1416</v>
      </c>
      <c r="C1262" t="s">
        <v>21</v>
      </c>
      <c r="D1262" t="s">
        <v>22</v>
      </c>
      <c r="E1262" t="s">
        <v>23</v>
      </c>
      <c r="F1262">
        <v>0</v>
      </c>
      <c r="G1262">
        <v>19</v>
      </c>
      <c r="H1262">
        <v>0</v>
      </c>
      <c r="I1262" t="s">
        <v>24</v>
      </c>
      <c r="J1262" t="s">
        <v>25</v>
      </c>
      <c r="K1262">
        <v>0</v>
      </c>
      <c r="L1262">
        <v>0</v>
      </c>
      <c r="M1262" t="s">
        <v>25</v>
      </c>
      <c r="N1262" t="s">
        <v>25</v>
      </c>
      <c r="O1262" t="s">
        <v>26</v>
      </c>
      <c r="P1262" t="s">
        <v>25</v>
      </c>
      <c r="Q1262" t="s">
        <v>27</v>
      </c>
      <c r="R1262" t="s">
        <v>28</v>
      </c>
    </row>
    <row r="1263" spans="1:20">
      <c r="A1263">
        <v>1267</v>
      </c>
      <c r="B1263" t="s">
        <v>1417</v>
      </c>
      <c r="C1263" t="s">
        <v>21</v>
      </c>
      <c r="D1263" t="s">
        <v>22</v>
      </c>
      <c r="E1263" t="s">
        <v>23</v>
      </c>
      <c r="F1263">
        <v>0</v>
      </c>
      <c r="G1263">
        <v>19</v>
      </c>
      <c r="H1263">
        <v>0</v>
      </c>
      <c r="I1263" t="s">
        <v>24</v>
      </c>
      <c r="J1263" t="s">
        <v>25</v>
      </c>
      <c r="K1263">
        <v>0</v>
      </c>
      <c r="L1263">
        <v>0</v>
      </c>
      <c r="M1263" t="s">
        <v>25</v>
      </c>
      <c r="N1263" t="s">
        <v>25</v>
      </c>
      <c r="O1263" t="s">
        <v>26</v>
      </c>
      <c r="P1263" t="s">
        <v>25</v>
      </c>
      <c r="Q1263" t="s">
        <v>27</v>
      </c>
      <c r="R1263" t="s">
        <v>28</v>
      </c>
    </row>
    <row r="1264" spans="1:20">
      <c r="A1264">
        <v>1268</v>
      </c>
      <c r="B1264" t="s">
        <v>1418</v>
      </c>
      <c r="C1264" t="s">
        <v>21</v>
      </c>
      <c r="D1264" t="s">
        <v>22</v>
      </c>
      <c r="E1264" t="s">
        <v>23</v>
      </c>
      <c r="F1264">
        <v>0</v>
      </c>
      <c r="G1264">
        <v>19</v>
      </c>
      <c r="H1264">
        <v>0</v>
      </c>
      <c r="I1264" t="s">
        <v>24</v>
      </c>
      <c r="J1264" t="s">
        <v>25</v>
      </c>
      <c r="K1264">
        <v>0</v>
      </c>
      <c r="L1264">
        <v>0</v>
      </c>
      <c r="M1264" t="s">
        <v>25</v>
      </c>
      <c r="N1264" t="s">
        <v>25</v>
      </c>
      <c r="O1264" t="s">
        <v>26</v>
      </c>
      <c r="P1264" t="s">
        <v>25</v>
      </c>
      <c r="Q1264" t="s">
        <v>27</v>
      </c>
      <c r="R1264" t="s">
        <v>28</v>
      </c>
    </row>
    <row r="1265" spans="1:18">
      <c r="A1265">
        <v>1269</v>
      </c>
      <c r="B1265" t="s">
        <v>1419</v>
      </c>
      <c r="C1265" t="s">
        <v>21</v>
      </c>
      <c r="D1265" t="s">
        <v>22</v>
      </c>
      <c r="E1265" t="s">
        <v>23</v>
      </c>
      <c r="F1265">
        <v>0</v>
      </c>
      <c r="G1265">
        <v>19</v>
      </c>
      <c r="H1265">
        <v>0</v>
      </c>
      <c r="I1265" t="s">
        <v>24</v>
      </c>
      <c r="J1265" t="s">
        <v>25</v>
      </c>
      <c r="K1265">
        <v>0</v>
      </c>
      <c r="L1265">
        <v>0</v>
      </c>
      <c r="M1265" t="s">
        <v>25</v>
      </c>
      <c r="N1265" t="s">
        <v>25</v>
      </c>
      <c r="O1265" t="s">
        <v>26</v>
      </c>
      <c r="P1265" t="s">
        <v>25</v>
      </c>
      <c r="Q1265" t="s">
        <v>27</v>
      </c>
      <c r="R1265" t="s">
        <v>28</v>
      </c>
    </row>
    <row r="1266" spans="1:18">
      <c r="A1266">
        <v>1270</v>
      </c>
      <c r="B1266" t="s">
        <v>1420</v>
      </c>
      <c r="C1266" t="s">
        <v>21</v>
      </c>
      <c r="D1266" t="s">
        <v>22</v>
      </c>
      <c r="E1266" t="s">
        <v>23</v>
      </c>
      <c r="F1266">
        <v>0</v>
      </c>
      <c r="G1266">
        <v>19</v>
      </c>
      <c r="H1266">
        <v>0</v>
      </c>
      <c r="I1266" t="s">
        <v>24</v>
      </c>
      <c r="J1266" t="s">
        <v>25</v>
      </c>
      <c r="K1266">
        <v>0</v>
      </c>
      <c r="L1266">
        <v>0</v>
      </c>
      <c r="M1266" t="s">
        <v>25</v>
      </c>
      <c r="N1266" t="s">
        <v>25</v>
      </c>
      <c r="O1266" t="s">
        <v>26</v>
      </c>
      <c r="P1266" t="s">
        <v>25</v>
      </c>
      <c r="Q1266" t="s">
        <v>27</v>
      </c>
      <c r="R1266" t="s">
        <v>28</v>
      </c>
    </row>
    <row r="1267" spans="1:18">
      <c r="A1267">
        <v>1271</v>
      </c>
      <c r="B1267" t="s">
        <v>1421</v>
      </c>
      <c r="C1267" t="s">
        <v>21</v>
      </c>
      <c r="D1267" t="s">
        <v>22</v>
      </c>
      <c r="E1267" t="s">
        <v>23</v>
      </c>
      <c r="F1267">
        <v>0</v>
      </c>
      <c r="G1267">
        <v>19</v>
      </c>
      <c r="H1267">
        <v>0</v>
      </c>
      <c r="I1267" t="s">
        <v>24</v>
      </c>
      <c r="J1267" t="s">
        <v>25</v>
      </c>
      <c r="K1267">
        <v>0</v>
      </c>
      <c r="L1267">
        <v>0</v>
      </c>
      <c r="M1267" t="s">
        <v>25</v>
      </c>
      <c r="N1267" t="s">
        <v>25</v>
      </c>
      <c r="O1267" t="s">
        <v>26</v>
      </c>
      <c r="P1267" t="s">
        <v>25</v>
      </c>
      <c r="Q1267" t="s">
        <v>27</v>
      </c>
      <c r="R1267" t="s">
        <v>28</v>
      </c>
    </row>
    <row r="1268" spans="1:18">
      <c r="A1268">
        <v>1272</v>
      </c>
      <c r="B1268" t="s">
        <v>1422</v>
      </c>
      <c r="C1268" t="s">
        <v>21</v>
      </c>
      <c r="D1268" t="s">
        <v>22</v>
      </c>
      <c r="E1268" t="s">
        <v>23</v>
      </c>
      <c r="F1268">
        <v>0</v>
      </c>
      <c r="G1268">
        <v>19</v>
      </c>
      <c r="H1268">
        <v>0</v>
      </c>
      <c r="I1268" t="s">
        <v>24</v>
      </c>
      <c r="J1268" t="s">
        <v>25</v>
      </c>
      <c r="K1268">
        <v>0</v>
      </c>
      <c r="L1268">
        <v>0</v>
      </c>
      <c r="M1268" t="s">
        <v>25</v>
      </c>
      <c r="N1268" t="s">
        <v>25</v>
      </c>
      <c r="O1268" t="s">
        <v>26</v>
      </c>
      <c r="P1268" t="s">
        <v>25</v>
      </c>
      <c r="Q1268" t="s">
        <v>27</v>
      </c>
      <c r="R1268" t="s">
        <v>28</v>
      </c>
    </row>
    <row r="1269" spans="1:18">
      <c r="A1269">
        <v>1273</v>
      </c>
      <c r="B1269" t="s">
        <v>1423</v>
      </c>
      <c r="C1269" t="s">
        <v>21</v>
      </c>
      <c r="D1269" t="s">
        <v>22</v>
      </c>
      <c r="E1269" t="s">
        <v>23</v>
      </c>
      <c r="F1269">
        <v>0</v>
      </c>
      <c r="G1269">
        <v>19</v>
      </c>
      <c r="H1269">
        <v>0</v>
      </c>
      <c r="I1269" t="s">
        <v>24</v>
      </c>
      <c r="J1269" t="s">
        <v>25</v>
      </c>
      <c r="K1269">
        <v>0</v>
      </c>
      <c r="L1269">
        <v>0</v>
      </c>
      <c r="M1269" t="s">
        <v>25</v>
      </c>
      <c r="N1269" t="s">
        <v>25</v>
      </c>
      <c r="O1269" t="s">
        <v>26</v>
      </c>
      <c r="P1269" t="s">
        <v>25</v>
      </c>
      <c r="Q1269" t="s">
        <v>27</v>
      </c>
      <c r="R1269" t="s">
        <v>28</v>
      </c>
    </row>
    <row r="1270" spans="1:18">
      <c r="A1270">
        <v>1274</v>
      </c>
      <c r="B1270" t="s">
        <v>1424</v>
      </c>
      <c r="C1270" t="s">
        <v>21</v>
      </c>
      <c r="D1270" t="s">
        <v>22</v>
      </c>
      <c r="E1270" t="s">
        <v>23</v>
      </c>
      <c r="F1270">
        <v>0</v>
      </c>
      <c r="G1270">
        <v>19</v>
      </c>
      <c r="H1270">
        <v>0</v>
      </c>
      <c r="I1270" t="s">
        <v>24</v>
      </c>
      <c r="J1270" t="s">
        <v>25</v>
      </c>
      <c r="K1270">
        <v>0</v>
      </c>
      <c r="L1270">
        <v>0</v>
      </c>
      <c r="M1270" t="s">
        <v>25</v>
      </c>
      <c r="N1270" t="s">
        <v>25</v>
      </c>
      <c r="O1270" t="s">
        <v>26</v>
      </c>
      <c r="P1270" t="s">
        <v>25</v>
      </c>
      <c r="Q1270" t="s">
        <v>27</v>
      </c>
      <c r="R1270" t="s">
        <v>28</v>
      </c>
    </row>
    <row r="1271" spans="1:18">
      <c r="A1271">
        <v>1275</v>
      </c>
      <c r="B1271" t="s">
        <v>1425</v>
      </c>
      <c r="C1271" t="s">
        <v>21</v>
      </c>
      <c r="D1271" t="s">
        <v>22</v>
      </c>
      <c r="E1271" t="s">
        <v>23</v>
      </c>
      <c r="F1271">
        <v>0</v>
      </c>
      <c r="G1271">
        <v>19</v>
      </c>
      <c r="H1271">
        <v>0</v>
      </c>
      <c r="I1271" t="s">
        <v>24</v>
      </c>
      <c r="J1271" t="s">
        <v>25</v>
      </c>
      <c r="K1271">
        <v>0</v>
      </c>
      <c r="L1271">
        <v>0</v>
      </c>
      <c r="M1271" t="s">
        <v>25</v>
      </c>
      <c r="N1271" t="s">
        <v>25</v>
      </c>
      <c r="O1271" t="s">
        <v>26</v>
      </c>
      <c r="P1271" t="s">
        <v>25</v>
      </c>
      <c r="Q1271" t="s">
        <v>27</v>
      </c>
      <c r="R1271" t="s">
        <v>28</v>
      </c>
    </row>
    <row r="1272" spans="1:18">
      <c r="A1272">
        <v>1276</v>
      </c>
      <c r="B1272" t="s">
        <v>1426</v>
      </c>
      <c r="C1272" t="s">
        <v>21</v>
      </c>
      <c r="D1272" t="s">
        <v>22</v>
      </c>
      <c r="E1272" t="s">
        <v>23</v>
      </c>
      <c r="F1272">
        <v>0</v>
      </c>
      <c r="G1272">
        <v>19</v>
      </c>
      <c r="H1272">
        <v>0</v>
      </c>
      <c r="I1272" t="s">
        <v>24</v>
      </c>
      <c r="J1272" t="s">
        <v>25</v>
      </c>
      <c r="K1272">
        <v>0</v>
      </c>
      <c r="L1272">
        <v>0</v>
      </c>
      <c r="M1272" t="s">
        <v>25</v>
      </c>
      <c r="N1272" t="s">
        <v>25</v>
      </c>
      <c r="O1272" t="s">
        <v>26</v>
      </c>
      <c r="P1272" t="s">
        <v>25</v>
      </c>
      <c r="Q1272" t="s">
        <v>27</v>
      </c>
      <c r="R1272" t="s">
        <v>28</v>
      </c>
    </row>
    <row r="1273" spans="1:18">
      <c r="A1273">
        <v>1277</v>
      </c>
      <c r="B1273" t="s">
        <v>1427</v>
      </c>
      <c r="C1273" t="s">
        <v>21</v>
      </c>
      <c r="D1273" t="s">
        <v>22</v>
      </c>
      <c r="E1273" t="s">
        <v>23</v>
      </c>
      <c r="F1273">
        <v>0</v>
      </c>
      <c r="G1273">
        <v>19</v>
      </c>
      <c r="H1273">
        <v>0</v>
      </c>
      <c r="I1273" t="s">
        <v>24</v>
      </c>
      <c r="J1273" t="s">
        <v>25</v>
      </c>
      <c r="K1273">
        <v>0</v>
      </c>
      <c r="L1273">
        <v>0</v>
      </c>
      <c r="M1273" t="s">
        <v>25</v>
      </c>
      <c r="N1273" t="s">
        <v>25</v>
      </c>
      <c r="O1273" t="s">
        <v>26</v>
      </c>
      <c r="P1273" t="s">
        <v>25</v>
      </c>
      <c r="Q1273" t="s">
        <v>27</v>
      </c>
      <c r="R1273" t="s">
        <v>28</v>
      </c>
    </row>
    <row r="1274" spans="1:18">
      <c r="A1274">
        <v>1278</v>
      </c>
      <c r="B1274" t="s">
        <v>1428</v>
      </c>
      <c r="C1274" t="s">
        <v>21</v>
      </c>
      <c r="D1274" t="s">
        <v>22</v>
      </c>
      <c r="E1274" t="s">
        <v>23</v>
      </c>
      <c r="F1274">
        <v>0</v>
      </c>
      <c r="G1274">
        <v>19</v>
      </c>
      <c r="H1274">
        <v>0</v>
      </c>
      <c r="I1274" t="s">
        <v>24</v>
      </c>
      <c r="J1274" t="s">
        <v>25</v>
      </c>
      <c r="K1274">
        <v>0</v>
      </c>
      <c r="L1274">
        <v>0</v>
      </c>
      <c r="M1274" t="s">
        <v>25</v>
      </c>
      <c r="N1274" t="s">
        <v>25</v>
      </c>
      <c r="O1274" t="s">
        <v>26</v>
      </c>
      <c r="P1274" t="s">
        <v>25</v>
      </c>
      <c r="Q1274" t="s">
        <v>27</v>
      </c>
      <c r="R1274" t="s">
        <v>28</v>
      </c>
    </row>
    <row r="1275" spans="1:18">
      <c r="A1275">
        <v>1279</v>
      </c>
      <c r="B1275" t="s">
        <v>1429</v>
      </c>
      <c r="C1275" t="s">
        <v>21</v>
      </c>
      <c r="D1275" t="s">
        <v>22</v>
      </c>
      <c r="E1275" t="s">
        <v>23</v>
      </c>
      <c r="F1275">
        <v>0</v>
      </c>
      <c r="G1275">
        <v>19</v>
      </c>
      <c r="H1275">
        <v>0</v>
      </c>
      <c r="I1275" t="s">
        <v>24</v>
      </c>
      <c r="J1275" t="s">
        <v>25</v>
      </c>
      <c r="K1275">
        <v>0</v>
      </c>
      <c r="L1275">
        <v>0</v>
      </c>
      <c r="M1275" t="s">
        <v>25</v>
      </c>
      <c r="N1275" t="s">
        <v>25</v>
      </c>
      <c r="O1275" t="s">
        <v>26</v>
      </c>
      <c r="P1275" t="s">
        <v>25</v>
      </c>
      <c r="Q1275" t="s">
        <v>27</v>
      </c>
      <c r="R1275" t="s">
        <v>28</v>
      </c>
    </row>
    <row r="1276" spans="1:18">
      <c r="A1276">
        <v>1280</v>
      </c>
      <c r="B1276" t="s">
        <v>1430</v>
      </c>
      <c r="C1276" t="s">
        <v>21</v>
      </c>
      <c r="D1276" t="s">
        <v>22</v>
      </c>
      <c r="E1276" t="s">
        <v>23</v>
      </c>
      <c r="F1276">
        <v>0</v>
      </c>
      <c r="G1276">
        <v>19</v>
      </c>
      <c r="H1276">
        <v>0</v>
      </c>
      <c r="I1276" t="s">
        <v>24</v>
      </c>
      <c r="J1276" t="s">
        <v>25</v>
      </c>
      <c r="K1276">
        <v>0</v>
      </c>
      <c r="L1276">
        <v>0</v>
      </c>
      <c r="M1276" t="s">
        <v>25</v>
      </c>
      <c r="N1276" t="s">
        <v>25</v>
      </c>
      <c r="O1276" t="s">
        <v>26</v>
      </c>
      <c r="P1276" t="s">
        <v>25</v>
      </c>
      <c r="Q1276" t="s">
        <v>27</v>
      </c>
      <c r="R1276" t="s">
        <v>28</v>
      </c>
    </row>
    <row r="1277" spans="1:18">
      <c r="A1277">
        <v>1281</v>
      </c>
      <c r="B1277" t="s">
        <v>1431</v>
      </c>
      <c r="C1277" t="s">
        <v>21</v>
      </c>
      <c r="D1277" t="s">
        <v>22</v>
      </c>
      <c r="E1277" t="s">
        <v>23</v>
      </c>
      <c r="F1277">
        <v>0</v>
      </c>
      <c r="G1277">
        <v>19</v>
      </c>
      <c r="H1277">
        <v>0</v>
      </c>
      <c r="I1277" t="s">
        <v>24</v>
      </c>
      <c r="J1277" t="s">
        <v>25</v>
      </c>
      <c r="K1277">
        <v>0</v>
      </c>
      <c r="L1277">
        <v>0</v>
      </c>
      <c r="M1277" t="s">
        <v>25</v>
      </c>
      <c r="N1277" t="s">
        <v>25</v>
      </c>
      <c r="O1277" t="s">
        <v>26</v>
      </c>
      <c r="P1277" t="s">
        <v>25</v>
      </c>
      <c r="Q1277" t="s">
        <v>27</v>
      </c>
      <c r="R1277" t="s">
        <v>28</v>
      </c>
    </row>
    <row r="1278" spans="1:18">
      <c r="A1278">
        <v>1282</v>
      </c>
      <c r="B1278" t="s">
        <v>1432</v>
      </c>
      <c r="C1278" t="s">
        <v>21</v>
      </c>
      <c r="D1278" t="s">
        <v>22</v>
      </c>
      <c r="E1278" t="s">
        <v>23</v>
      </c>
      <c r="F1278">
        <v>0</v>
      </c>
      <c r="G1278">
        <v>19</v>
      </c>
      <c r="H1278">
        <v>0</v>
      </c>
      <c r="I1278" t="s">
        <v>24</v>
      </c>
      <c r="J1278" t="s">
        <v>25</v>
      </c>
      <c r="K1278">
        <v>0</v>
      </c>
      <c r="L1278">
        <v>0</v>
      </c>
      <c r="M1278" t="s">
        <v>25</v>
      </c>
      <c r="N1278" t="s">
        <v>25</v>
      </c>
      <c r="O1278" t="s">
        <v>26</v>
      </c>
      <c r="P1278" t="s">
        <v>25</v>
      </c>
      <c r="Q1278" t="s">
        <v>27</v>
      </c>
      <c r="R1278" t="s">
        <v>28</v>
      </c>
    </row>
    <row r="1279" spans="1:18">
      <c r="A1279">
        <v>1283</v>
      </c>
      <c r="B1279" t="s">
        <v>1433</v>
      </c>
      <c r="C1279" t="s">
        <v>21</v>
      </c>
      <c r="D1279" t="s">
        <v>22</v>
      </c>
      <c r="E1279" t="s">
        <v>23</v>
      </c>
      <c r="F1279">
        <v>0</v>
      </c>
      <c r="G1279">
        <v>19</v>
      </c>
      <c r="H1279">
        <v>0</v>
      </c>
      <c r="I1279" t="s">
        <v>24</v>
      </c>
      <c r="J1279" t="s">
        <v>25</v>
      </c>
      <c r="K1279">
        <v>0</v>
      </c>
      <c r="L1279">
        <v>0</v>
      </c>
      <c r="M1279" t="s">
        <v>25</v>
      </c>
      <c r="N1279" t="s">
        <v>25</v>
      </c>
      <c r="O1279" t="s">
        <v>26</v>
      </c>
      <c r="P1279" t="s">
        <v>25</v>
      </c>
      <c r="Q1279" t="s">
        <v>27</v>
      </c>
      <c r="R1279" t="s">
        <v>28</v>
      </c>
    </row>
    <row r="1280" spans="1:18">
      <c r="A1280">
        <v>1284</v>
      </c>
      <c r="B1280" t="s">
        <v>1434</v>
      </c>
      <c r="C1280" t="s">
        <v>21</v>
      </c>
      <c r="D1280" t="s">
        <v>22</v>
      </c>
      <c r="E1280" t="s">
        <v>23</v>
      </c>
      <c r="F1280">
        <v>0</v>
      </c>
      <c r="G1280">
        <v>19</v>
      </c>
      <c r="H1280">
        <v>0</v>
      </c>
      <c r="I1280" t="s">
        <v>24</v>
      </c>
      <c r="J1280" t="s">
        <v>25</v>
      </c>
      <c r="K1280">
        <v>0</v>
      </c>
      <c r="L1280">
        <v>0</v>
      </c>
      <c r="M1280" t="s">
        <v>25</v>
      </c>
      <c r="N1280" t="s">
        <v>25</v>
      </c>
      <c r="O1280" t="s">
        <v>26</v>
      </c>
      <c r="P1280" t="s">
        <v>25</v>
      </c>
      <c r="Q1280" t="s">
        <v>27</v>
      </c>
      <c r="R1280" t="s">
        <v>28</v>
      </c>
    </row>
    <row r="1281" spans="1:18">
      <c r="A1281">
        <v>1285</v>
      </c>
      <c r="B1281" t="s">
        <v>1435</v>
      </c>
      <c r="C1281" t="s">
        <v>21</v>
      </c>
      <c r="D1281" t="s">
        <v>22</v>
      </c>
      <c r="E1281" t="s">
        <v>23</v>
      </c>
      <c r="F1281">
        <v>0</v>
      </c>
      <c r="G1281">
        <v>19</v>
      </c>
      <c r="H1281">
        <v>0</v>
      </c>
      <c r="I1281" t="s">
        <v>24</v>
      </c>
      <c r="J1281" t="s">
        <v>25</v>
      </c>
      <c r="K1281">
        <v>0</v>
      </c>
      <c r="L1281">
        <v>0</v>
      </c>
      <c r="M1281" t="s">
        <v>25</v>
      </c>
      <c r="N1281" t="s">
        <v>25</v>
      </c>
      <c r="O1281" t="s">
        <v>26</v>
      </c>
      <c r="P1281" t="s">
        <v>25</v>
      </c>
      <c r="Q1281" t="s">
        <v>27</v>
      </c>
      <c r="R1281" t="s">
        <v>28</v>
      </c>
    </row>
    <row r="1282" spans="1:18">
      <c r="A1282">
        <v>1286</v>
      </c>
      <c r="B1282" t="s">
        <v>1436</v>
      </c>
      <c r="C1282" t="s">
        <v>21</v>
      </c>
      <c r="D1282" t="s">
        <v>22</v>
      </c>
      <c r="E1282" t="s">
        <v>23</v>
      </c>
      <c r="F1282">
        <v>0</v>
      </c>
      <c r="G1282">
        <v>19</v>
      </c>
      <c r="H1282">
        <v>0</v>
      </c>
      <c r="I1282" t="s">
        <v>24</v>
      </c>
      <c r="J1282" t="s">
        <v>25</v>
      </c>
      <c r="K1282">
        <v>0</v>
      </c>
      <c r="L1282">
        <v>0</v>
      </c>
      <c r="M1282" t="s">
        <v>25</v>
      </c>
      <c r="N1282" t="s">
        <v>25</v>
      </c>
      <c r="O1282" t="s">
        <v>26</v>
      </c>
      <c r="P1282" t="s">
        <v>25</v>
      </c>
      <c r="Q1282" t="s">
        <v>27</v>
      </c>
      <c r="R1282" t="s">
        <v>28</v>
      </c>
    </row>
    <row r="1283" spans="1:18">
      <c r="A1283">
        <v>1287</v>
      </c>
      <c r="B1283" t="s">
        <v>1437</v>
      </c>
      <c r="C1283" t="s">
        <v>21</v>
      </c>
      <c r="D1283" t="s">
        <v>22</v>
      </c>
      <c r="E1283" t="s">
        <v>23</v>
      </c>
      <c r="F1283">
        <v>0</v>
      </c>
      <c r="G1283">
        <v>19</v>
      </c>
      <c r="H1283">
        <v>0</v>
      </c>
      <c r="I1283" t="s">
        <v>24</v>
      </c>
      <c r="J1283" t="s">
        <v>25</v>
      </c>
      <c r="K1283">
        <v>0</v>
      </c>
      <c r="L1283">
        <v>0</v>
      </c>
      <c r="M1283" t="s">
        <v>25</v>
      </c>
      <c r="N1283" t="s">
        <v>25</v>
      </c>
      <c r="O1283" t="s">
        <v>26</v>
      </c>
      <c r="P1283" t="s">
        <v>25</v>
      </c>
      <c r="Q1283" t="s">
        <v>27</v>
      </c>
      <c r="R1283" t="s">
        <v>28</v>
      </c>
    </row>
    <row r="1284" spans="1:18">
      <c r="A1284">
        <v>1288</v>
      </c>
      <c r="B1284" t="s">
        <v>1438</v>
      </c>
      <c r="C1284" t="s">
        <v>21</v>
      </c>
      <c r="D1284" t="s">
        <v>22</v>
      </c>
      <c r="E1284" t="s">
        <v>23</v>
      </c>
      <c r="F1284">
        <v>0</v>
      </c>
      <c r="G1284">
        <v>19</v>
      </c>
      <c r="H1284">
        <v>0</v>
      </c>
      <c r="I1284" t="s">
        <v>24</v>
      </c>
      <c r="J1284" t="s">
        <v>25</v>
      </c>
      <c r="K1284">
        <v>0</v>
      </c>
      <c r="L1284">
        <v>0</v>
      </c>
      <c r="M1284" t="s">
        <v>25</v>
      </c>
      <c r="N1284" t="s">
        <v>25</v>
      </c>
      <c r="O1284" t="s">
        <v>26</v>
      </c>
      <c r="P1284" t="s">
        <v>25</v>
      </c>
      <c r="Q1284" t="s">
        <v>27</v>
      </c>
      <c r="R1284" t="s">
        <v>28</v>
      </c>
    </row>
    <row r="1285" spans="1:18">
      <c r="A1285">
        <v>1289</v>
      </c>
      <c r="B1285" t="s">
        <v>1439</v>
      </c>
      <c r="C1285" t="s">
        <v>21</v>
      </c>
      <c r="D1285" t="s">
        <v>22</v>
      </c>
      <c r="E1285" t="s">
        <v>23</v>
      </c>
      <c r="F1285">
        <v>0</v>
      </c>
      <c r="G1285">
        <v>19</v>
      </c>
      <c r="H1285">
        <v>0</v>
      </c>
      <c r="I1285" t="s">
        <v>24</v>
      </c>
      <c r="J1285" t="s">
        <v>25</v>
      </c>
      <c r="K1285">
        <v>0</v>
      </c>
      <c r="L1285">
        <v>0</v>
      </c>
      <c r="M1285" t="s">
        <v>25</v>
      </c>
      <c r="N1285" t="s">
        <v>25</v>
      </c>
      <c r="O1285" t="s">
        <v>26</v>
      </c>
      <c r="P1285" t="s">
        <v>25</v>
      </c>
      <c r="Q1285" t="s">
        <v>27</v>
      </c>
      <c r="R1285" t="s">
        <v>28</v>
      </c>
    </row>
    <row r="1286" spans="1:18">
      <c r="A1286">
        <v>1290</v>
      </c>
      <c r="B1286" t="s">
        <v>1440</v>
      </c>
      <c r="C1286" t="s">
        <v>21</v>
      </c>
      <c r="D1286" t="s">
        <v>22</v>
      </c>
      <c r="E1286" t="s">
        <v>23</v>
      </c>
      <c r="F1286">
        <v>0</v>
      </c>
      <c r="G1286">
        <v>19</v>
      </c>
      <c r="H1286">
        <v>0</v>
      </c>
      <c r="I1286" t="s">
        <v>24</v>
      </c>
      <c r="J1286" t="s">
        <v>25</v>
      </c>
      <c r="K1286">
        <v>0</v>
      </c>
      <c r="L1286">
        <v>0</v>
      </c>
      <c r="M1286" t="s">
        <v>25</v>
      </c>
      <c r="N1286" t="s">
        <v>25</v>
      </c>
      <c r="O1286" t="s">
        <v>26</v>
      </c>
      <c r="P1286" t="s">
        <v>25</v>
      </c>
      <c r="Q1286" t="s">
        <v>27</v>
      </c>
      <c r="R1286" t="s">
        <v>28</v>
      </c>
    </row>
    <row r="1287" spans="1:18">
      <c r="A1287">
        <v>1291</v>
      </c>
      <c r="B1287" t="s">
        <v>1441</v>
      </c>
      <c r="C1287" t="s">
        <v>21</v>
      </c>
      <c r="D1287" t="s">
        <v>22</v>
      </c>
      <c r="E1287" t="s">
        <v>23</v>
      </c>
      <c r="F1287">
        <v>0</v>
      </c>
      <c r="G1287">
        <v>19</v>
      </c>
      <c r="H1287">
        <v>0</v>
      </c>
      <c r="I1287" t="s">
        <v>24</v>
      </c>
      <c r="J1287" t="s">
        <v>25</v>
      </c>
      <c r="K1287">
        <v>0</v>
      </c>
      <c r="L1287">
        <v>0</v>
      </c>
      <c r="M1287" t="s">
        <v>25</v>
      </c>
      <c r="N1287" t="s">
        <v>25</v>
      </c>
      <c r="O1287" t="s">
        <v>26</v>
      </c>
      <c r="P1287" t="s">
        <v>25</v>
      </c>
      <c r="Q1287" t="s">
        <v>27</v>
      </c>
      <c r="R1287" t="s">
        <v>28</v>
      </c>
    </row>
    <row r="1288" spans="1:18">
      <c r="A1288">
        <v>1292</v>
      </c>
      <c r="B1288" t="s">
        <v>1442</v>
      </c>
      <c r="C1288" t="s">
        <v>21</v>
      </c>
      <c r="D1288" t="s">
        <v>22</v>
      </c>
      <c r="E1288" t="s">
        <v>23</v>
      </c>
      <c r="F1288">
        <v>0</v>
      </c>
      <c r="G1288">
        <v>19</v>
      </c>
      <c r="H1288">
        <v>0</v>
      </c>
      <c r="I1288" t="s">
        <v>24</v>
      </c>
      <c r="J1288" t="s">
        <v>25</v>
      </c>
      <c r="K1288">
        <v>0</v>
      </c>
      <c r="L1288">
        <v>0</v>
      </c>
      <c r="M1288" t="s">
        <v>25</v>
      </c>
      <c r="N1288" t="s">
        <v>25</v>
      </c>
      <c r="O1288" t="s">
        <v>26</v>
      </c>
      <c r="P1288" t="s">
        <v>25</v>
      </c>
      <c r="Q1288" t="s">
        <v>27</v>
      </c>
      <c r="R1288" t="s">
        <v>28</v>
      </c>
    </row>
    <row r="1289" spans="1:18">
      <c r="A1289">
        <v>1293</v>
      </c>
      <c r="B1289" t="s">
        <v>1443</v>
      </c>
      <c r="C1289" t="s">
        <v>21</v>
      </c>
      <c r="D1289" t="s">
        <v>22</v>
      </c>
      <c r="E1289" t="s">
        <v>23</v>
      </c>
      <c r="F1289">
        <v>0</v>
      </c>
      <c r="G1289">
        <v>19</v>
      </c>
      <c r="H1289">
        <v>0</v>
      </c>
      <c r="I1289" t="s">
        <v>24</v>
      </c>
      <c r="J1289" t="s">
        <v>25</v>
      </c>
      <c r="K1289">
        <v>0</v>
      </c>
      <c r="L1289">
        <v>0</v>
      </c>
      <c r="M1289" t="s">
        <v>25</v>
      </c>
      <c r="N1289" t="s">
        <v>25</v>
      </c>
      <c r="O1289" t="s">
        <v>26</v>
      </c>
      <c r="P1289" t="s">
        <v>25</v>
      </c>
      <c r="Q1289" t="s">
        <v>27</v>
      </c>
      <c r="R1289" t="s">
        <v>28</v>
      </c>
    </row>
    <row r="1290" spans="1:18">
      <c r="A1290">
        <v>1294</v>
      </c>
      <c r="B1290" t="s">
        <v>1444</v>
      </c>
      <c r="C1290" t="s">
        <v>21</v>
      </c>
      <c r="D1290" t="s">
        <v>22</v>
      </c>
      <c r="E1290" t="s">
        <v>23</v>
      </c>
      <c r="F1290">
        <v>0</v>
      </c>
      <c r="G1290">
        <v>19</v>
      </c>
      <c r="H1290">
        <v>0</v>
      </c>
      <c r="I1290" t="s">
        <v>24</v>
      </c>
      <c r="J1290" t="s">
        <v>25</v>
      </c>
      <c r="K1290">
        <v>0</v>
      </c>
      <c r="L1290">
        <v>0</v>
      </c>
      <c r="M1290" t="s">
        <v>25</v>
      </c>
      <c r="N1290" t="s">
        <v>25</v>
      </c>
      <c r="O1290" t="s">
        <v>26</v>
      </c>
      <c r="P1290" t="s">
        <v>25</v>
      </c>
      <c r="Q1290" t="s">
        <v>27</v>
      </c>
      <c r="R1290" t="s">
        <v>28</v>
      </c>
    </row>
    <row r="1291" spans="1:18">
      <c r="A1291">
        <v>1295</v>
      </c>
      <c r="B1291" t="s">
        <v>1445</v>
      </c>
      <c r="C1291" t="s">
        <v>21</v>
      </c>
      <c r="D1291" t="s">
        <v>22</v>
      </c>
      <c r="E1291" t="s">
        <v>23</v>
      </c>
      <c r="F1291">
        <v>0</v>
      </c>
      <c r="G1291">
        <v>19</v>
      </c>
      <c r="H1291">
        <v>0</v>
      </c>
      <c r="I1291" t="s">
        <v>24</v>
      </c>
      <c r="J1291" t="s">
        <v>25</v>
      </c>
      <c r="K1291">
        <v>0</v>
      </c>
      <c r="L1291">
        <v>0</v>
      </c>
      <c r="M1291" t="s">
        <v>25</v>
      </c>
      <c r="N1291" t="s">
        <v>25</v>
      </c>
      <c r="O1291" t="s">
        <v>26</v>
      </c>
      <c r="P1291" t="s">
        <v>25</v>
      </c>
      <c r="Q1291" t="s">
        <v>27</v>
      </c>
      <c r="R1291" t="s">
        <v>28</v>
      </c>
    </row>
    <row r="1292" spans="1:18">
      <c r="A1292">
        <v>1296</v>
      </c>
      <c r="B1292" t="s">
        <v>1446</v>
      </c>
      <c r="C1292" t="s">
        <v>21</v>
      </c>
      <c r="D1292" t="s">
        <v>22</v>
      </c>
      <c r="E1292" t="s">
        <v>23</v>
      </c>
      <c r="F1292">
        <v>0</v>
      </c>
      <c r="G1292">
        <v>19</v>
      </c>
      <c r="H1292">
        <v>0</v>
      </c>
      <c r="I1292" t="s">
        <v>24</v>
      </c>
      <c r="J1292" t="s">
        <v>25</v>
      </c>
      <c r="K1292">
        <v>0</v>
      </c>
      <c r="L1292">
        <v>0</v>
      </c>
      <c r="M1292" t="s">
        <v>25</v>
      </c>
      <c r="N1292" t="s">
        <v>25</v>
      </c>
      <c r="O1292" t="s">
        <v>26</v>
      </c>
      <c r="P1292" t="s">
        <v>25</v>
      </c>
      <c r="Q1292" t="s">
        <v>27</v>
      </c>
      <c r="R1292" t="s">
        <v>28</v>
      </c>
    </row>
    <row r="1293" spans="1:18">
      <c r="A1293">
        <v>1297</v>
      </c>
      <c r="B1293" t="s">
        <v>1447</v>
      </c>
      <c r="C1293" t="s">
        <v>21</v>
      </c>
      <c r="D1293" t="s">
        <v>22</v>
      </c>
      <c r="E1293" t="s">
        <v>23</v>
      </c>
      <c r="F1293">
        <v>0</v>
      </c>
      <c r="G1293">
        <v>19</v>
      </c>
      <c r="H1293">
        <v>0</v>
      </c>
      <c r="I1293" t="s">
        <v>24</v>
      </c>
      <c r="J1293" t="s">
        <v>25</v>
      </c>
      <c r="K1293">
        <v>0</v>
      </c>
      <c r="L1293">
        <v>0</v>
      </c>
      <c r="M1293" t="s">
        <v>25</v>
      </c>
      <c r="N1293" t="s">
        <v>25</v>
      </c>
      <c r="O1293" t="s">
        <v>26</v>
      </c>
      <c r="P1293" t="s">
        <v>25</v>
      </c>
      <c r="Q1293" t="s">
        <v>27</v>
      </c>
      <c r="R1293" t="s">
        <v>28</v>
      </c>
    </row>
    <row r="1294" spans="1:18">
      <c r="A1294">
        <v>1298</v>
      </c>
      <c r="B1294" t="s">
        <v>1448</v>
      </c>
      <c r="C1294" t="s">
        <v>21</v>
      </c>
      <c r="D1294" t="s">
        <v>22</v>
      </c>
      <c r="E1294" t="s">
        <v>23</v>
      </c>
      <c r="F1294">
        <v>0</v>
      </c>
      <c r="G1294">
        <v>19</v>
      </c>
      <c r="H1294">
        <v>0</v>
      </c>
      <c r="I1294" t="s">
        <v>24</v>
      </c>
      <c r="J1294" t="s">
        <v>25</v>
      </c>
      <c r="K1294">
        <v>0</v>
      </c>
      <c r="L1294">
        <v>0</v>
      </c>
      <c r="M1294" t="s">
        <v>25</v>
      </c>
      <c r="N1294" t="s">
        <v>25</v>
      </c>
      <c r="O1294" t="s">
        <v>26</v>
      </c>
      <c r="P1294" t="s">
        <v>25</v>
      </c>
      <c r="Q1294" t="s">
        <v>27</v>
      </c>
      <c r="R1294" t="s">
        <v>28</v>
      </c>
    </row>
    <row r="1295" spans="1:18">
      <c r="A1295">
        <v>1299</v>
      </c>
      <c r="B1295" t="s">
        <v>1449</v>
      </c>
      <c r="C1295" t="s">
        <v>21</v>
      </c>
      <c r="D1295" t="s">
        <v>22</v>
      </c>
      <c r="E1295" t="s">
        <v>23</v>
      </c>
      <c r="F1295">
        <v>0</v>
      </c>
      <c r="G1295">
        <v>19</v>
      </c>
      <c r="H1295">
        <v>0</v>
      </c>
      <c r="I1295" t="s">
        <v>24</v>
      </c>
      <c r="J1295" t="s">
        <v>25</v>
      </c>
      <c r="K1295">
        <v>0</v>
      </c>
      <c r="L1295">
        <v>0</v>
      </c>
      <c r="M1295" t="s">
        <v>25</v>
      </c>
      <c r="N1295" t="s">
        <v>25</v>
      </c>
      <c r="O1295" t="s">
        <v>26</v>
      </c>
      <c r="P1295" t="s">
        <v>25</v>
      </c>
      <c r="Q1295" t="s">
        <v>27</v>
      </c>
      <c r="R1295" t="s">
        <v>28</v>
      </c>
    </row>
    <row r="1296" spans="1:18">
      <c r="A1296">
        <v>1300</v>
      </c>
      <c r="B1296" t="s">
        <v>1450</v>
      </c>
      <c r="C1296" t="s">
        <v>21</v>
      </c>
      <c r="D1296" t="s">
        <v>22</v>
      </c>
      <c r="E1296" t="s">
        <v>23</v>
      </c>
      <c r="F1296">
        <v>0</v>
      </c>
      <c r="G1296">
        <v>19</v>
      </c>
      <c r="H1296">
        <v>0</v>
      </c>
      <c r="I1296" t="s">
        <v>24</v>
      </c>
      <c r="J1296" t="s">
        <v>25</v>
      </c>
      <c r="K1296">
        <v>0</v>
      </c>
      <c r="L1296">
        <v>0</v>
      </c>
      <c r="M1296" t="s">
        <v>25</v>
      </c>
      <c r="N1296" t="s">
        <v>25</v>
      </c>
      <c r="O1296" t="s">
        <v>26</v>
      </c>
      <c r="P1296" t="s">
        <v>25</v>
      </c>
      <c r="Q1296" t="s">
        <v>27</v>
      </c>
      <c r="R1296" t="s">
        <v>28</v>
      </c>
    </row>
    <row r="1297" spans="1:20">
      <c r="A1297">
        <v>1301</v>
      </c>
      <c r="B1297" t="s">
        <v>1451</v>
      </c>
      <c r="C1297" t="s">
        <v>21</v>
      </c>
      <c r="D1297" t="s">
        <v>22</v>
      </c>
      <c r="E1297" t="s">
        <v>23</v>
      </c>
      <c r="F1297">
        <v>0</v>
      </c>
      <c r="G1297">
        <v>19</v>
      </c>
      <c r="H1297">
        <v>0</v>
      </c>
      <c r="I1297" t="s">
        <v>24</v>
      </c>
      <c r="J1297" t="s">
        <v>25</v>
      </c>
      <c r="K1297">
        <v>0</v>
      </c>
      <c r="L1297">
        <v>0</v>
      </c>
      <c r="M1297" t="s">
        <v>25</v>
      </c>
      <c r="N1297" t="s">
        <v>25</v>
      </c>
      <c r="O1297" t="s">
        <v>26</v>
      </c>
      <c r="P1297" t="s">
        <v>25</v>
      </c>
      <c r="Q1297" t="s">
        <v>27</v>
      </c>
      <c r="R1297" t="s">
        <v>28</v>
      </c>
    </row>
    <row r="1298" spans="1:20">
      <c r="A1298">
        <v>1302</v>
      </c>
      <c r="B1298" t="s">
        <v>1452</v>
      </c>
      <c r="C1298" t="s">
        <v>21</v>
      </c>
      <c r="D1298" t="s">
        <v>22</v>
      </c>
      <c r="E1298" t="s">
        <v>23</v>
      </c>
      <c r="F1298">
        <v>0</v>
      </c>
      <c r="G1298">
        <v>19</v>
      </c>
      <c r="H1298">
        <v>0</v>
      </c>
      <c r="I1298" t="s">
        <v>24</v>
      </c>
      <c r="J1298" t="s">
        <v>25</v>
      </c>
      <c r="K1298">
        <v>0</v>
      </c>
      <c r="L1298">
        <v>0</v>
      </c>
      <c r="M1298" t="s">
        <v>25</v>
      </c>
      <c r="N1298" t="s">
        <v>25</v>
      </c>
      <c r="O1298" t="s">
        <v>26</v>
      </c>
      <c r="P1298" t="s">
        <v>25</v>
      </c>
      <c r="Q1298" t="s">
        <v>27</v>
      </c>
      <c r="R1298" t="s">
        <v>28</v>
      </c>
    </row>
    <row r="1299" spans="1:20">
      <c r="A1299">
        <v>1303</v>
      </c>
      <c r="B1299" t="s">
        <v>1453</v>
      </c>
      <c r="C1299" t="s">
        <v>21</v>
      </c>
      <c r="D1299" t="s">
        <v>22</v>
      </c>
      <c r="E1299" t="s">
        <v>23</v>
      </c>
      <c r="F1299">
        <v>0</v>
      </c>
      <c r="G1299">
        <v>19</v>
      </c>
      <c r="H1299">
        <v>0</v>
      </c>
      <c r="I1299" t="s">
        <v>24</v>
      </c>
      <c r="J1299" t="s">
        <v>25</v>
      </c>
      <c r="K1299">
        <v>0</v>
      </c>
      <c r="L1299">
        <v>0</v>
      </c>
      <c r="M1299" t="s">
        <v>25</v>
      </c>
      <c r="N1299" t="s">
        <v>25</v>
      </c>
      <c r="O1299" t="s">
        <v>26</v>
      </c>
      <c r="P1299" t="s">
        <v>25</v>
      </c>
      <c r="Q1299" t="s">
        <v>27</v>
      </c>
      <c r="R1299" t="s">
        <v>28</v>
      </c>
    </row>
    <row r="1300" spans="1:20">
      <c r="A1300">
        <v>1304</v>
      </c>
      <c r="B1300" t="s">
        <v>1454</v>
      </c>
      <c r="C1300" t="s">
        <v>21</v>
      </c>
      <c r="D1300" t="s">
        <v>22</v>
      </c>
      <c r="E1300" t="s">
        <v>23</v>
      </c>
      <c r="F1300">
        <v>0</v>
      </c>
      <c r="G1300">
        <v>19</v>
      </c>
      <c r="H1300">
        <v>0</v>
      </c>
      <c r="I1300" t="s">
        <v>24</v>
      </c>
      <c r="J1300" t="s">
        <v>25</v>
      </c>
      <c r="K1300">
        <v>0</v>
      </c>
      <c r="L1300">
        <v>0</v>
      </c>
      <c r="M1300" t="s">
        <v>25</v>
      </c>
      <c r="N1300" t="s">
        <v>25</v>
      </c>
      <c r="O1300" t="s">
        <v>26</v>
      </c>
      <c r="P1300" t="s">
        <v>25</v>
      </c>
      <c r="Q1300" t="s">
        <v>27</v>
      </c>
      <c r="R1300" t="s">
        <v>28</v>
      </c>
      <c r="S1300" t="s">
        <v>51</v>
      </c>
      <c r="T1300" t="s">
        <v>1455</v>
      </c>
    </row>
    <row r="1301" spans="1:20">
      <c r="A1301">
        <v>1305</v>
      </c>
      <c r="B1301" t="s">
        <v>1456</v>
      </c>
      <c r="C1301" t="s">
        <v>21</v>
      </c>
      <c r="D1301" t="s">
        <v>22</v>
      </c>
      <c r="E1301" t="s">
        <v>23</v>
      </c>
      <c r="F1301">
        <v>0</v>
      </c>
      <c r="G1301">
        <v>19</v>
      </c>
      <c r="H1301">
        <v>0</v>
      </c>
      <c r="I1301" t="s">
        <v>24</v>
      </c>
      <c r="J1301" t="s">
        <v>25</v>
      </c>
      <c r="K1301">
        <v>0</v>
      </c>
      <c r="L1301">
        <v>0</v>
      </c>
      <c r="M1301" t="s">
        <v>25</v>
      </c>
      <c r="N1301" t="s">
        <v>25</v>
      </c>
      <c r="O1301" t="s">
        <v>26</v>
      </c>
      <c r="P1301" t="s">
        <v>25</v>
      </c>
      <c r="Q1301" t="s">
        <v>27</v>
      </c>
      <c r="R1301" t="s">
        <v>28</v>
      </c>
      <c r="S1301" t="s">
        <v>51</v>
      </c>
      <c r="T1301" t="s">
        <v>1455</v>
      </c>
    </row>
    <row r="1302" spans="1:20">
      <c r="A1302">
        <v>1306</v>
      </c>
      <c r="B1302" t="s">
        <v>1457</v>
      </c>
      <c r="C1302" t="s">
        <v>21</v>
      </c>
      <c r="D1302" t="s">
        <v>22</v>
      </c>
      <c r="E1302" t="s">
        <v>23</v>
      </c>
      <c r="F1302">
        <v>0</v>
      </c>
      <c r="G1302">
        <v>19</v>
      </c>
      <c r="H1302">
        <v>0</v>
      </c>
      <c r="I1302" t="s">
        <v>24</v>
      </c>
      <c r="J1302" t="s">
        <v>25</v>
      </c>
      <c r="K1302">
        <v>0</v>
      </c>
      <c r="L1302">
        <v>0</v>
      </c>
      <c r="M1302" t="s">
        <v>25</v>
      </c>
      <c r="N1302" t="s">
        <v>25</v>
      </c>
      <c r="O1302" t="s">
        <v>26</v>
      </c>
      <c r="P1302" t="s">
        <v>25</v>
      </c>
      <c r="Q1302" t="s">
        <v>27</v>
      </c>
      <c r="R1302" t="s">
        <v>28</v>
      </c>
      <c r="S1302" t="s">
        <v>51</v>
      </c>
      <c r="T1302" t="s">
        <v>1455</v>
      </c>
    </row>
    <row r="1303" spans="1:20">
      <c r="A1303">
        <v>1307</v>
      </c>
      <c r="B1303" t="s">
        <v>1458</v>
      </c>
      <c r="C1303" t="s">
        <v>21</v>
      </c>
      <c r="D1303" t="s">
        <v>22</v>
      </c>
      <c r="E1303" t="s">
        <v>23</v>
      </c>
      <c r="F1303">
        <v>0</v>
      </c>
      <c r="G1303">
        <v>19</v>
      </c>
      <c r="H1303">
        <v>0</v>
      </c>
      <c r="I1303" t="s">
        <v>24</v>
      </c>
      <c r="J1303" t="s">
        <v>25</v>
      </c>
      <c r="K1303">
        <v>0</v>
      </c>
      <c r="L1303">
        <v>0</v>
      </c>
      <c r="M1303" t="s">
        <v>25</v>
      </c>
      <c r="N1303" t="s">
        <v>25</v>
      </c>
      <c r="O1303" t="s">
        <v>26</v>
      </c>
      <c r="P1303" t="s">
        <v>25</v>
      </c>
      <c r="Q1303" t="s">
        <v>27</v>
      </c>
      <c r="R1303" t="s">
        <v>28</v>
      </c>
      <c r="S1303" t="s">
        <v>51</v>
      </c>
      <c r="T1303" t="s">
        <v>1455</v>
      </c>
    </row>
    <row r="1304" spans="1:20">
      <c r="A1304">
        <v>1308</v>
      </c>
      <c r="B1304" t="s">
        <v>1459</v>
      </c>
      <c r="C1304" t="s">
        <v>21</v>
      </c>
      <c r="D1304" t="s">
        <v>22</v>
      </c>
      <c r="E1304" t="s">
        <v>23</v>
      </c>
      <c r="F1304">
        <v>0</v>
      </c>
      <c r="G1304">
        <v>19</v>
      </c>
      <c r="H1304">
        <v>0</v>
      </c>
      <c r="I1304" t="s">
        <v>24</v>
      </c>
      <c r="J1304" t="s">
        <v>25</v>
      </c>
      <c r="K1304">
        <v>0</v>
      </c>
      <c r="L1304">
        <v>0</v>
      </c>
      <c r="M1304" t="s">
        <v>25</v>
      </c>
      <c r="N1304" t="s">
        <v>25</v>
      </c>
      <c r="O1304" t="s">
        <v>26</v>
      </c>
      <c r="P1304" t="s">
        <v>25</v>
      </c>
      <c r="Q1304" t="s">
        <v>27</v>
      </c>
      <c r="R1304" t="s">
        <v>28</v>
      </c>
      <c r="S1304" t="s">
        <v>51</v>
      </c>
      <c r="T1304" t="s">
        <v>1455</v>
      </c>
    </row>
    <row r="1305" spans="1:20">
      <c r="A1305">
        <v>1309</v>
      </c>
      <c r="B1305" t="s">
        <v>1460</v>
      </c>
      <c r="C1305" t="s">
        <v>21</v>
      </c>
      <c r="D1305" t="s">
        <v>22</v>
      </c>
      <c r="E1305" t="s">
        <v>23</v>
      </c>
      <c r="F1305">
        <v>0</v>
      </c>
      <c r="G1305">
        <v>19</v>
      </c>
      <c r="H1305">
        <v>0</v>
      </c>
      <c r="I1305" t="s">
        <v>24</v>
      </c>
      <c r="J1305" t="s">
        <v>25</v>
      </c>
      <c r="K1305">
        <v>0</v>
      </c>
      <c r="L1305">
        <v>0</v>
      </c>
      <c r="M1305" t="s">
        <v>25</v>
      </c>
      <c r="N1305" t="s">
        <v>25</v>
      </c>
      <c r="O1305" t="s">
        <v>26</v>
      </c>
      <c r="P1305" t="s">
        <v>25</v>
      </c>
      <c r="Q1305" t="s">
        <v>27</v>
      </c>
      <c r="R1305" t="s">
        <v>28</v>
      </c>
      <c r="S1305" t="s">
        <v>51</v>
      </c>
      <c r="T1305" t="s">
        <v>1455</v>
      </c>
    </row>
    <row r="1306" spans="1:20">
      <c r="A1306">
        <v>1310</v>
      </c>
      <c r="B1306" t="s">
        <v>1461</v>
      </c>
      <c r="C1306" t="s">
        <v>21</v>
      </c>
      <c r="D1306" t="s">
        <v>22</v>
      </c>
      <c r="E1306" t="s">
        <v>23</v>
      </c>
      <c r="F1306">
        <v>0</v>
      </c>
      <c r="G1306">
        <v>19</v>
      </c>
      <c r="H1306">
        <v>0</v>
      </c>
      <c r="I1306" t="s">
        <v>24</v>
      </c>
      <c r="J1306" t="s">
        <v>25</v>
      </c>
      <c r="K1306">
        <v>0</v>
      </c>
      <c r="L1306">
        <v>0</v>
      </c>
      <c r="M1306" t="s">
        <v>25</v>
      </c>
      <c r="N1306" t="s">
        <v>25</v>
      </c>
      <c r="O1306" t="s">
        <v>26</v>
      </c>
      <c r="P1306" t="s">
        <v>25</v>
      </c>
      <c r="Q1306" t="s">
        <v>27</v>
      </c>
      <c r="R1306" t="s">
        <v>28</v>
      </c>
    </row>
    <row r="1307" spans="1:20">
      <c r="A1307">
        <v>1311</v>
      </c>
      <c r="B1307" t="s">
        <v>1462</v>
      </c>
      <c r="C1307" t="s">
        <v>21</v>
      </c>
      <c r="D1307" t="s">
        <v>22</v>
      </c>
      <c r="E1307" t="s">
        <v>23</v>
      </c>
      <c r="F1307">
        <v>0</v>
      </c>
      <c r="G1307">
        <v>19</v>
      </c>
      <c r="H1307">
        <v>0</v>
      </c>
      <c r="I1307" t="s">
        <v>24</v>
      </c>
      <c r="J1307" t="s">
        <v>25</v>
      </c>
      <c r="K1307">
        <v>0</v>
      </c>
      <c r="L1307">
        <v>0</v>
      </c>
      <c r="M1307" t="s">
        <v>25</v>
      </c>
      <c r="N1307" t="s">
        <v>25</v>
      </c>
      <c r="O1307" t="s">
        <v>26</v>
      </c>
      <c r="P1307" t="s">
        <v>25</v>
      </c>
      <c r="Q1307" t="s">
        <v>27</v>
      </c>
      <c r="R1307" t="s">
        <v>28</v>
      </c>
    </row>
    <row r="1308" spans="1:20">
      <c r="A1308">
        <v>1312</v>
      </c>
      <c r="B1308" t="s">
        <v>1463</v>
      </c>
      <c r="C1308" t="s">
        <v>21</v>
      </c>
      <c r="D1308" t="s">
        <v>22</v>
      </c>
      <c r="E1308" t="s">
        <v>23</v>
      </c>
      <c r="F1308">
        <v>0</v>
      </c>
      <c r="G1308">
        <v>19</v>
      </c>
      <c r="H1308">
        <v>0</v>
      </c>
      <c r="I1308" t="s">
        <v>24</v>
      </c>
      <c r="J1308" t="s">
        <v>25</v>
      </c>
      <c r="K1308">
        <v>0</v>
      </c>
      <c r="L1308">
        <v>0</v>
      </c>
      <c r="M1308" t="s">
        <v>25</v>
      </c>
      <c r="N1308" t="s">
        <v>25</v>
      </c>
      <c r="O1308" t="s">
        <v>26</v>
      </c>
      <c r="P1308" t="s">
        <v>25</v>
      </c>
      <c r="Q1308" t="s">
        <v>27</v>
      </c>
      <c r="R1308" t="s">
        <v>28</v>
      </c>
    </row>
    <row r="1309" spans="1:20">
      <c r="A1309">
        <v>1313</v>
      </c>
      <c r="B1309" t="s">
        <v>1464</v>
      </c>
      <c r="C1309" t="s">
        <v>216</v>
      </c>
      <c r="D1309" t="s">
        <v>217</v>
      </c>
      <c r="E1309" t="s">
        <v>218</v>
      </c>
      <c r="F1309">
        <v>0</v>
      </c>
      <c r="G1309">
        <v>19</v>
      </c>
      <c r="H1309">
        <v>0</v>
      </c>
      <c r="I1309" t="s">
        <v>24</v>
      </c>
      <c r="J1309" t="s">
        <v>25</v>
      </c>
      <c r="K1309">
        <v>0</v>
      </c>
      <c r="L1309">
        <v>0</v>
      </c>
      <c r="M1309" t="s">
        <v>25</v>
      </c>
      <c r="N1309" t="s">
        <v>25</v>
      </c>
      <c r="O1309" t="s">
        <v>26</v>
      </c>
      <c r="P1309" t="s">
        <v>25</v>
      </c>
      <c r="Q1309" t="s">
        <v>27</v>
      </c>
      <c r="R1309" t="s">
        <v>28</v>
      </c>
      <c r="S1309" t="s">
        <v>231</v>
      </c>
      <c r="T1309" t="s">
        <v>828</v>
      </c>
    </row>
    <row r="1310" spans="1:20">
      <c r="A1310">
        <v>1314</v>
      </c>
      <c r="B1310" t="s">
        <v>1465</v>
      </c>
      <c r="C1310" t="s">
        <v>36</v>
      </c>
      <c r="D1310" t="s">
        <v>217</v>
      </c>
      <c r="E1310" t="s">
        <v>37</v>
      </c>
      <c r="F1310">
        <v>0</v>
      </c>
      <c r="G1310">
        <v>19</v>
      </c>
      <c r="H1310">
        <v>0</v>
      </c>
      <c r="I1310" t="s">
        <v>24</v>
      </c>
      <c r="J1310" t="s">
        <v>25</v>
      </c>
      <c r="K1310">
        <v>0</v>
      </c>
      <c r="L1310">
        <v>0</v>
      </c>
      <c r="M1310" t="s">
        <v>25</v>
      </c>
      <c r="N1310" t="s">
        <v>25</v>
      </c>
      <c r="O1310" t="s">
        <v>26</v>
      </c>
      <c r="P1310" t="s">
        <v>25</v>
      </c>
      <c r="Q1310" t="s">
        <v>27</v>
      </c>
      <c r="R1310" t="s">
        <v>28</v>
      </c>
      <c r="S1310" t="s">
        <v>231</v>
      </c>
      <c r="T1310" t="s">
        <v>828</v>
      </c>
    </row>
    <row r="1311" spans="1:20">
      <c r="A1311">
        <v>1315</v>
      </c>
      <c r="B1311" t="s">
        <v>1466</v>
      </c>
      <c r="C1311" t="s">
        <v>36</v>
      </c>
      <c r="D1311" t="s">
        <v>217</v>
      </c>
      <c r="E1311" t="s">
        <v>1467</v>
      </c>
      <c r="F1311">
        <v>0</v>
      </c>
      <c r="G1311">
        <v>19</v>
      </c>
      <c r="H1311">
        <v>0</v>
      </c>
      <c r="I1311" t="s">
        <v>24</v>
      </c>
      <c r="J1311" t="s">
        <v>25</v>
      </c>
      <c r="K1311">
        <v>0</v>
      </c>
      <c r="L1311">
        <v>0</v>
      </c>
      <c r="M1311" t="s">
        <v>25</v>
      </c>
      <c r="N1311" t="s">
        <v>25</v>
      </c>
      <c r="O1311" t="s">
        <v>26</v>
      </c>
      <c r="P1311" t="s">
        <v>25</v>
      </c>
      <c r="Q1311" t="s">
        <v>27</v>
      </c>
      <c r="R1311" t="s">
        <v>28</v>
      </c>
      <c r="S1311" t="s">
        <v>231</v>
      </c>
      <c r="T1311" t="s">
        <v>1468</v>
      </c>
    </row>
    <row r="1312" spans="1:20">
      <c r="A1312">
        <v>1316</v>
      </c>
      <c r="B1312" t="s">
        <v>1469</v>
      </c>
      <c r="C1312" t="s">
        <v>36</v>
      </c>
      <c r="D1312" t="s">
        <v>217</v>
      </c>
      <c r="E1312" t="s">
        <v>37</v>
      </c>
      <c r="F1312">
        <v>0</v>
      </c>
      <c r="G1312">
        <v>19</v>
      </c>
      <c r="H1312">
        <v>0</v>
      </c>
      <c r="I1312" t="s">
        <v>24</v>
      </c>
      <c r="J1312" t="s">
        <v>25</v>
      </c>
      <c r="K1312">
        <v>0</v>
      </c>
      <c r="L1312">
        <v>0</v>
      </c>
      <c r="M1312" t="s">
        <v>25</v>
      </c>
      <c r="N1312" t="s">
        <v>25</v>
      </c>
      <c r="O1312" t="s">
        <v>26</v>
      </c>
      <c r="P1312" t="s">
        <v>25</v>
      </c>
      <c r="Q1312" t="s">
        <v>27</v>
      </c>
      <c r="R1312" t="s">
        <v>28</v>
      </c>
      <c r="S1312" t="s">
        <v>231</v>
      </c>
      <c r="T1312" t="s">
        <v>828</v>
      </c>
    </row>
    <row r="1313" spans="1:20">
      <c r="A1313">
        <v>1317</v>
      </c>
      <c r="B1313" t="s">
        <v>1470</v>
      </c>
      <c r="C1313" t="s">
        <v>36</v>
      </c>
      <c r="D1313" t="s">
        <v>217</v>
      </c>
      <c r="E1313" t="s">
        <v>37</v>
      </c>
      <c r="F1313">
        <v>0</v>
      </c>
      <c r="G1313">
        <v>19</v>
      </c>
      <c r="H1313">
        <v>0</v>
      </c>
      <c r="I1313" t="s">
        <v>24</v>
      </c>
      <c r="J1313" t="s">
        <v>25</v>
      </c>
      <c r="K1313">
        <v>0</v>
      </c>
      <c r="L1313">
        <v>0</v>
      </c>
      <c r="M1313" t="s">
        <v>25</v>
      </c>
      <c r="N1313" t="s">
        <v>25</v>
      </c>
      <c r="O1313" t="s">
        <v>26</v>
      </c>
      <c r="P1313" t="s">
        <v>25</v>
      </c>
      <c r="Q1313" t="s">
        <v>27</v>
      </c>
      <c r="R1313" t="s">
        <v>28</v>
      </c>
      <c r="S1313" t="s">
        <v>27</v>
      </c>
      <c r="T1313" t="s">
        <v>1471</v>
      </c>
    </row>
    <row r="1314" spans="1:20">
      <c r="A1314">
        <v>1318</v>
      </c>
      <c r="B1314" t="s">
        <v>1472</v>
      </c>
      <c r="C1314" t="s">
        <v>36</v>
      </c>
      <c r="D1314" t="s">
        <v>22</v>
      </c>
      <c r="E1314" t="s">
        <v>37</v>
      </c>
      <c r="F1314">
        <v>0</v>
      </c>
      <c r="G1314">
        <v>19</v>
      </c>
      <c r="H1314">
        <v>0</v>
      </c>
      <c r="I1314" t="s">
        <v>24</v>
      </c>
      <c r="J1314" t="s">
        <v>25</v>
      </c>
      <c r="K1314">
        <v>0</v>
      </c>
      <c r="L1314">
        <v>0</v>
      </c>
      <c r="M1314" t="s">
        <v>25</v>
      </c>
      <c r="N1314" t="s">
        <v>25</v>
      </c>
      <c r="O1314" t="s">
        <v>26</v>
      </c>
      <c r="P1314" t="s">
        <v>25</v>
      </c>
      <c r="Q1314" t="s">
        <v>27</v>
      </c>
      <c r="R1314" t="s">
        <v>28</v>
      </c>
    </row>
    <row r="1315" spans="1:20">
      <c r="A1315">
        <v>1319</v>
      </c>
      <c r="B1315" t="s">
        <v>1473</v>
      </c>
      <c r="C1315" t="s">
        <v>36</v>
      </c>
      <c r="D1315" t="s">
        <v>22</v>
      </c>
      <c r="E1315" t="s">
        <v>37</v>
      </c>
      <c r="F1315">
        <v>0</v>
      </c>
      <c r="G1315">
        <v>19</v>
      </c>
      <c r="H1315">
        <v>0</v>
      </c>
      <c r="I1315" t="s">
        <v>24</v>
      </c>
      <c r="J1315" t="s">
        <v>25</v>
      </c>
      <c r="K1315">
        <v>0</v>
      </c>
      <c r="L1315">
        <v>0</v>
      </c>
      <c r="M1315" t="s">
        <v>25</v>
      </c>
      <c r="N1315" t="s">
        <v>25</v>
      </c>
      <c r="O1315" t="s">
        <v>26</v>
      </c>
      <c r="P1315" t="s">
        <v>25</v>
      </c>
      <c r="Q1315" t="s">
        <v>27</v>
      </c>
      <c r="R1315" t="s">
        <v>28</v>
      </c>
    </row>
    <row r="1316" spans="1:20">
      <c r="A1316">
        <v>1320</v>
      </c>
      <c r="B1316" t="s">
        <v>1474</v>
      </c>
      <c r="C1316" t="s">
        <v>36</v>
      </c>
      <c r="D1316" t="s">
        <v>22</v>
      </c>
      <c r="E1316" t="s">
        <v>37</v>
      </c>
      <c r="F1316">
        <v>0</v>
      </c>
      <c r="G1316">
        <v>19</v>
      </c>
      <c r="H1316">
        <v>0</v>
      </c>
      <c r="I1316" t="s">
        <v>24</v>
      </c>
      <c r="J1316" t="s">
        <v>25</v>
      </c>
      <c r="K1316">
        <v>0</v>
      </c>
      <c r="L1316">
        <v>0</v>
      </c>
      <c r="M1316" t="s">
        <v>25</v>
      </c>
      <c r="N1316" t="s">
        <v>25</v>
      </c>
      <c r="O1316" t="s">
        <v>26</v>
      </c>
      <c r="P1316" t="s">
        <v>25</v>
      </c>
      <c r="Q1316" t="s">
        <v>27</v>
      </c>
      <c r="R1316" t="s">
        <v>28</v>
      </c>
    </row>
    <row r="1317" spans="1:20">
      <c r="A1317">
        <v>1321</v>
      </c>
      <c r="B1317" t="s">
        <v>1475</v>
      </c>
      <c r="C1317" t="s">
        <v>36</v>
      </c>
      <c r="D1317" t="s">
        <v>22</v>
      </c>
      <c r="E1317" t="s">
        <v>37</v>
      </c>
      <c r="F1317">
        <v>0</v>
      </c>
      <c r="G1317">
        <v>19</v>
      </c>
      <c r="H1317">
        <v>0</v>
      </c>
      <c r="I1317" t="s">
        <v>24</v>
      </c>
      <c r="J1317" t="s">
        <v>25</v>
      </c>
      <c r="K1317">
        <v>0</v>
      </c>
      <c r="L1317">
        <v>0</v>
      </c>
      <c r="M1317" t="s">
        <v>25</v>
      </c>
      <c r="N1317" t="s">
        <v>25</v>
      </c>
      <c r="O1317" t="s">
        <v>26</v>
      </c>
      <c r="P1317" t="s">
        <v>25</v>
      </c>
      <c r="Q1317" t="s">
        <v>27</v>
      </c>
      <c r="R1317" t="s">
        <v>28</v>
      </c>
    </row>
    <row r="1318" spans="1:20">
      <c r="A1318">
        <v>1322</v>
      </c>
      <c r="B1318" t="s">
        <v>1476</v>
      </c>
      <c r="C1318" t="s">
        <v>36</v>
      </c>
      <c r="D1318" t="s">
        <v>22</v>
      </c>
      <c r="E1318" t="s">
        <v>37</v>
      </c>
      <c r="F1318">
        <v>0</v>
      </c>
      <c r="G1318">
        <v>19</v>
      </c>
      <c r="H1318">
        <v>0</v>
      </c>
      <c r="I1318" t="s">
        <v>24</v>
      </c>
      <c r="J1318" t="s">
        <v>25</v>
      </c>
      <c r="K1318">
        <v>0</v>
      </c>
      <c r="L1318">
        <v>0</v>
      </c>
      <c r="M1318" t="s">
        <v>25</v>
      </c>
      <c r="N1318" t="s">
        <v>25</v>
      </c>
      <c r="O1318" t="s">
        <v>26</v>
      </c>
      <c r="P1318" t="s">
        <v>25</v>
      </c>
      <c r="Q1318" t="s">
        <v>27</v>
      </c>
      <c r="R1318" t="s">
        <v>28</v>
      </c>
    </row>
    <row r="1319" spans="1:20">
      <c r="A1319">
        <v>1323</v>
      </c>
      <c r="B1319" t="s">
        <v>1477</v>
      </c>
      <c r="C1319" t="s">
        <v>36</v>
      </c>
      <c r="D1319" t="s">
        <v>217</v>
      </c>
      <c r="E1319" t="s">
        <v>37</v>
      </c>
      <c r="F1319">
        <v>0</v>
      </c>
      <c r="G1319">
        <v>19</v>
      </c>
      <c r="H1319">
        <v>0</v>
      </c>
      <c r="I1319" t="s">
        <v>24</v>
      </c>
      <c r="J1319" t="s">
        <v>25</v>
      </c>
      <c r="K1319">
        <v>0</v>
      </c>
      <c r="L1319">
        <v>0</v>
      </c>
      <c r="M1319" t="s">
        <v>25</v>
      </c>
      <c r="N1319" t="s">
        <v>25</v>
      </c>
      <c r="O1319" t="s">
        <v>26</v>
      </c>
      <c r="P1319" t="s">
        <v>25</v>
      </c>
      <c r="Q1319" t="s">
        <v>27</v>
      </c>
      <c r="R1319" t="s">
        <v>28</v>
      </c>
    </row>
    <row r="1320" spans="1:20">
      <c r="A1320">
        <v>1324</v>
      </c>
      <c r="B1320" t="s">
        <v>1478</v>
      </c>
      <c r="C1320" t="s">
        <v>102</v>
      </c>
      <c r="D1320" t="s">
        <v>229</v>
      </c>
      <c r="E1320" t="s">
        <v>103</v>
      </c>
      <c r="F1320">
        <v>0</v>
      </c>
      <c r="G1320">
        <v>19</v>
      </c>
      <c r="H1320">
        <v>0</v>
      </c>
      <c r="I1320" t="s">
        <v>24</v>
      </c>
      <c r="J1320" t="s">
        <v>25</v>
      </c>
      <c r="K1320">
        <v>0</v>
      </c>
      <c r="L1320">
        <v>0</v>
      </c>
      <c r="M1320" t="s">
        <v>25</v>
      </c>
      <c r="N1320" t="s">
        <v>25</v>
      </c>
      <c r="O1320" t="s">
        <v>26</v>
      </c>
      <c r="P1320" t="s">
        <v>25</v>
      </c>
      <c r="Q1320" t="s">
        <v>27</v>
      </c>
      <c r="R1320" t="s">
        <v>28</v>
      </c>
      <c r="S1320" t="s">
        <v>27</v>
      </c>
      <c r="T1320" t="s">
        <v>1471</v>
      </c>
    </row>
    <row r="1321" spans="1:20">
      <c r="A1321">
        <v>1325</v>
      </c>
      <c r="B1321" t="s">
        <v>1479</v>
      </c>
      <c r="C1321" t="s">
        <v>36</v>
      </c>
      <c r="D1321" t="s">
        <v>22</v>
      </c>
      <c r="E1321" t="s">
        <v>37</v>
      </c>
      <c r="F1321">
        <v>0</v>
      </c>
      <c r="G1321">
        <v>19</v>
      </c>
      <c r="H1321">
        <v>0</v>
      </c>
      <c r="I1321" t="s">
        <v>24</v>
      </c>
      <c r="J1321" t="s">
        <v>25</v>
      </c>
      <c r="K1321">
        <v>0</v>
      </c>
      <c r="L1321">
        <v>0</v>
      </c>
      <c r="M1321" t="s">
        <v>25</v>
      </c>
      <c r="N1321" t="s">
        <v>25</v>
      </c>
      <c r="O1321" t="s">
        <v>26</v>
      </c>
      <c r="P1321" t="s">
        <v>25</v>
      </c>
      <c r="Q1321" t="s">
        <v>27</v>
      </c>
      <c r="R1321" t="s">
        <v>28</v>
      </c>
    </row>
    <row r="1322" spans="1:20">
      <c r="A1322">
        <v>1326</v>
      </c>
      <c r="B1322" t="s">
        <v>1480</v>
      </c>
      <c r="C1322" t="s">
        <v>36</v>
      </c>
      <c r="D1322" t="s">
        <v>229</v>
      </c>
      <c r="E1322" t="s">
        <v>37</v>
      </c>
      <c r="F1322">
        <v>0</v>
      </c>
      <c r="G1322">
        <v>19</v>
      </c>
      <c r="H1322">
        <v>0</v>
      </c>
      <c r="I1322" t="s">
        <v>24</v>
      </c>
      <c r="J1322" t="s">
        <v>25</v>
      </c>
      <c r="K1322">
        <v>0</v>
      </c>
      <c r="L1322">
        <v>0</v>
      </c>
      <c r="M1322" t="s">
        <v>25</v>
      </c>
      <c r="N1322" t="s">
        <v>25</v>
      </c>
      <c r="O1322" t="s">
        <v>26</v>
      </c>
      <c r="P1322" t="s">
        <v>25</v>
      </c>
      <c r="Q1322" t="s">
        <v>27</v>
      </c>
      <c r="R1322" t="s">
        <v>28</v>
      </c>
    </row>
    <row r="1323" spans="1:20">
      <c r="A1323">
        <v>1327</v>
      </c>
      <c r="B1323" t="s">
        <v>1481</v>
      </c>
      <c r="C1323" t="s">
        <v>36</v>
      </c>
      <c r="D1323" t="s">
        <v>22</v>
      </c>
      <c r="E1323" t="s">
        <v>37</v>
      </c>
      <c r="F1323">
        <v>0</v>
      </c>
      <c r="G1323">
        <v>19</v>
      </c>
      <c r="H1323">
        <v>0</v>
      </c>
      <c r="I1323" t="s">
        <v>24</v>
      </c>
      <c r="J1323" t="s">
        <v>25</v>
      </c>
      <c r="K1323">
        <v>0</v>
      </c>
      <c r="L1323">
        <v>0</v>
      </c>
      <c r="M1323" t="s">
        <v>25</v>
      </c>
      <c r="N1323" t="s">
        <v>25</v>
      </c>
      <c r="O1323" t="s">
        <v>26</v>
      </c>
      <c r="P1323" t="s">
        <v>25</v>
      </c>
      <c r="Q1323" t="s">
        <v>27</v>
      </c>
      <c r="R1323" t="s">
        <v>28</v>
      </c>
    </row>
    <row r="1324" spans="1:20">
      <c r="A1324">
        <v>1328</v>
      </c>
      <c r="B1324" t="s">
        <v>1482</v>
      </c>
      <c r="C1324" t="s">
        <v>36</v>
      </c>
      <c r="D1324" t="s">
        <v>22</v>
      </c>
      <c r="E1324" t="s">
        <v>37</v>
      </c>
      <c r="F1324">
        <v>0</v>
      </c>
      <c r="G1324">
        <v>19</v>
      </c>
      <c r="H1324">
        <v>0</v>
      </c>
      <c r="I1324" t="s">
        <v>24</v>
      </c>
      <c r="J1324" t="s">
        <v>25</v>
      </c>
      <c r="K1324">
        <v>0</v>
      </c>
      <c r="L1324">
        <v>0</v>
      </c>
      <c r="M1324" t="s">
        <v>25</v>
      </c>
      <c r="N1324" t="s">
        <v>25</v>
      </c>
      <c r="O1324" t="s">
        <v>26</v>
      </c>
      <c r="P1324" t="s">
        <v>25</v>
      </c>
      <c r="Q1324" t="s">
        <v>27</v>
      </c>
      <c r="R1324" t="s">
        <v>28</v>
      </c>
    </row>
    <row r="1325" spans="1:20">
      <c r="A1325">
        <v>1329</v>
      </c>
      <c r="B1325" t="s">
        <v>1483</v>
      </c>
      <c r="C1325" t="s">
        <v>36</v>
      </c>
      <c r="D1325" t="s">
        <v>22</v>
      </c>
      <c r="E1325" t="s">
        <v>37</v>
      </c>
      <c r="F1325">
        <v>0</v>
      </c>
      <c r="G1325">
        <v>19</v>
      </c>
      <c r="H1325">
        <v>0</v>
      </c>
      <c r="I1325" t="s">
        <v>24</v>
      </c>
      <c r="J1325" t="s">
        <v>25</v>
      </c>
      <c r="K1325">
        <v>0</v>
      </c>
      <c r="L1325">
        <v>0</v>
      </c>
      <c r="M1325" t="s">
        <v>25</v>
      </c>
      <c r="N1325" t="s">
        <v>25</v>
      </c>
      <c r="O1325" t="s">
        <v>26</v>
      </c>
      <c r="P1325" t="s">
        <v>25</v>
      </c>
      <c r="Q1325" t="s">
        <v>27</v>
      </c>
      <c r="R1325" t="s">
        <v>28</v>
      </c>
    </row>
    <row r="1326" spans="1:20">
      <c r="A1326">
        <v>1330</v>
      </c>
      <c r="B1326" t="s">
        <v>1484</v>
      </c>
      <c r="C1326" t="s">
        <v>36</v>
      </c>
      <c r="D1326" t="s">
        <v>22</v>
      </c>
      <c r="E1326" t="s">
        <v>37</v>
      </c>
      <c r="F1326">
        <v>0</v>
      </c>
      <c r="G1326">
        <v>19</v>
      </c>
      <c r="H1326">
        <v>0</v>
      </c>
      <c r="I1326" t="s">
        <v>24</v>
      </c>
      <c r="J1326" t="s">
        <v>25</v>
      </c>
      <c r="K1326">
        <v>0</v>
      </c>
      <c r="L1326">
        <v>0</v>
      </c>
      <c r="M1326" t="s">
        <v>25</v>
      </c>
      <c r="N1326" t="s">
        <v>25</v>
      </c>
      <c r="O1326" t="s">
        <v>26</v>
      </c>
      <c r="P1326" t="s">
        <v>25</v>
      </c>
      <c r="Q1326" t="s">
        <v>27</v>
      </c>
      <c r="R1326" t="s">
        <v>28</v>
      </c>
    </row>
    <row r="1327" spans="1:20">
      <c r="A1327">
        <v>1331</v>
      </c>
      <c r="B1327" t="s">
        <v>1485</v>
      </c>
      <c r="C1327" t="s">
        <v>36</v>
      </c>
      <c r="D1327" t="s">
        <v>22</v>
      </c>
      <c r="E1327" t="s">
        <v>37</v>
      </c>
      <c r="F1327">
        <v>0</v>
      </c>
      <c r="G1327">
        <v>19</v>
      </c>
      <c r="H1327">
        <v>0</v>
      </c>
      <c r="I1327" t="s">
        <v>24</v>
      </c>
      <c r="J1327" t="s">
        <v>25</v>
      </c>
      <c r="K1327">
        <v>0</v>
      </c>
      <c r="L1327">
        <v>0</v>
      </c>
      <c r="M1327" t="s">
        <v>25</v>
      </c>
      <c r="N1327" t="s">
        <v>25</v>
      </c>
      <c r="O1327" t="s">
        <v>26</v>
      </c>
      <c r="P1327" t="s">
        <v>25</v>
      </c>
      <c r="Q1327" t="s">
        <v>27</v>
      </c>
      <c r="R1327" t="s">
        <v>28</v>
      </c>
    </row>
    <row r="1328" spans="1:20">
      <c r="A1328">
        <v>1332</v>
      </c>
      <c r="B1328" t="s">
        <v>1486</v>
      </c>
      <c r="C1328" t="s">
        <v>36</v>
      </c>
      <c r="D1328" t="s">
        <v>217</v>
      </c>
      <c r="E1328" t="s">
        <v>1487</v>
      </c>
      <c r="F1328">
        <v>646123953</v>
      </c>
      <c r="G1328">
        <v>19</v>
      </c>
      <c r="H1328">
        <v>646123953</v>
      </c>
      <c r="I1328" t="s">
        <v>24</v>
      </c>
      <c r="J1328" t="s">
        <v>25</v>
      </c>
      <c r="K1328">
        <v>0</v>
      </c>
      <c r="L1328">
        <v>0</v>
      </c>
      <c r="M1328" t="s">
        <v>25</v>
      </c>
      <c r="N1328" t="s">
        <v>25</v>
      </c>
      <c r="O1328" t="s">
        <v>26</v>
      </c>
      <c r="P1328" t="s">
        <v>25</v>
      </c>
      <c r="Q1328" t="s">
        <v>27</v>
      </c>
      <c r="R1328" t="s">
        <v>28</v>
      </c>
      <c r="S1328" t="s">
        <v>297</v>
      </c>
      <c r="T1328" t="s">
        <v>1471</v>
      </c>
    </row>
    <row r="1329" spans="1:20">
      <c r="A1329">
        <v>1333</v>
      </c>
      <c r="B1329" t="s">
        <v>1488</v>
      </c>
      <c r="C1329" t="s">
        <v>36</v>
      </c>
      <c r="D1329" t="s">
        <v>217</v>
      </c>
      <c r="E1329" t="s">
        <v>1489</v>
      </c>
      <c r="F1329">
        <v>680463110</v>
      </c>
      <c r="G1329">
        <v>19</v>
      </c>
      <c r="H1329">
        <v>680463110</v>
      </c>
      <c r="I1329" t="s">
        <v>24</v>
      </c>
      <c r="J1329" t="s">
        <v>25</v>
      </c>
      <c r="K1329">
        <v>0</v>
      </c>
      <c r="L1329">
        <v>0</v>
      </c>
      <c r="M1329" t="s">
        <v>25</v>
      </c>
      <c r="N1329" t="s">
        <v>25</v>
      </c>
      <c r="O1329" t="s">
        <v>26</v>
      </c>
      <c r="P1329" t="s">
        <v>25</v>
      </c>
      <c r="Q1329" t="s">
        <v>27</v>
      </c>
      <c r="R1329" t="s">
        <v>28</v>
      </c>
      <c r="S1329" t="s">
        <v>297</v>
      </c>
      <c r="T1329" t="s">
        <v>1471</v>
      </c>
    </row>
    <row r="1330" spans="1:20">
      <c r="A1330">
        <v>1334</v>
      </c>
      <c r="B1330" t="s">
        <v>1490</v>
      </c>
      <c r="C1330" t="s">
        <v>36</v>
      </c>
      <c r="D1330" t="s">
        <v>217</v>
      </c>
      <c r="E1330" t="s">
        <v>1491</v>
      </c>
      <c r="F1330">
        <v>0</v>
      </c>
      <c r="G1330">
        <v>19</v>
      </c>
      <c r="H1330">
        <v>0</v>
      </c>
      <c r="I1330" t="s">
        <v>24</v>
      </c>
      <c r="J1330" t="s">
        <v>25</v>
      </c>
      <c r="K1330">
        <v>0</v>
      </c>
      <c r="L1330">
        <v>0</v>
      </c>
      <c r="M1330" t="s">
        <v>25</v>
      </c>
      <c r="N1330" t="s">
        <v>25</v>
      </c>
      <c r="O1330" t="s">
        <v>26</v>
      </c>
      <c r="P1330" t="s">
        <v>25</v>
      </c>
      <c r="Q1330" t="s">
        <v>27</v>
      </c>
      <c r="R1330" t="s">
        <v>28</v>
      </c>
      <c r="S1330" t="s">
        <v>297</v>
      </c>
      <c r="T1330" t="s">
        <v>1471</v>
      </c>
    </row>
    <row r="1331" spans="1:20">
      <c r="A1331">
        <v>1336</v>
      </c>
      <c r="B1331" t="s">
        <v>1492</v>
      </c>
      <c r="C1331" t="s">
        <v>36</v>
      </c>
      <c r="D1331" t="s">
        <v>217</v>
      </c>
      <c r="E1331" t="s">
        <v>1493</v>
      </c>
      <c r="F1331">
        <v>7782220528</v>
      </c>
      <c r="G1331">
        <v>19</v>
      </c>
      <c r="H1331">
        <v>7782220528</v>
      </c>
      <c r="I1331" t="s">
        <v>24</v>
      </c>
      <c r="J1331" t="s">
        <v>25</v>
      </c>
      <c r="K1331">
        <v>0</v>
      </c>
      <c r="L1331">
        <v>0</v>
      </c>
      <c r="M1331" t="s">
        <v>25</v>
      </c>
      <c r="N1331" t="s">
        <v>25</v>
      </c>
      <c r="O1331" t="s">
        <v>26</v>
      </c>
      <c r="P1331" t="s">
        <v>25</v>
      </c>
      <c r="Q1331" t="s">
        <v>27</v>
      </c>
      <c r="R1331" t="s">
        <v>28</v>
      </c>
      <c r="S1331" t="s">
        <v>297</v>
      </c>
      <c r="T1331" t="s">
        <v>1471</v>
      </c>
    </row>
    <row r="1332" spans="1:20">
      <c r="A1332">
        <v>1337</v>
      </c>
      <c r="B1332" t="s">
        <v>1494</v>
      </c>
      <c r="C1332" t="s">
        <v>36</v>
      </c>
      <c r="D1332" t="s">
        <v>217</v>
      </c>
      <c r="E1332" t="s">
        <v>37</v>
      </c>
      <c r="F1332">
        <v>0</v>
      </c>
      <c r="G1332">
        <v>19</v>
      </c>
      <c r="H1332">
        <v>0</v>
      </c>
      <c r="I1332" t="s">
        <v>24</v>
      </c>
      <c r="J1332" t="s">
        <v>25</v>
      </c>
      <c r="K1332">
        <v>0</v>
      </c>
      <c r="L1332">
        <v>0</v>
      </c>
      <c r="M1332" t="s">
        <v>25</v>
      </c>
      <c r="N1332" t="s">
        <v>25</v>
      </c>
      <c r="O1332" t="s">
        <v>26</v>
      </c>
      <c r="P1332" t="s">
        <v>25</v>
      </c>
      <c r="Q1332" t="s">
        <v>27</v>
      </c>
      <c r="R1332" t="s">
        <v>28</v>
      </c>
    </row>
    <row r="1333" spans="1:20">
      <c r="A1333">
        <v>1338</v>
      </c>
      <c r="B1333" t="s">
        <v>1495</v>
      </c>
      <c r="C1333" t="s">
        <v>36</v>
      </c>
      <c r="D1333" t="s">
        <v>217</v>
      </c>
      <c r="E1333" t="s">
        <v>37</v>
      </c>
      <c r="F1333">
        <v>0</v>
      </c>
      <c r="G1333">
        <v>19</v>
      </c>
      <c r="H1333">
        <v>0</v>
      </c>
      <c r="I1333" t="s">
        <v>24</v>
      </c>
      <c r="J1333" t="s">
        <v>25</v>
      </c>
      <c r="K1333">
        <v>0</v>
      </c>
      <c r="L1333">
        <v>0</v>
      </c>
      <c r="M1333" t="s">
        <v>25</v>
      </c>
      <c r="N1333" t="s">
        <v>25</v>
      </c>
      <c r="O1333" t="s">
        <v>26</v>
      </c>
      <c r="P1333" t="s">
        <v>25</v>
      </c>
      <c r="Q1333" t="s">
        <v>27</v>
      </c>
      <c r="R1333" t="s">
        <v>28</v>
      </c>
    </row>
    <row r="1334" spans="1:20">
      <c r="A1334">
        <v>1339</v>
      </c>
      <c r="B1334" t="s">
        <v>1496</v>
      </c>
      <c r="C1334" t="s">
        <v>21</v>
      </c>
      <c r="D1334" t="s">
        <v>22</v>
      </c>
      <c r="E1334" t="s">
        <v>23</v>
      </c>
      <c r="F1334">
        <v>0</v>
      </c>
      <c r="G1334">
        <v>19</v>
      </c>
      <c r="H1334">
        <v>0</v>
      </c>
      <c r="I1334" t="s">
        <v>24</v>
      </c>
      <c r="J1334" t="s">
        <v>25</v>
      </c>
      <c r="K1334">
        <v>0</v>
      </c>
      <c r="L1334">
        <v>0</v>
      </c>
      <c r="M1334" t="s">
        <v>25</v>
      </c>
      <c r="N1334" t="s">
        <v>25</v>
      </c>
      <c r="O1334" t="s">
        <v>26</v>
      </c>
      <c r="P1334" t="s">
        <v>25</v>
      </c>
      <c r="Q1334" t="s">
        <v>27</v>
      </c>
      <c r="R1334" t="s">
        <v>28</v>
      </c>
      <c r="S1334" t="s">
        <v>231</v>
      </c>
      <c r="T1334" t="s">
        <v>1497</v>
      </c>
    </row>
    <row r="1335" spans="1:20">
      <c r="A1335">
        <v>1340</v>
      </c>
      <c r="B1335" t="s">
        <v>1498</v>
      </c>
      <c r="C1335" t="s">
        <v>36</v>
      </c>
      <c r="D1335" t="s">
        <v>217</v>
      </c>
      <c r="E1335" t="s">
        <v>1404</v>
      </c>
      <c r="F1335">
        <v>0</v>
      </c>
      <c r="G1335">
        <v>19</v>
      </c>
      <c r="H1335">
        <v>0</v>
      </c>
      <c r="I1335" t="s">
        <v>24</v>
      </c>
      <c r="J1335" t="s">
        <v>25</v>
      </c>
      <c r="K1335">
        <v>0</v>
      </c>
      <c r="L1335">
        <v>0</v>
      </c>
      <c r="M1335" t="s">
        <v>25</v>
      </c>
      <c r="N1335" t="s">
        <v>25</v>
      </c>
      <c r="O1335" t="s">
        <v>26</v>
      </c>
      <c r="P1335" t="s">
        <v>25</v>
      </c>
      <c r="Q1335" t="s">
        <v>27</v>
      </c>
      <c r="R1335" t="s">
        <v>28</v>
      </c>
      <c r="S1335" t="s">
        <v>231</v>
      </c>
      <c r="T1335" t="s">
        <v>1006</v>
      </c>
    </row>
    <row r="1336" spans="1:20">
      <c r="A1336">
        <v>1341</v>
      </c>
      <c r="B1336" t="s">
        <v>1499</v>
      </c>
      <c r="C1336" t="s">
        <v>36</v>
      </c>
      <c r="D1336" t="s">
        <v>217</v>
      </c>
      <c r="E1336" t="s">
        <v>1500</v>
      </c>
      <c r="F1336">
        <v>0</v>
      </c>
      <c r="G1336">
        <v>19</v>
      </c>
      <c r="H1336">
        <v>0</v>
      </c>
      <c r="I1336" t="s">
        <v>24</v>
      </c>
      <c r="J1336" t="s">
        <v>25</v>
      </c>
      <c r="K1336">
        <v>0</v>
      </c>
      <c r="L1336">
        <v>0</v>
      </c>
      <c r="M1336" t="s">
        <v>25</v>
      </c>
      <c r="N1336" t="s">
        <v>25</v>
      </c>
      <c r="O1336" t="s">
        <v>26</v>
      </c>
      <c r="P1336" t="s">
        <v>25</v>
      </c>
      <c r="Q1336" t="s">
        <v>27</v>
      </c>
      <c r="R1336" t="s">
        <v>28</v>
      </c>
      <c r="S1336" t="s">
        <v>231</v>
      </c>
      <c r="T1336" t="s">
        <v>1501</v>
      </c>
    </row>
    <row r="1337" spans="1:20">
      <c r="A1337">
        <v>1342</v>
      </c>
      <c r="B1337" t="s">
        <v>1502</v>
      </c>
      <c r="C1337" t="s">
        <v>36</v>
      </c>
      <c r="D1337" t="s">
        <v>217</v>
      </c>
      <c r="E1337" t="s">
        <v>37</v>
      </c>
      <c r="F1337">
        <v>0</v>
      </c>
      <c r="G1337">
        <v>19</v>
      </c>
      <c r="H1337">
        <v>0</v>
      </c>
      <c r="I1337" t="s">
        <v>24</v>
      </c>
      <c r="J1337" t="s">
        <v>25</v>
      </c>
      <c r="K1337">
        <v>0</v>
      </c>
      <c r="L1337">
        <v>0</v>
      </c>
      <c r="M1337" t="s">
        <v>25</v>
      </c>
      <c r="N1337" t="s">
        <v>25</v>
      </c>
      <c r="O1337" t="s">
        <v>26</v>
      </c>
      <c r="P1337" t="s">
        <v>25</v>
      </c>
      <c r="Q1337" t="s">
        <v>27</v>
      </c>
      <c r="R1337" t="s">
        <v>28</v>
      </c>
    </row>
    <row r="1338" spans="1:20">
      <c r="A1338">
        <v>1343</v>
      </c>
      <c r="B1338" t="s">
        <v>1503</v>
      </c>
      <c r="C1338" t="s">
        <v>36</v>
      </c>
      <c r="D1338" t="s">
        <v>217</v>
      </c>
      <c r="E1338" t="s">
        <v>37</v>
      </c>
      <c r="F1338">
        <v>0</v>
      </c>
      <c r="G1338">
        <v>19</v>
      </c>
      <c r="H1338">
        <v>0</v>
      </c>
      <c r="I1338" t="s">
        <v>24</v>
      </c>
      <c r="J1338" t="s">
        <v>25</v>
      </c>
      <c r="K1338">
        <v>0</v>
      </c>
      <c r="L1338">
        <v>0</v>
      </c>
      <c r="M1338" t="s">
        <v>25</v>
      </c>
      <c r="N1338" t="s">
        <v>25</v>
      </c>
      <c r="O1338" t="s">
        <v>26</v>
      </c>
      <c r="P1338" t="s">
        <v>25</v>
      </c>
      <c r="Q1338" t="s">
        <v>27</v>
      </c>
      <c r="R1338" t="s">
        <v>28</v>
      </c>
    </row>
    <row r="1339" spans="1:20">
      <c r="A1339">
        <v>1344</v>
      </c>
      <c r="B1339" t="s">
        <v>1504</v>
      </c>
      <c r="C1339" t="s">
        <v>36</v>
      </c>
      <c r="D1339" t="s">
        <v>217</v>
      </c>
      <c r="E1339" t="s">
        <v>1505</v>
      </c>
      <c r="F1339">
        <v>0</v>
      </c>
      <c r="G1339">
        <v>19</v>
      </c>
      <c r="H1339">
        <v>0</v>
      </c>
      <c r="I1339" t="s">
        <v>24</v>
      </c>
      <c r="J1339" t="s">
        <v>25</v>
      </c>
      <c r="K1339">
        <v>0</v>
      </c>
      <c r="L1339">
        <v>0</v>
      </c>
      <c r="M1339" t="s">
        <v>25</v>
      </c>
      <c r="N1339" t="s">
        <v>25</v>
      </c>
      <c r="O1339" t="s">
        <v>26</v>
      </c>
      <c r="P1339" t="s">
        <v>25</v>
      </c>
      <c r="Q1339" t="s">
        <v>27</v>
      </c>
      <c r="R1339" t="s">
        <v>28</v>
      </c>
    </row>
    <row r="1340" spans="1:20">
      <c r="A1340">
        <v>1345</v>
      </c>
      <c r="B1340" t="s">
        <v>1506</v>
      </c>
      <c r="C1340" t="s">
        <v>216</v>
      </c>
      <c r="D1340" t="s">
        <v>217</v>
      </c>
      <c r="E1340" t="s">
        <v>1507</v>
      </c>
      <c r="F1340">
        <v>0</v>
      </c>
      <c r="G1340">
        <v>19</v>
      </c>
      <c r="H1340">
        <v>0</v>
      </c>
      <c r="I1340" t="s">
        <v>24</v>
      </c>
      <c r="J1340" t="s">
        <v>25</v>
      </c>
      <c r="K1340">
        <v>0</v>
      </c>
      <c r="L1340">
        <v>0</v>
      </c>
      <c r="M1340" t="s">
        <v>25</v>
      </c>
      <c r="N1340" t="s">
        <v>25</v>
      </c>
      <c r="O1340" t="s">
        <v>26</v>
      </c>
      <c r="P1340" t="s">
        <v>25</v>
      </c>
      <c r="Q1340" t="s">
        <v>27</v>
      </c>
      <c r="R1340" t="s">
        <v>28</v>
      </c>
    </row>
    <row r="1341" spans="1:20">
      <c r="A1341">
        <v>1346</v>
      </c>
      <c r="B1341" t="s">
        <v>1508</v>
      </c>
      <c r="C1341" t="s">
        <v>216</v>
      </c>
      <c r="D1341" t="s">
        <v>217</v>
      </c>
      <c r="E1341" t="s">
        <v>1507</v>
      </c>
      <c r="F1341">
        <v>0</v>
      </c>
      <c r="G1341">
        <v>19</v>
      </c>
      <c r="H1341">
        <v>0</v>
      </c>
      <c r="I1341" t="s">
        <v>24</v>
      </c>
      <c r="J1341" t="s">
        <v>25</v>
      </c>
      <c r="K1341">
        <v>0</v>
      </c>
      <c r="L1341">
        <v>0</v>
      </c>
      <c r="M1341" t="s">
        <v>25</v>
      </c>
      <c r="N1341" t="s">
        <v>25</v>
      </c>
      <c r="O1341" t="s">
        <v>26</v>
      </c>
      <c r="P1341" t="s">
        <v>25</v>
      </c>
      <c r="Q1341" t="s">
        <v>27</v>
      </c>
      <c r="R1341" t="s">
        <v>28</v>
      </c>
    </row>
    <row r="1342" spans="1:20">
      <c r="A1342">
        <v>1347</v>
      </c>
      <c r="B1342" t="s">
        <v>1509</v>
      </c>
      <c r="C1342" t="s">
        <v>36</v>
      </c>
      <c r="D1342" t="s">
        <v>217</v>
      </c>
      <c r="E1342" t="s">
        <v>37</v>
      </c>
      <c r="F1342">
        <v>0</v>
      </c>
      <c r="G1342">
        <v>19</v>
      </c>
      <c r="H1342">
        <v>0</v>
      </c>
      <c r="I1342" t="s">
        <v>24</v>
      </c>
      <c r="J1342" t="s">
        <v>25</v>
      </c>
      <c r="K1342">
        <v>0</v>
      </c>
      <c r="L1342">
        <v>0</v>
      </c>
      <c r="M1342" t="s">
        <v>25</v>
      </c>
      <c r="N1342" t="s">
        <v>25</v>
      </c>
      <c r="O1342" t="s">
        <v>26</v>
      </c>
      <c r="P1342" t="s">
        <v>25</v>
      </c>
      <c r="Q1342" t="s">
        <v>27</v>
      </c>
      <c r="R1342" t="s">
        <v>28</v>
      </c>
    </row>
    <row r="1343" spans="1:20">
      <c r="A1343">
        <v>1348</v>
      </c>
      <c r="B1343" t="s">
        <v>1510</v>
      </c>
      <c r="C1343" t="s">
        <v>36</v>
      </c>
      <c r="D1343" t="s">
        <v>217</v>
      </c>
      <c r="E1343" t="s">
        <v>37</v>
      </c>
      <c r="F1343">
        <v>0</v>
      </c>
      <c r="G1343">
        <v>19</v>
      </c>
      <c r="H1343">
        <v>0</v>
      </c>
      <c r="I1343" t="s">
        <v>24</v>
      </c>
      <c r="J1343" t="s">
        <v>25</v>
      </c>
      <c r="K1343">
        <v>0</v>
      </c>
      <c r="L1343">
        <v>0</v>
      </c>
      <c r="M1343" t="s">
        <v>25</v>
      </c>
      <c r="N1343" t="s">
        <v>25</v>
      </c>
      <c r="O1343" t="s">
        <v>26</v>
      </c>
      <c r="P1343" t="s">
        <v>25</v>
      </c>
      <c r="Q1343" t="s">
        <v>27</v>
      </c>
      <c r="R1343" t="s">
        <v>28</v>
      </c>
    </row>
    <row r="1344" spans="1:20">
      <c r="A1344">
        <v>1349</v>
      </c>
      <c r="B1344" t="s">
        <v>1511</v>
      </c>
      <c r="C1344" t="s">
        <v>21</v>
      </c>
      <c r="D1344" t="s">
        <v>217</v>
      </c>
      <c r="E1344" t="s">
        <v>23</v>
      </c>
      <c r="F1344">
        <v>0</v>
      </c>
      <c r="G1344">
        <v>19</v>
      </c>
      <c r="H1344">
        <v>0</v>
      </c>
      <c r="I1344" t="s">
        <v>24</v>
      </c>
      <c r="J1344" t="s">
        <v>25</v>
      </c>
      <c r="K1344">
        <v>0</v>
      </c>
      <c r="L1344">
        <v>0</v>
      </c>
      <c r="M1344" t="s">
        <v>25</v>
      </c>
      <c r="N1344" t="s">
        <v>25</v>
      </c>
      <c r="O1344" t="s">
        <v>26</v>
      </c>
      <c r="P1344" t="s">
        <v>25</v>
      </c>
      <c r="Q1344" t="s">
        <v>27</v>
      </c>
      <c r="R1344" t="s">
        <v>28</v>
      </c>
    </row>
    <row r="1345" spans="1:20">
      <c r="A1345">
        <v>1350</v>
      </c>
      <c r="B1345" t="s">
        <v>1512</v>
      </c>
      <c r="C1345" t="s">
        <v>21</v>
      </c>
      <c r="D1345" t="s">
        <v>22</v>
      </c>
      <c r="E1345" t="s">
        <v>23</v>
      </c>
      <c r="F1345">
        <v>0</v>
      </c>
      <c r="G1345">
        <v>19</v>
      </c>
      <c r="H1345">
        <v>0</v>
      </c>
      <c r="I1345" t="s">
        <v>24</v>
      </c>
      <c r="J1345" t="s">
        <v>25</v>
      </c>
      <c r="K1345">
        <v>0</v>
      </c>
      <c r="L1345">
        <v>0</v>
      </c>
      <c r="M1345" t="s">
        <v>25</v>
      </c>
      <c r="N1345" t="s">
        <v>25</v>
      </c>
      <c r="O1345" t="s">
        <v>26</v>
      </c>
      <c r="P1345" t="s">
        <v>25</v>
      </c>
      <c r="Q1345" t="s">
        <v>27</v>
      </c>
      <c r="R1345" t="s">
        <v>28</v>
      </c>
    </row>
    <row r="1346" spans="1:20">
      <c r="A1346">
        <v>1351</v>
      </c>
      <c r="B1346" t="s">
        <v>1513</v>
      </c>
      <c r="C1346" t="s">
        <v>102</v>
      </c>
      <c r="D1346" t="s">
        <v>22</v>
      </c>
      <c r="E1346" t="s">
        <v>23</v>
      </c>
      <c r="F1346">
        <v>0</v>
      </c>
      <c r="G1346">
        <v>19</v>
      </c>
      <c r="H1346">
        <v>0</v>
      </c>
      <c r="I1346" t="s">
        <v>24</v>
      </c>
      <c r="J1346" t="s">
        <v>25</v>
      </c>
      <c r="K1346">
        <v>0</v>
      </c>
      <c r="L1346">
        <v>0</v>
      </c>
      <c r="M1346" t="s">
        <v>25</v>
      </c>
      <c r="N1346" t="s">
        <v>25</v>
      </c>
      <c r="O1346" t="s">
        <v>26</v>
      </c>
      <c r="P1346" t="s">
        <v>25</v>
      </c>
      <c r="Q1346" t="s">
        <v>27</v>
      </c>
      <c r="R1346" t="s">
        <v>28</v>
      </c>
    </row>
    <row r="1347" spans="1:20">
      <c r="A1347">
        <v>1352</v>
      </c>
      <c r="B1347" t="s">
        <v>1514</v>
      </c>
      <c r="C1347" t="s">
        <v>21</v>
      </c>
      <c r="D1347" t="s">
        <v>22</v>
      </c>
      <c r="E1347" t="s">
        <v>23</v>
      </c>
      <c r="F1347">
        <v>0</v>
      </c>
      <c r="G1347">
        <v>19</v>
      </c>
      <c r="H1347">
        <v>0</v>
      </c>
      <c r="I1347" t="s">
        <v>24</v>
      </c>
      <c r="J1347" t="s">
        <v>25</v>
      </c>
      <c r="K1347">
        <v>0</v>
      </c>
      <c r="L1347">
        <v>0</v>
      </c>
      <c r="M1347" t="s">
        <v>25</v>
      </c>
      <c r="N1347" t="s">
        <v>25</v>
      </c>
      <c r="O1347" t="s">
        <v>26</v>
      </c>
      <c r="P1347" t="s">
        <v>25</v>
      </c>
      <c r="Q1347" t="s">
        <v>27</v>
      </c>
      <c r="R1347" t="s">
        <v>28</v>
      </c>
    </row>
    <row r="1348" spans="1:20">
      <c r="A1348">
        <v>1353</v>
      </c>
      <c r="B1348" t="s">
        <v>1515</v>
      </c>
      <c r="C1348" t="s">
        <v>36</v>
      </c>
      <c r="D1348" t="s">
        <v>22</v>
      </c>
      <c r="E1348" t="s">
        <v>244</v>
      </c>
      <c r="F1348">
        <v>0</v>
      </c>
      <c r="G1348">
        <v>19</v>
      </c>
      <c r="H1348">
        <v>0</v>
      </c>
      <c r="I1348" t="s">
        <v>24</v>
      </c>
      <c r="J1348" t="s">
        <v>25</v>
      </c>
      <c r="K1348">
        <v>0</v>
      </c>
      <c r="L1348">
        <v>0</v>
      </c>
      <c r="M1348" t="s">
        <v>25</v>
      </c>
      <c r="N1348" t="s">
        <v>25</v>
      </c>
      <c r="O1348" t="s">
        <v>26</v>
      </c>
      <c r="P1348" t="s">
        <v>25</v>
      </c>
      <c r="Q1348" t="s">
        <v>27</v>
      </c>
      <c r="R1348" t="s">
        <v>28</v>
      </c>
    </row>
    <row r="1349" spans="1:20">
      <c r="A1349">
        <v>1354</v>
      </c>
      <c r="B1349" t="s">
        <v>1516</v>
      </c>
      <c r="C1349" t="s">
        <v>21</v>
      </c>
      <c r="D1349" t="s">
        <v>22</v>
      </c>
      <c r="E1349" t="s">
        <v>23</v>
      </c>
      <c r="F1349">
        <v>0</v>
      </c>
      <c r="G1349">
        <v>19</v>
      </c>
      <c r="H1349">
        <v>0</v>
      </c>
      <c r="I1349" t="s">
        <v>24</v>
      </c>
      <c r="J1349" t="s">
        <v>25</v>
      </c>
      <c r="K1349">
        <v>0</v>
      </c>
      <c r="L1349">
        <v>0</v>
      </c>
      <c r="M1349" t="s">
        <v>25</v>
      </c>
      <c r="N1349" t="s">
        <v>25</v>
      </c>
      <c r="O1349" t="s">
        <v>26</v>
      </c>
      <c r="P1349" t="s">
        <v>25</v>
      </c>
      <c r="Q1349" t="s">
        <v>27</v>
      </c>
      <c r="R1349" t="s">
        <v>28</v>
      </c>
    </row>
    <row r="1350" spans="1:20">
      <c r="A1350">
        <v>1355</v>
      </c>
      <c r="B1350" t="s">
        <v>1517</v>
      </c>
      <c r="C1350" t="s">
        <v>21</v>
      </c>
      <c r="D1350" t="s">
        <v>22</v>
      </c>
      <c r="E1350" t="s">
        <v>23</v>
      </c>
      <c r="F1350">
        <v>0</v>
      </c>
      <c r="G1350">
        <v>19</v>
      </c>
      <c r="H1350">
        <v>0</v>
      </c>
      <c r="I1350" t="s">
        <v>24</v>
      </c>
      <c r="J1350" t="s">
        <v>25</v>
      </c>
      <c r="K1350">
        <v>0</v>
      </c>
      <c r="L1350">
        <v>0</v>
      </c>
      <c r="M1350" t="s">
        <v>25</v>
      </c>
      <c r="N1350" t="s">
        <v>25</v>
      </c>
      <c r="O1350" t="s">
        <v>26</v>
      </c>
      <c r="P1350" t="s">
        <v>25</v>
      </c>
      <c r="Q1350" t="s">
        <v>27</v>
      </c>
      <c r="R1350" t="s">
        <v>28</v>
      </c>
    </row>
    <row r="1351" spans="1:20">
      <c r="A1351">
        <v>1356</v>
      </c>
      <c r="B1351" t="s">
        <v>1518</v>
      </c>
      <c r="C1351" t="s">
        <v>21</v>
      </c>
      <c r="D1351" t="s">
        <v>22</v>
      </c>
      <c r="E1351" t="s">
        <v>23</v>
      </c>
      <c r="F1351">
        <v>0</v>
      </c>
      <c r="G1351">
        <v>19</v>
      </c>
      <c r="H1351">
        <v>0</v>
      </c>
      <c r="I1351" t="s">
        <v>532</v>
      </c>
      <c r="J1351" t="s">
        <v>25</v>
      </c>
      <c r="K1351">
        <v>0</v>
      </c>
      <c r="L1351">
        <v>0</v>
      </c>
      <c r="M1351" t="s">
        <v>25</v>
      </c>
      <c r="N1351" t="s">
        <v>25</v>
      </c>
      <c r="O1351" t="s">
        <v>26</v>
      </c>
      <c r="P1351" t="s">
        <v>25</v>
      </c>
      <c r="Q1351" t="s">
        <v>27</v>
      </c>
      <c r="R1351" t="s">
        <v>28</v>
      </c>
      <c r="S1351" t="s">
        <v>51</v>
      </c>
      <c r="T1351" t="s">
        <v>792</v>
      </c>
    </row>
    <row r="1352" spans="1:20">
      <c r="A1352">
        <v>1357</v>
      </c>
      <c r="B1352" t="s">
        <v>1519</v>
      </c>
      <c r="C1352" t="s">
        <v>21</v>
      </c>
      <c r="D1352" t="s">
        <v>302</v>
      </c>
      <c r="E1352" t="s">
        <v>23</v>
      </c>
      <c r="F1352">
        <v>15789</v>
      </c>
      <c r="G1352">
        <v>19</v>
      </c>
      <c r="H1352">
        <v>18788.91</v>
      </c>
      <c r="I1352" t="s">
        <v>24</v>
      </c>
      <c r="J1352" t="s">
        <v>25</v>
      </c>
      <c r="K1352">
        <v>0</v>
      </c>
      <c r="L1352">
        <v>0</v>
      </c>
      <c r="M1352" t="s">
        <v>25</v>
      </c>
      <c r="N1352" t="s">
        <v>25</v>
      </c>
      <c r="O1352" t="s">
        <v>26</v>
      </c>
      <c r="P1352" t="s">
        <v>25</v>
      </c>
      <c r="Q1352" t="s">
        <v>27</v>
      </c>
      <c r="R1352" t="s">
        <v>28</v>
      </c>
      <c r="S1352" t="s">
        <v>51</v>
      </c>
      <c r="T1352" t="s">
        <v>303</v>
      </c>
    </row>
    <row r="1353" spans="1:20">
      <c r="A1353">
        <v>1358</v>
      </c>
      <c r="B1353" t="s">
        <v>1520</v>
      </c>
      <c r="C1353" t="s">
        <v>21</v>
      </c>
      <c r="D1353" t="s">
        <v>22</v>
      </c>
      <c r="E1353" t="s">
        <v>23</v>
      </c>
      <c r="F1353">
        <v>0</v>
      </c>
      <c r="G1353">
        <v>19</v>
      </c>
      <c r="H1353">
        <v>0</v>
      </c>
      <c r="I1353" t="s">
        <v>24</v>
      </c>
      <c r="J1353" t="s">
        <v>25</v>
      </c>
      <c r="K1353">
        <v>0</v>
      </c>
      <c r="L1353">
        <v>0</v>
      </c>
      <c r="M1353" t="s">
        <v>25</v>
      </c>
      <c r="N1353" t="s">
        <v>25</v>
      </c>
      <c r="O1353" t="s">
        <v>26</v>
      </c>
      <c r="P1353" t="s">
        <v>25</v>
      </c>
      <c r="Q1353" t="s">
        <v>27</v>
      </c>
      <c r="R1353" t="s">
        <v>28</v>
      </c>
    </row>
    <row r="1354" spans="1:20">
      <c r="A1354">
        <v>1359</v>
      </c>
      <c r="B1354" t="s">
        <v>1521</v>
      </c>
      <c r="C1354" t="s">
        <v>21</v>
      </c>
      <c r="D1354" t="s">
        <v>22</v>
      </c>
      <c r="E1354" t="s">
        <v>23</v>
      </c>
      <c r="F1354">
        <v>0</v>
      </c>
      <c r="G1354">
        <v>19</v>
      </c>
      <c r="H1354">
        <v>0</v>
      </c>
      <c r="I1354" t="s">
        <v>24</v>
      </c>
      <c r="J1354" t="s">
        <v>25</v>
      </c>
      <c r="K1354">
        <v>0</v>
      </c>
      <c r="L1354">
        <v>0</v>
      </c>
      <c r="M1354" t="s">
        <v>25</v>
      </c>
      <c r="N1354" t="s">
        <v>25</v>
      </c>
      <c r="O1354" t="s">
        <v>26</v>
      </c>
      <c r="P1354" t="s">
        <v>25</v>
      </c>
      <c r="Q1354" t="s">
        <v>27</v>
      </c>
      <c r="R1354" t="s">
        <v>28</v>
      </c>
    </row>
    <row r="1355" spans="1:20">
      <c r="A1355">
        <v>1360</v>
      </c>
      <c r="B1355" t="s">
        <v>1522</v>
      </c>
      <c r="C1355" t="s">
        <v>21</v>
      </c>
      <c r="D1355" t="s">
        <v>22</v>
      </c>
      <c r="E1355" t="s">
        <v>23</v>
      </c>
      <c r="F1355">
        <v>0</v>
      </c>
      <c r="G1355">
        <v>19</v>
      </c>
      <c r="H1355">
        <v>0</v>
      </c>
      <c r="I1355" t="s">
        <v>24</v>
      </c>
      <c r="J1355" t="s">
        <v>25</v>
      </c>
      <c r="K1355">
        <v>0</v>
      </c>
      <c r="L1355">
        <v>0</v>
      </c>
      <c r="M1355" t="s">
        <v>25</v>
      </c>
      <c r="N1355" t="s">
        <v>25</v>
      </c>
      <c r="O1355" t="s">
        <v>26</v>
      </c>
      <c r="P1355" t="s">
        <v>25</v>
      </c>
      <c r="Q1355" t="s">
        <v>27</v>
      </c>
      <c r="R1355" t="s">
        <v>28</v>
      </c>
    </row>
    <row r="1356" spans="1:20">
      <c r="A1356">
        <v>1361</v>
      </c>
      <c r="B1356" t="s">
        <v>1523</v>
      </c>
      <c r="C1356" t="s">
        <v>21</v>
      </c>
      <c r="D1356" t="s">
        <v>22</v>
      </c>
      <c r="E1356" t="s">
        <v>23</v>
      </c>
      <c r="F1356">
        <v>0</v>
      </c>
      <c r="G1356">
        <v>19</v>
      </c>
      <c r="H1356">
        <v>0</v>
      </c>
      <c r="I1356" t="s">
        <v>532</v>
      </c>
      <c r="J1356" t="s">
        <v>25</v>
      </c>
      <c r="K1356">
        <v>0</v>
      </c>
      <c r="L1356">
        <v>0</v>
      </c>
      <c r="M1356" t="s">
        <v>25</v>
      </c>
      <c r="N1356" t="s">
        <v>25</v>
      </c>
      <c r="O1356" t="s">
        <v>26</v>
      </c>
      <c r="P1356" t="s">
        <v>25</v>
      </c>
      <c r="Q1356" t="s">
        <v>27</v>
      </c>
      <c r="R1356" t="s">
        <v>28</v>
      </c>
      <c r="S1356" t="s">
        <v>51</v>
      </c>
      <c r="T1356" t="s">
        <v>52</v>
      </c>
    </row>
    <row r="1357" spans="1:20">
      <c r="A1357">
        <v>1362</v>
      </c>
      <c r="B1357" t="s">
        <v>1524</v>
      </c>
      <c r="C1357" t="s">
        <v>21</v>
      </c>
      <c r="D1357" t="s">
        <v>22</v>
      </c>
      <c r="E1357" t="s">
        <v>23</v>
      </c>
      <c r="F1357">
        <v>0</v>
      </c>
      <c r="G1357">
        <v>19</v>
      </c>
      <c r="H1357">
        <v>0</v>
      </c>
      <c r="I1357" t="s">
        <v>24</v>
      </c>
      <c r="J1357" t="s">
        <v>25</v>
      </c>
      <c r="K1357">
        <v>0</v>
      </c>
      <c r="L1357">
        <v>0</v>
      </c>
      <c r="M1357" t="s">
        <v>25</v>
      </c>
      <c r="N1357" t="s">
        <v>25</v>
      </c>
      <c r="O1357" t="s">
        <v>26</v>
      </c>
      <c r="P1357" t="s">
        <v>25</v>
      </c>
      <c r="Q1357" t="s">
        <v>27</v>
      </c>
      <c r="R1357" t="s">
        <v>28</v>
      </c>
    </row>
    <row r="1358" spans="1:20">
      <c r="A1358">
        <v>1363</v>
      </c>
      <c r="B1358" t="s">
        <v>1525</v>
      </c>
      <c r="C1358" t="s">
        <v>21</v>
      </c>
      <c r="D1358" t="s">
        <v>22</v>
      </c>
      <c r="E1358" t="s">
        <v>23</v>
      </c>
      <c r="F1358">
        <v>0</v>
      </c>
      <c r="G1358">
        <v>19</v>
      </c>
      <c r="H1358">
        <v>0</v>
      </c>
      <c r="I1358" t="s">
        <v>24</v>
      </c>
      <c r="J1358" t="s">
        <v>25</v>
      </c>
      <c r="K1358">
        <v>0</v>
      </c>
      <c r="L1358">
        <v>0</v>
      </c>
      <c r="M1358" t="s">
        <v>25</v>
      </c>
      <c r="N1358" t="s">
        <v>25</v>
      </c>
      <c r="O1358" t="s">
        <v>26</v>
      </c>
      <c r="P1358" t="s">
        <v>25</v>
      </c>
      <c r="Q1358" t="s">
        <v>27</v>
      </c>
      <c r="R1358" t="s">
        <v>28</v>
      </c>
    </row>
    <row r="1359" spans="1:20">
      <c r="A1359">
        <v>1365</v>
      </c>
      <c r="B1359" t="s">
        <v>1526</v>
      </c>
      <c r="C1359" t="s">
        <v>21</v>
      </c>
      <c r="D1359" t="s">
        <v>22</v>
      </c>
      <c r="E1359" t="s">
        <v>23</v>
      </c>
      <c r="F1359">
        <v>0</v>
      </c>
      <c r="G1359">
        <v>19</v>
      </c>
      <c r="H1359">
        <v>0</v>
      </c>
      <c r="I1359" t="s">
        <v>24</v>
      </c>
      <c r="J1359" t="s">
        <v>25</v>
      </c>
      <c r="K1359">
        <v>0</v>
      </c>
      <c r="L1359">
        <v>0</v>
      </c>
      <c r="M1359" t="s">
        <v>25</v>
      </c>
      <c r="N1359" t="s">
        <v>25</v>
      </c>
      <c r="O1359" t="s">
        <v>26</v>
      </c>
      <c r="P1359" t="s">
        <v>25</v>
      </c>
      <c r="Q1359" t="s">
        <v>27</v>
      </c>
      <c r="R1359" t="s">
        <v>28</v>
      </c>
    </row>
    <row r="1360" spans="1:20">
      <c r="A1360">
        <v>1366</v>
      </c>
      <c r="B1360" t="s">
        <v>1527</v>
      </c>
      <c r="C1360" t="s">
        <v>21</v>
      </c>
      <c r="D1360" t="s">
        <v>22</v>
      </c>
      <c r="E1360" t="s">
        <v>23</v>
      </c>
      <c r="F1360">
        <v>0</v>
      </c>
      <c r="G1360">
        <v>19</v>
      </c>
      <c r="H1360">
        <v>0</v>
      </c>
      <c r="I1360" t="s">
        <v>24</v>
      </c>
      <c r="J1360" t="s">
        <v>25</v>
      </c>
      <c r="K1360">
        <v>0</v>
      </c>
      <c r="L1360">
        <v>0</v>
      </c>
      <c r="M1360" t="s">
        <v>25</v>
      </c>
      <c r="N1360" t="s">
        <v>25</v>
      </c>
      <c r="O1360" t="s">
        <v>26</v>
      </c>
      <c r="P1360" t="s">
        <v>25</v>
      </c>
      <c r="Q1360" t="s">
        <v>27</v>
      </c>
      <c r="R1360" t="s">
        <v>28</v>
      </c>
    </row>
    <row r="1361" spans="1:20">
      <c r="A1361">
        <v>1367</v>
      </c>
      <c r="B1361" t="s">
        <v>1528</v>
      </c>
      <c r="C1361" t="s">
        <v>21</v>
      </c>
      <c r="D1361" t="s">
        <v>22</v>
      </c>
      <c r="E1361" t="s">
        <v>23</v>
      </c>
      <c r="F1361">
        <v>0</v>
      </c>
      <c r="G1361">
        <v>19</v>
      </c>
      <c r="H1361">
        <v>0</v>
      </c>
      <c r="I1361" t="s">
        <v>24</v>
      </c>
      <c r="J1361" t="s">
        <v>25</v>
      </c>
      <c r="K1361">
        <v>0</v>
      </c>
      <c r="L1361">
        <v>0</v>
      </c>
      <c r="M1361" t="s">
        <v>25</v>
      </c>
      <c r="N1361" t="s">
        <v>25</v>
      </c>
      <c r="O1361" t="s">
        <v>26</v>
      </c>
      <c r="P1361" t="s">
        <v>25</v>
      </c>
      <c r="Q1361" t="s">
        <v>27</v>
      </c>
      <c r="R1361" t="s">
        <v>28</v>
      </c>
    </row>
    <row r="1362" spans="1:20">
      <c r="A1362">
        <v>1368</v>
      </c>
      <c r="B1362" t="s">
        <v>1529</v>
      </c>
      <c r="C1362" t="s">
        <v>21</v>
      </c>
      <c r="D1362" t="s">
        <v>22</v>
      </c>
      <c r="E1362" t="s">
        <v>23</v>
      </c>
      <c r="F1362">
        <v>21000</v>
      </c>
      <c r="G1362">
        <v>19</v>
      </c>
      <c r="H1362">
        <v>24990</v>
      </c>
      <c r="I1362" t="s">
        <v>24</v>
      </c>
      <c r="J1362" t="s">
        <v>25</v>
      </c>
      <c r="K1362">
        <v>0</v>
      </c>
      <c r="L1362">
        <v>0</v>
      </c>
      <c r="M1362" t="s">
        <v>25</v>
      </c>
      <c r="N1362" t="s">
        <v>25</v>
      </c>
      <c r="O1362" t="s">
        <v>26</v>
      </c>
      <c r="P1362" t="s">
        <v>25</v>
      </c>
      <c r="Q1362" t="s">
        <v>27</v>
      </c>
      <c r="R1362" t="s">
        <v>28</v>
      </c>
      <c r="S1362" t="s">
        <v>51</v>
      </c>
      <c r="T1362" t="s">
        <v>305</v>
      </c>
    </row>
    <row r="1363" spans="1:20">
      <c r="A1363">
        <v>1369</v>
      </c>
      <c r="B1363" t="s">
        <v>1530</v>
      </c>
      <c r="C1363" t="s">
        <v>21</v>
      </c>
      <c r="D1363" t="s">
        <v>22</v>
      </c>
      <c r="E1363" t="s">
        <v>23</v>
      </c>
      <c r="F1363">
        <v>0</v>
      </c>
      <c r="G1363">
        <v>19</v>
      </c>
      <c r="H1363">
        <v>0</v>
      </c>
      <c r="I1363" t="s">
        <v>24</v>
      </c>
      <c r="J1363" t="s">
        <v>25</v>
      </c>
      <c r="K1363">
        <v>0</v>
      </c>
      <c r="L1363">
        <v>0</v>
      </c>
      <c r="M1363" t="s">
        <v>25</v>
      </c>
      <c r="N1363" t="s">
        <v>25</v>
      </c>
      <c r="O1363" t="s">
        <v>26</v>
      </c>
      <c r="P1363" t="s">
        <v>25</v>
      </c>
      <c r="Q1363" t="s">
        <v>27</v>
      </c>
      <c r="R1363" t="s">
        <v>28</v>
      </c>
    </row>
    <row r="1364" spans="1:20">
      <c r="A1364">
        <v>1370</v>
      </c>
      <c r="B1364" t="s">
        <v>1531</v>
      </c>
      <c r="C1364" t="s">
        <v>21</v>
      </c>
      <c r="D1364" t="s">
        <v>22</v>
      </c>
      <c r="E1364" t="s">
        <v>23</v>
      </c>
      <c r="F1364">
        <v>0</v>
      </c>
      <c r="G1364">
        <v>19</v>
      </c>
      <c r="H1364">
        <v>0</v>
      </c>
      <c r="I1364" t="s">
        <v>24</v>
      </c>
      <c r="J1364" t="s">
        <v>25</v>
      </c>
      <c r="K1364">
        <v>0</v>
      </c>
      <c r="L1364">
        <v>0</v>
      </c>
      <c r="M1364" t="s">
        <v>25</v>
      </c>
      <c r="N1364" t="s">
        <v>25</v>
      </c>
      <c r="O1364" t="s">
        <v>26</v>
      </c>
      <c r="P1364" t="s">
        <v>25</v>
      </c>
      <c r="Q1364" t="s">
        <v>27</v>
      </c>
      <c r="R1364" t="s">
        <v>28</v>
      </c>
    </row>
    <row r="1365" spans="1:20">
      <c r="A1365">
        <v>1371</v>
      </c>
      <c r="B1365" t="s">
        <v>1532</v>
      </c>
      <c r="C1365" t="s">
        <v>21</v>
      </c>
      <c r="D1365" t="s">
        <v>22</v>
      </c>
      <c r="E1365" t="s">
        <v>23</v>
      </c>
      <c r="F1365">
        <v>0</v>
      </c>
      <c r="G1365">
        <v>19</v>
      </c>
      <c r="H1365">
        <v>0</v>
      </c>
      <c r="I1365" t="s">
        <v>24</v>
      </c>
      <c r="J1365" t="s">
        <v>25</v>
      </c>
      <c r="K1365">
        <v>0</v>
      </c>
      <c r="L1365">
        <v>0</v>
      </c>
      <c r="M1365" t="s">
        <v>25</v>
      </c>
      <c r="N1365" t="s">
        <v>25</v>
      </c>
      <c r="O1365" t="s">
        <v>26</v>
      </c>
      <c r="P1365" t="s">
        <v>25</v>
      </c>
      <c r="Q1365" t="s">
        <v>27</v>
      </c>
      <c r="R1365" t="s">
        <v>28</v>
      </c>
    </row>
    <row r="1366" spans="1:20">
      <c r="A1366">
        <v>1372</v>
      </c>
      <c r="B1366" t="s">
        <v>1533</v>
      </c>
      <c r="C1366" t="s">
        <v>21</v>
      </c>
      <c r="D1366" t="s">
        <v>22</v>
      </c>
      <c r="E1366" t="s">
        <v>23</v>
      </c>
      <c r="F1366">
        <v>0</v>
      </c>
      <c r="G1366">
        <v>19</v>
      </c>
      <c r="H1366">
        <v>0</v>
      </c>
      <c r="I1366" t="s">
        <v>24</v>
      </c>
      <c r="J1366" t="s">
        <v>25</v>
      </c>
      <c r="K1366">
        <v>0</v>
      </c>
      <c r="L1366">
        <v>0</v>
      </c>
      <c r="M1366" t="s">
        <v>25</v>
      </c>
      <c r="N1366" t="s">
        <v>25</v>
      </c>
      <c r="O1366" t="s">
        <v>26</v>
      </c>
      <c r="P1366" t="s">
        <v>25</v>
      </c>
      <c r="Q1366" t="s">
        <v>27</v>
      </c>
      <c r="R1366" t="s">
        <v>28</v>
      </c>
    </row>
    <row r="1367" spans="1:20">
      <c r="A1367">
        <v>1373</v>
      </c>
      <c r="B1367" t="s">
        <v>1534</v>
      </c>
      <c r="C1367" t="s">
        <v>590</v>
      </c>
      <c r="D1367" t="s">
        <v>22</v>
      </c>
      <c r="E1367" t="s">
        <v>591</v>
      </c>
      <c r="F1367">
        <v>0</v>
      </c>
      <c r="G1367">
        <v>19</v>
      </c>
      <c r="H1367">
        <v>0</v>
      </c>
      <c r="I1367" t="s">
        <v>24</v>
      </c>
      <c r="J1367" t="s">
        <v>25</v>
      </c>
      <c r="K1367">
        <v>0</v>
      </c>
      <c r="L1367">
        <v>0</v>
      </c>
      <c r="M1367" t="s">
        <v>25</v>
      </c>
      <c r="N1367" t="s">
        <v>25</v>
      </c>
      <c r="O1367" t="s">
        <v>26</v>
      </c>
      <c r="P1367" t="s">
        <v>25</v>
      </c>
      <c r="Q1367" t="s">
        <v>27</v>
      </c>
      <c r="R1367" t="s">
        <v>28</v>
      </c>
      <c r="S1367" t="s">
        <v>231</v>
      </c>
      <c r="T1367" t="s">
        <v>1167</v>
      </c>
    </row>
    <row r="1368" spans="1:20">
      <c r="A1368">
        <v>1374</v>
      </c>
      <c r="B1368" t="s">
        <v>1535</v>
      </c>
      <c r="C1368" t="s">
        <v>36</v>
      </c>
      <c r="D1368" t="s">
        <v>22</v>
      </c>
      <c r="E1368" t="s">
        <v>244</v>
      </c>
      <c r="F1368">
        <v>0</v>
      </c>
      <c r="G1368">
        <v>19</v>
      </c>
      <c r="H1368">
        <v>0</v>
      </c>
      <c r="I1368" t="s">
        <v>24</v>
      </c>
      <c r="J1368" t="s">
        <v>25</v>
      </c>
      <c r="K1368">
        <v>0</v>
      </c>
      <c r="L1368">
        <v>0</v>
      </c>
      <c r="M1368" t="s">
        <v>25</v>
      </c>
      <c r="N1368" t="s">
        <v>25</v>
      </c>
      <c r="O1368" t="s">
        <v>26</v>
      </c>
      <c r="P1368" t="s">
        <v>25</v>
      </c>
      <c r="Q1368" t="s">
        <v>27</v>
      </c>
      <c r="R1368" t="s">
        <v>28</v>
      </c>
    </row>
    <row r="1369" spans="1:20">
      <c r="A1369">
        <v>1375</v>
      </c>
      <c r="B1369" t="s">
        <v>1536</v>
      </c>
      <c r="C1369" t="s">
        <v>36</v>
      </c>
      <c r="D1369" t="s">
        <v>22</v>
      </c>
      <c r="E1369" t="s">
        <v>244</v>
      </c>
      <c r="F1369">
        <v>0</v>
      </c>
      <c r="G1369">
        <v>19</v>
      </c>
      <c r="H1369">
        <v>0</v>
      </c>
      <c r="I1369" t="s">
        <v>24</v>
      </c>
      <c r="J1369" t="s">
        <v>25</v>
      </c>
      <c r="K1369">
        <v>0</v>
      </c>
      <c r="L1369">
        <v>0</v>
      </c>
      <c r="M1369" t="s">
        <v>25</v>
      </c>
      <c r="N1369" t="s">
        <v>25</v>
      </c>
      <c r="O1369" t="s">
        <v>26</v>
      </c>
      <c r="P1369" t="s">
        <v>25</v>
      </c>
      <c r="Q1369" t="s">
        <v>27</v>
      </c>
      <c r="R1369" t="s">
        <v>28</v>
      </c>
    </row>
    <row r="1370" spans="1:20">
      <c r="A1370">
        <v>1376</v>
      </c>
      <c r="B1370" t="s">
        <v>1537</v>
      </c>
      <c r="C1370" t="s">
        <v>21</v>
      </c>
      <c r="D1370" t="s">
        <v>22</v>
      </c>
      <c r="E1370" t="s">
        <v>23</v>
      </c>
      <c r="F1370">
        <v>0</v>
      </c>
      <c r="G1370">
        <v>19</v>
      </c>
      <c r="H1370">
        <v>0</v>
      </c>
      <c r="I1370" t="s">
        <v>24</v>
      </c>
      <c r="J1370" t="s">
        <v>25</v>
      </c>
      <c r="K1370">
        <v>0</v>
      </c>
      <c r="L1370">
        <v>0</v>
      </c>
      <c r="M1370" t="s">
        <v>25</v>
      </c>
      <c r="N1370" t="s">
        <v>25</v>
      </c>
      <c r="O1370" t="s">
        <v>26</v>
      </c>
      <c r="P1370" t="s">
        <v>25</v>
      </c>
      <c r="Q1370" t="s">
        <v>27</v>
      </c>
      <c r="R1370" t="s">
        <v>28</v>
      </c>
    </row>
    <row r="1371" spans="1:20">
      <c r="A1371">
        <v>1377</v>
      </c>
      <c r="B1371" t="s">
        <v>1538</v>
      </c>
      <c r="C1371" t="s">
        <v>21</v>
      </c>
      <c r="D1371" t="s">
        <v>22</v>
      </c>
      <c r="E1371" t="s">
        <v>23</v>
      </c>
      <c r="F1371">
        <v>0</v>
      </c>
      <c r="G1371">
        <v>19</v>
      </c>
      <c r="H1371">
        <v>0</v>
      </c>
      <c r="I1371" t="s">
        <v>24</v>
      </c>
      <c r="J1371" t="s">
        <v>25</v>
      </c>
      <c r="K1371">
        <v>0</v>
      </c>
      <c r="L1371">
        <v>0</v>
      </c>
      <c r="M1371" t="s">
        <v>25</v>
      </c>
      <c r="N1371" t="s">
        <v>25</v>
      </c>
      <c r="O1371" t="s">
        <v>26</v>
      </c>
      <c r="P1371" t="s">
        <v>25</v>
      </c>
      <c r="Q1371" t="s">
        <v>27</v>
      </c>
      <c r="R1371" t="s">
        <v>28</v>
      </c>
    </row>
    <row r="1372" spans="1:20">
      <c r="A1372">
        <v>1378</v>
      </c>
      <c r="B1372" t="s">
        <v>1539</v>
      </c>
      <c r="C1372" t="s">
        <v>21</v>
      </c>
      <c r="D1372" t="s">
        <v>22</v>
      </c>
      <c r="E1372" t="s">
        <v>23</v>
      </c>
      <c r="F1372">
        <v>0</v>
      </c>
      <c r="G1372">
        <v>19</v>
      </c>
      <c r="H1372">
        <v>0</v>
      </c>
      <c r="I1372" t="s">
        <v>24</v>
      </c>
      <c r="J1372" t="s">
        <v>25</v>
      </c>
      <c r="K1372">
        <v>0</v>
      </c>
      <c r="L1372">
        <v>0</v>
      </c>
      <c r="M1372" t="s">
        <v>25</v>
      </c>
      <c r="N1372" t="s">
        <v>25</v>
      </c>
      <c r="O1372" t="s">
        <v>26</v>
      </c>
      <c r="P1372" t="s">
        <v>25</v>
      </c>
      <c r="Q1372" t="s">
        <v>27</v>
      </c>
      <c r="R1372" t="s">
        <v>28</v>
      </c>
    </row>
    <row r="1373" spans="1:20">
      <c r="A1373">
        <v>1379</v>
      </c>
      <c r="B1373" t="s">
        <v>1540</v>
      </c>
      <c r="C1373" t="s">
        <v>21</v>
      </c>
      <c r="D1373" t="s">
        <v>22</v>
      </c>
      <c r="E1373" t="s">
        <v>23</v>
      </c>
      <c r="F1373">
        <v>0</v>
      </c>
      <c r="G1373">
        <v>19</v>
      </c>
      <c r="H1373">
        <v>0</v>
      </c>
      <c r="I1373" t="s">
        <v>24</v>
      </c>
      <c r="J1373" t="s">
        <v>25</v>
      </c>
      <c r="K1373">
        <v>0</v>
      </c>
      <c r="L1373">
        <v>0</v>
      </c>
      <c r="M1373" t="s">
        <v>25</v>
      </c>
      <c r="N1373" t="s">
        <v>25</v>
      </c>
      <c r="O1373" t="s">
        <v>26</v>
      </c>
      <c r="P1373" t="s">
        <v>25</v>
      </c>
      <c r="Q1373" t="s">
        <v>27</v>
      </c>
      <c r="R1373" t="s">
        <v>28</v>
      </c>
    </row>
    <row r="1374" spans="1:20">
      <c r="A1374">
        <v>1380</v>
      </c>
      <c r="B1374" t="s">
        <v>1541</v>
      </c>
      <c r="C1374" t="s">
        <v>21</v>
      </c>
      <c r="D1374" t="s">
        <v>22</v>
      </c>
      <c r="E1374" t="s">
        <v>23</v>
      </c>
      <c r="F1374">
        <v>0</v>
      </c>
      <c r="G1374">
        <v>19</v>
      </c>
      <c r="H1374">
        <v>0</v>
      </c>
      <c r="I1374" t="s">
        <v>24</v>
      </c>
      <c r="J1374" t="s">
        <v>25</v>
      </c>
      <c r="K1374">
        <v>0</v>
      </c>
      <c r="L1374">
        <v>0</v>
      </c>
      <c r="M1374" t="s">
        <v>25</v>
      </c>
      <c r="N1374" t="s">
        <v>25</v>
      </c>
      <c r="O1374" t="s">
        <v>26</v>
      </c>
      <c r="P1374" t="s">
        <v>25</v>
      </c>
      <c r="Q1374" t="s">
        <v>27</v>
      </c>
      <c r="R1374" t="s">
        <v>28</v>
      </c>
    </row>
    <row r="1375" spans="1:20">
      <c r="A1375">
        <v>1381</v>
      </c>
      <c r="B1375" t="s">
        <v>1542</v>
      </c>
      <c r="C1375" t="s">
        <v>21</v>
      </c>
      <c r="D1375" t="s">
        <v>22</v>
      </c>
      <c r="E1375" t="s">
        <v>23</v>
      </c>
      <c r="F1375">
        <v>0</v>
      </c>
      <c r="G1375">
        <v>19</v>
      </c>
      <c r="H1375">
        <v>0</v>
      </c>
      <c r="I1375" t="s">
        <v>24</v>
      </c>
      <c r="J1375" t="s">
        <v>25</v>
      </c>
      <c r="K1375">
        <v>0</v>
      </c>
      <c r="L1375">
        <v>0</v>
      </c>
      <c r="M1375" t="s">
        <v>25</v>
      </c>
      <c r="N1375" t="s">
        <v>25</v>
      </c>
      <c r="O1375" t="s">
        <v>26</v>
      </c>
      <c r="P1375" t="s">
        <v>25</v>
      </c>
      <c r="Q1375" t="s">
        <v>27</v>
      </c>
      <c r="R1375" t="s">
        <v>28</v>
      </c>
    </row>
    <row r="1376" spans="1:20">
      <c r="A1376">
        <v>1382</v>
      </c>
      <c r="B1376" t="s">
        <v>1543</v>
      </c>
      <c r="C1376" t="s">
        <v>21</v>
      </c>
      <c r="D1376" t="s">
        <v>22</v>
      </c>
      <c r="E1376" t="s">
        <v>23</v>
      </c>
      <c r="F1376">
        <v>0</v>
      </c>
      <c r="G1376">
        <v>19</v>
      </c>
      <c r="H1376">
        <v>0</v>
      </c>
      <c r="I1376" t="s">
        <v>24</v>
      </c>
      <c r="J1376" t="s">
        <v>25</v>
      </c>
      <c r="K1376">
        <v>0</v>
      </c>
      <c r="L1376">
        <v>0</v>
      </c>
      <c r="M1376" t="s">
        <v>25</v>
      </c>
      <c r="N1376" t="s">
        <v>25</v>
      </c>
      <c r="O1376" t="s">
        <v>26</v>
      </c>
      <c r="P1376" t="s">
        <v>25</v>
      </c>
      <c r="Q1376" t="s">
        <v>27</v>
      </c>
      <c r="R1376" t="s">
        <v>28</v>
      </c>
    </row>
    <row r="1377" spans="1:20">
      <c r="A1377">
        <v>1383</v>
      </c>
      <c r="B1377" t="s">
        <v>1544</v>
      </c>
      <c r="C1377" t="s">
        <v>21</v>
      </c>
      <c r="D1377" t="s">
        <v>22</v>
      </c>
      <c r="E1377" t="s">
        <v>23</v>
      </c>
      <c r="F1377">
        <v>0</v>
      </c>
      <c r="G1377">
        <v>19</v>
      </c>
      <c r="H1377">
        <v>0</v>
      </c>
      <c r="I1377" t="s">
        <v>24</v>
      </c>
      <c r="J1377" t="s">
        <v>25</v>
      </c>
      <c r="K1377">
        <v>0</v>
      </c>
      <c r="L1377">
        <v>0</v>
      </c>
      <c r="M1377" t="s">
        <v>25</v>
      </c>
      <c r="N1377" t="s">
        <v>25</v>
      </c>
      <c r="O1377" t="s">
        <v>26</v>
      </c>
      <c r="P1377" t="s">
        <v>25</v>
      </c>
      <c r="Q1377" t="s">
        <v>27</v>
      </c>
      <c r="R1377" t="s">
        <v>28</v>
      </c>
    </row>
    <row r="1378" spans="1:20">
      <c r="A1378">
        <v>1384</v>
      </c>
      <c r="B1378" t="s">
        <v>1545</v>
      </c>
      <c r="C1378" t="s">
        <v>21</v>
      </c>
      <c r="D1378" t="s">
        <v>22</v>
      </c>
      <c r="E1378" t="s">
        <v>23</v>
      </c>
      <c r="F1378">
        <v>0</v>
      </c>
      <c r="G1378">
        <v>19</v>
      </c>
      <c r="H1378">
        <v>0</v>
      </c>
      <c r="I1378" t="s">
        <v>24</v>
      </c>
      <c r="J1378" t="s">
        <v>25</v>
      </c>
      <c r="K1378">
        <v>0</v>
      </c>
      <c r="L1378">
        <v>0</v>
      </c>
      <c r="M1378" t="s">
        <v>25</v>
      </c>
      <c r="N1378" t="s">
        <v>25</v>
      </c>
      <c r="O1378" t="s">
        <v>26</v>
      </c>
      <c r="P1378" t="s">
        <v>25</v>
      </c>
      <c r="Q1378" t="s">
        <v>27</v>
      </c>
      <c r="R1378" t="s">
        <v>28</v>
      </c>
    </row>
    <row r="1379" spans="1:20">
      <c r="A1379">
        <v>1385</v>
      </c>
      <c r="B1379" t="s">
        <v>1546</v>
      </c>
      <c r="C1379" t="s">
        <v>21</v>
      </c>
      <c r="D1379" t="s">
        <v>22</v>
      </c>
      <c r="E1379" t="s">
        <v>23</v>
      </c>
      <c r="F1379">
        <v>0</v>
      </c>
      <c r="G1379">
        <v>19</v>
      </c>
      <c r="H1379">
        <v>0</v>
      </c>
      <c r="I1379" t="s">
        <v>24</v>
      </c>
      <c r="J1379" t="s">
        <v>25</v>
      </c>
      <c r="K1379">
        <v>0</v>
      </c>
      <c r="L1379">
        <v>0</v>
      </c>
      <c r="M1379" t="s">
        <v>25</v>
      </c>
      <c r="N1379" t="s">
        <v>25</v>
      </c>
      <c r="O1379" t="s">
        <v>26</v>
      </c>
      <c r="P1379" t="s">
        <v>25</v>
      </c>
      <c r="Q1379" t="s">
        <v>27</v>
      </c>
      <c r="R1379" t="s">
        <v>28</v>
      </c>
    </row>
    <row r="1380" spans="1:20">
      <c r="A1380">
        <v>1386</v>
      </c>
      <c r="B1380" t="s">
        <v>1547</v>
      </c>
      <c r="C1380" t="s">
        <v>21</v>
      </c>
      <c r="D1380" t="s">
        <v>22</v>
      </c>
      <c r="E1380" t="s">
        <v>23</v>
      </c>
      <c r="F1380">
        <v>0</v>
      </c>
      <c r="G1380">
        <v>19</v>
      </c>
      <c r="H1380">
        <v>0</v>
      </c>
      <c r="I1380" t="s">
        <v>24</v>
      </c>
      <c r="J1380" t="s">
        <v>25</v>
      </c>
      <c r="K1380">
        <v>0</v>
      </c>
      <c r="L1380">
        <v>0</v>
      </c>
      <c r="M1380" t="s">
        <v>25</v>
      </c>
      <c r="N1380" t="s">
        <v>25</v>
      </c>
      <c r="O1380" t="s">
        <v>26</v>
      </c>
      <c r="P1380" t="s">
        <v>25</v>
      </c>
      <c r="Q1380" t="s">
        <v>27</v>
      </c>
      <c r="R1380" t="s">
        <v>28</v>
      </c>
    </row>
    <row r="1381" spans="1:20">
      <c r="A1381">
        <v>1387</v>
      </c>
      <c r="B1381" t="s">
        <v>1548</v>
      </c>
      <c r="C1381" t="s">
        <v>21</v>
      </c>
      <c r="D1381" t="s">
        <v>22</v>
      </c>
      <c r="E1381" t="s">
        <v>23</v>
      </c>
      <c r="F1381">
        <v>0</v>
      </c>
      <c r="G1381">
        <v>19</v>
      </c>
      <c r="H1381">
        <v>0</v>
      </c>
      <c r="I1381" t="s">
        <v>24</v>
      </c>
      <c r="J1381" t="s">
        <v>25</v>
      </c>
      <c r="K1381">
        <v>0</v>
      </c>
      <c r="L1381">
        <v>0</v>
      </c>
      <c r="M1381" t="s">
        <v>25</v>
      </c>
      <c r="N1381" t="s">
        <v>25</v>
      </c>
      <c r="O1381" t="s">
        <v>26</v>
      </c>
      <c r="P1381" t="s">
        <v>25</v>
      </c>
      <c r="Q1381" t="s">
        <v>27</v>
      </c>
      <c r="R1381" t="s">
        <v>28</v>
      </c>
    </row>
    <row r="1382" spans="1:20">
      <c r="A1382">
        <v>1388</v>
      </c>
      <c r="B1382" t="s">
        <v>1549</v>
      </c>
      <c r="C1382" t="s">
        <v>21</v>
      </c>
      <c r="D1382" t="s">
        <v>22</v>
      </c>
      <c r="E1382" t="s">
        <v>23</v>
      </c>
      <c r="F1382">
        <v>0</v>
      </c>
      <c r="G1382">
        <v>19</v>
      </c>
      <c r="H1382">
        <v>0</v>
      </c>
      <c r="I1382" t="s">
        <v>24</v>
      </c>
      <c r="J1382" t="s">
        <v>25</v>
      </c>
      <c r="K1382">
        <v>0</v>
      </c>
      <c r="L1382">
        <v>0</v>
      </c>
      <c r="M1382" t="s">
        <v>25</v>
      </c>
      <c r="N1382" t="s">
        <v>25</v>
      </c>
      <c r="O1382" t="s">
        <v>26</v>
      </c>
      <c r="P1382" t="s">
        <v>25</v>
      </c>
      <c r="Q1382" t="s">
        <v>27</v>
      </c>
      <c r="R1382" t="s">
        <v>28</v>
      </c>
    </row>
    <row r="1383" spans="1:20">
      <c r="A1383">
        <v>1389</v>
      </c>
      <c r="B1383" t="s">
        <v>1550</v>
      </c>
      <c r="C1383" t="s">
        <v>21</v>
      </c>
      <c r="D1383" t="s">
        <v>22</v>
      </c>
      <c r="E1383" t="s">
        <v>23</v>
      </c>
      <c r="F1383">
        <v>0</v>
      </c>
      <c r="G1383">
        <v>19</v>
      </c>
      <c r="H1383">
        <v>0</v>
      </c>
      <c r="I1383" t="s">
        <v>24</v>
      </c>
      <c r="J1383" t="s">
        <v>25</v>
      </c>
      <c r="K1383">
        <v>0</v>
      </c>
      <c r="L1383">
        <v>0</v>
      </c>
      <c r="M1383" t="s">
        <v>25</v>
      </c>
      <c r="N1383" t="s">
        <v>25</v>
      </c>
      <c r="O1383" t="s">
        <v>26</v>
      </c>
      <c r="P1383" t="s">
        <v>25</v>
      </c>
      <c r="Q1383" t="s">
        <v>27</v>
      </c>
      <c r="R1383" t="s">
        <v>28</v>
      </c>
    </row>
    <row r="1384" spans="1:20">
      <c r="A1384">
        <v>1390</v>
      </c>
      <c r="B1384" t="s">
        <v>1551</v>
      </c>
      <c r="C1384" t="s">
        <v>21</v>
      </c>
      <c r="D1384" t="s">
        <v>22</v>
      </c>
      <c r="E1384" t="s">
        <v>23</v>
      </c>
      <c r="F1384">
        <v>0</v>
      </c>
      <c r="G1384">
        <v>19</v>
      </c>
      <c r="H1384">
        <v>0</v>
      </c>
      <c r="I1384" t="s">
        <v>24</v>
      </c>
      <c r="J1384" t="s">
        <v>25</v>
      </c>
      <c r="K1384">
        <v>0</v>
      </c>
      <c r="L1384">
        <v>0</v>
      </c>
      <c r="M1384" t="s">
        <v>25</v>
      </c>
      <c r="N1384" t="s">
        <v>25</v>
      </c>
      <c r="O1384" t="s">
        <v>26</v>
      </c>
      <c r="P1384" t="s">
        <v>25</v>
      </c>
      <c r="Q1384" t="s">
        <v>27</v>
      </c>
      <c r="R1384" t="s">
        <v>28</v>
      </c>
    </row>
    <row r="1385" spans="1:20">
      <c r="A1385">
        <v>1391</v>
      </c>
      <c r="B1385" t="s">
        <v>1552</v>
      </c>
      <c r="C1385" t="s">
        <v>21</v>
      </c>
      <c r="D1385" t="s">
        <v>22</v>
      </c>
      <c r="E1385" t="s">
        <v>23</v>
      </c>
      <c r="F1385">
        <v>0</v>
      </c>
      <c r="G1385">
        <v>19</v>
      </c>
      <c r="H1385">
        <v>0</v>
      </c>
      <c r="I1385" t="s">
        <v>24</v>
      </c>
      <c r="J1385" t="s">
        <v>25</v>
      </c>
      <c r="K1385">
        <v>0</v>
      </c>
      <c r="L1385">
        <v>0</v>
      </c>
      <c r="M1385" t="s">
        <v>25</v>
      </c>
      <c r="N1385" t="s">
        <v>25</v>
      </c>
      <c r="O1385" t="s">
        <v>26</v>
      </c>
      <c r="P1385" t="s">
        <v>25</v>
      </c>
      <c r="Q1385" t="s">
        <v>27</v>
      </c>
      <c r="R1385" t="s">
        <v>28</v>
      </c>
    </row>
    <row r="1386" spans="1:20">
      <c r="A1386">
        <v>1392</v>
      </c>
      <c r="B1386" t="s">
        <v>1553</v>
      </c>
      <c r="C1386" t="s">
        <v>21</v>
      </c>
      <c r="D1386" t="s">
        <v>22</v>
      </c>
      <c r="E1386" t="s">
        <v>23</v>
      </c>
      <c r="F1386">
        <v>0</v>
      </c>
      <c r="G1386">
        <v>19</v>
      </c>
      <c r="H1386">
        <v>0</v>
      </c>
      <c r="I1386" t="s">
        <v>24</v>
      </c>
      <c r="J1386" t="s">
        <v>25</v>
      </c>
      <c r="K1386">
        <v>0</v>
      </c>
      <c r="L1386">
        <v>0</v>
      </c>
      <c r="M1386" t="s">
        <v>25</v>
      </c>
      <c r="N1386" t="s">
        <v>25</v>
      </c>
      <c r="O1386" t="s">
        <v>26</v>
      </c>
      <c r="P1386" t="s">
        <v>25</v>
      </c>
      <c r="Q1386" t="s">
        <v>27</v>
      </c>
      <c r="R1386" t="s">
        <v>28</v>
      </c>
    </row>
    <row r="1387" spans="1:20">
      <c r="A1387">
        <v>1393</v>
      </c>
      <c r="B1387" t="s">
        <v>1554</v>
      </c>
      <c r="C1387" t="s">
        <v>21</v>
      </c>
      <c r="D1387" t="s">
        <v>22</v>
      </c>
      <c r="E1387" t="s">
        <v>23</v>
      </c>
      <c r="F1387">
        <v>0</v>
      </c>
      <c r="G1387">
        <v>19</v>
      </c>
      <c r="H1387">
        <v>0</v>
      </c>
      <c r="I1387" t="s">
        <v>24</v>
      </c>
      <c r="J1387" t="s">
        <v>25</v>
      </c>
      <c r="K1387">
        <v>0</v>
      </c>
      <c r="L1387">
        <v>0</v>
      </c>
      <c r="M1387" t="s">
        <v>25</v>
      </c>
      <c r="N1387" t="s">
        <v>25</v>
      </c>
      <c r="O1387" t="s">
        <v>26</v>
      </c>
      <c r="P1387" t="s">
        <v>25</v>
      </c>
      <c r="Q1387" t="s">
        <v>27</v>
      </c>
      <c r="R1387" t="s">
        <v>28</v>
      </c>
    </row>
    <row r="1388" spans="1:20">
      <c r="A1388">
        <v>1394</v>
      </c>
      <c r="B1388" t="s">
        <v>1555</v>
      </c>
      <c r="C1388" t="s">
        <v>21</v>
      </c>
      <c r="D1388" t="s">
        <v>22</v>
      </c>
      <c r="E1388" t="s">
        <v>23</v>
      </c>
      <c r="F1388">
        <v>0</v>
      </c>
      <c r="G1388">
        <v>19</v>
      </c>
      <c r="H1388">
        <v>0</v>
      </c>
      <c r="I1388" t="s">
        <v>24</v>
      </c>
      <c r="J1388" t="s">
        <v>25</v>
      </c>
      <c r="K1388">
        <v>0</v>
      </c>
      <c r="L1388">
        <v>0</v>
      </c>
      <c r="M1388" t="s">
        <v>25</v>
      </c>
      <c r="N1388" t="s">
        <v>25</v>
      </c>
      <c r="O1388" t="s">
        <v>26</v>
      </c>
      <c r="P1388" t="s">
        <v>25</v>
      </c>
      <c r="Q1388" t="s">
        <v>27</v>
      </c>
      <c r="R1388" t="s">
        <v>28</v>
      </c>
    </row>
    <row r="1389" spans="1:20">
      <c r="A1389">
        <v>1395</v>
      </c>
      <c r="B1389" t="s">
        <v>1556</v>
      </c>
      <c r="C1389" t="s">
        <v>21</v>
      </c>
      <c r="D1389" t="s">
        <v>22</v>
      </c>
      <c r="E1389" t="s">
        <v>23</v>
      </c>
      <c r="F1389">
        <v>0</v>
      </c>
      <c r="G1389">
        <v>19</v>
      </c>
      <c r="H1389">
        <v>0</v>
      </c>
      <c r="I1389" t="s">
        <v>24</v>
      </c>
      <c r="J1389" t="s">
        <v>25</v>
      </c>
      <c r="K1389">
        <v>0</v>
      </c>
      <c r="L1389">
        <v>0</v>
      </c>
      <c r="M1389" t="s">
        <v>25</v>
      </c>
      <c r="N1389" t="s">
        <v>25</v>
      </c>
      <c r="O1389" t="s">
        <v>26</v>
      </c>
      <c r="P1389" t="s">
        <v>25</v>
      </c>
      <c r="Q1389" t="s">
        <v>27</v>
      </c>
      <c r="R1389" t="s">
        <v>28</v>
      </c>
      <c r="S1389" t="s">
        <v>48</v>
      </c>
      <c r="T1389" t="s">
        <v>643</v>
      </c>
    </row>
    <row r="1390" spans="1:20">
      <c r="A1390">
        <v>1396</v>
      </c>
      <c r="B1390" t="s">
        <v>1557</v>
      </c>
      <c r="C1390" t="s">
        <v>21</v>
      </c>
      <c r="D1390" t="s">
        <v>22</v>
      </c>
      <c r="E1390" t="s">
        <v>23</v>
      </c>
      <c r="F1390">
        <v>0</v>
      </c>
      <c r="G1390">
        <v>19</v>
      </c>
      <c r="H1390">
        <v>0</v>
      </c>
      <c r="I1390" t="s">
        <v>24</v>
      </c>
      <c r="J1390" t="s">
        <v>25</v>
      </c>
      <c r="K1390">
        <v>0</v>
      </c>
      <c r="L1390">
        <v>0</v>
      </c>
      <c r="M1390" t="s">
        <v>25</v>
      </c>
      <c r="N1390" t="s">
        <v>25</v>
      </c>
      <c r="O1390" t="s">
        <v>26</v>
      </c>
      <c r="P1390" t="s">
        <v>25</v>
      </c>
      <c r="Q1390" t="s">
        <v>27</v>
      </c>
      <c r="R1390" t="s">
        <v>28</v>
      </c>
    </row>
    <row r="1391" spans="1:20">
      <c r="A1391">
        <v>1397</v>
      </c>
      <c r="B1391" t="s">
        <v>1558</v>
      </c>
      <c r="C1391" t="s">
        <v>21</v>
      </c>
      <c r="D1391" t="s">
        <v>22</v>
      </c>
      <c r="E1391" t="s">
        <v>23</v>
      </c>
      <c r="F1391">
        <v>0</v>
      </c>
      <c r="G1391">
        <v>19</v>
      </c>
      <c r="H1391">
        <v>0</v>
      </c>
      <c r="I1391" t="s">
        <v>24</v>
      </c>
      <c r="J1391" t="s">
        <v>25</v>
      </c>
      <c r="K1391">
        <v>0</v>
      </c>
      <c r="L1391">
        <v>0</v>
      </c>
      <c r="M1391" t="s">
        <v>25</v>
      </c>
      <c r="N1391" t="s">
        <v>25</v>
      </c>
      <c r="O1391" t="s">
        <v>26</v>
      </c>
      <c r="P1391" t="s">
        <v>25</v>
      </c>
      <c r="Q1391" t="s">
        <v>27</v>
      </c>
      <c r="R1391" t="s">
        <v>28</v>
      </c>
    </row>
    <row r="1392" spans="1:20">
      <c r="A1392">
        <v>1398</v>
      </c>
      <c r="B1392" t="s">
        <v>1559</v>
      </c>
      <c r="C1392" t="s">
        <v>21</v>
      </c>
      <c r="D1392" t="s">
        <v>22</v>
      </c>
      <c r="E1392" t="s">
        <v>23</v>
      </c>
      <c r="F1392">
        <v>0</v>
      </c>
      <c r="G1392">
        <v>19</v>
      </c>
      <c r="H1392">
        <v>0</v>
      </c>
      <c r="I1392" t="s">
        <v>24</v>
      </c>
      <c r="J1392" t="s">
        <v>25</v>
      </c>
      <c r="K1392">
        <v>0</v>
      </c>
      <c r="L1392">
        <v>0</v>
      </c>
      <c r="M1392" t="s">
        <v>25</v>
      </c>
      <c r="N1392" t="s">
        <v>25</v>
      </c>
      <c r="O1392" t="s">
        <v>26</v>
      </c>
      <c r="P1392" t="s">
        <v>25</v>
      </c>
      <c r="Q1392" t="s">
        <v>27</v>
      </c>
      <c r="R1392" t="s">
        <v>28</v>
      </c>
    </row>
    <row r="1393" spans="1:20">
      <c r="A1393">
        <v>1399</v>
      </c>
      <c r="B1393" t="s">
        <v>1560</v>
      </c>
      <c r="C1393" t="s">
        <v>21</v>
      </c>
      <c r="D1393" t="s">
        <v>22</v>
      </c>
      <c r="E1393" t="s">
        <v>23</v>
      </c>
      <c r="F1393">
        <v>0</v>
      </c>
      <c r="G1393">
        <v>19</v>
      </c>
      <c r="H1393">
        <v>0</v>
      </c>
      <c r="I1393" t="s">
        <v>24</v>
      </c>
      <c r="J1393" t="s">
        <v>25</v>
      </c>
      <c r="K1393">
        <v>0</v>
      </c>
      <c r="L1393">
        <v>0</v>
      </c>
      <c r="M1393" t="s">
        <v>25</v>
      </c>
      <c r="N1393" t="s">
        <v>25</v>
      </c>
      <c r="O1393" t="s">
        <v>26</v>
      </c>
      <c r="P1393" t="s">
        <v>25</v>
      </c>
      <c r="Q1393" t="s">
        <v>27</v>
      </c>
      <c r="R1393" t="s">
        <v>28</v>
      </c>
    </row>
    <row r="1394" spans="1:20">
      <c r="A1394">
        <v>1400</v>
      </c>
      <c r="B1394" t="s">
        <v>1561</v>
      </c>
      <c r="C1394" t="s">
        <v>21</v>
      </c>
      <c r="D1394" t="s">
        <v>22</v>
      </c>
      <c r="E1394" t="s">
        <v>23</v>
      </c>
      <c r="F1394">
        <v>0</v>
      </c>
      <c r="G1394">
        <v>19</v>
      </c>
      <c r="H1394">
        <v>0</v>
      </c>
      <c r="I1394" t="s">
        <v>24</v>
      </c>
      <c r="J1394" t="s">
        <v>25</v>
      </c>
      <c r="K1394">
        <v>0</v>
      </c>
      <c r="L1394">
        <v>0</v>
      </c>
      <c r="M1394" t="s">
        <v>25</v>
      </c>
      <c r="N1394" t="s">
        <v>25</v>
      </c>
      <c r="O1394" t="s">
        <v>26</v>
      </c>
      <c r="P1394" t="s">
        <v>25</v>
      </c>
      <c r="Q1394" t="s">
        <v>27</v>
      </c>
      <c r="R1394" t="s">
        <v>28</v>
      </c>
    </row>
    <row r="1395" spans="1:20">
      <c r="A1395">
        <v>1401</v>
      </c>
      <c r="B1395" t="s">
        <v>1562</v>
      </c>
      <c r="C1395" t="s">
        <v>21</v>
      </c>
      <c r="D1395" t="s">
        <v>22</v>
      </c>
      <c r="E1395" t="s">
        <v>23</v>
      </c>
      <c r="F1395">
        <v>0</v>
      </c>
      <c r="G1395">
        <v>19</v>
      </c>
      <c r="H1395">
        <v>0</v>
      </c>
      <c r="I1395" t="s">
        <v>24</v>
      </c>
      <c r="J1395" t="s">
        <v>25</v>
      </c>
      <c r="K1395">
        <v>0</v>
      </c>
      <c r="L1395">
        <v>0</v>
      </c>
      <c r="M1395" t="s">
        <v>25</v>
      </c>
      <c r="N1395" t="s">
        <v>25</v>
      </c>
      <c r="O1395" t="s">
        <v>26</v>
      </c>
      <c r="P1395" t="s">
        <v>25</v>
      </c>
      <c r="Q1395" t="s">
        <v>27</v>
      </c>
      <c r="R1395" t="s">
        <v>28</v>
      </c>
    </row>
    <row r="1396" spans="1:20">
      <c r="A1396">
        <v>1402</v>
      </c>
      <c r="B1396" t="s">
        <v>1563</v>
      </c>
      <c r="C1396" t="s">
        <v>21</v>
      </c>
      <c r="D1396" t="s">
        <v>22</v>
      </c>
      <c r="E1396" t="s">
        <v>23</v>
      </c>
      <c r="F1396">
        <v>0</v>
      </c>
      <c r="G1396">
        <v>19</v>
      </c>
      <c r="H1396">
        <v>0</v>
      </c>
      <c r="I1396" t="s">
        <v>24</v>
      </c>
      <c r="J1396" t="s">
        <v>25</v>
      </c>
      <c r="K1396">
        <v>0</v>
      </c>
      <c r="L1396">
        <v>0</v>
      </c>
      <c r="M1396" t="s">
        <v>25</v>
      </c>
      <c r="N1396" t="s">
        <v>25</v>
      </c>
      <c r="O1396" t="s">
        <v>26</v>
      </c>
      <c r="P1396" t="s">
        <v>25</v>
      </c>
      <c r="Q1396" t="s">
        <v>27</v>
      </c>
      <c r="R1396" t="s">
        <v>28</v>
      </c>
    </row>
    <row r="1397" spans="1:20">
      <c r="A1397">
        <v>1403</v>
      </c>
      <c r="B1397" t="s">
        <v>1564</v>
      </c>
      <c r="C1397" t="s">
        <v>21</v>
      </c>
      <c r="D1397" t="s">
        <v>22</v>
      </c>
      <c r="E1397" t="s">
        <v>23</v>
      </c>
      <c r="F1397">
        <v>0</v>
      </c>
      <c r="G1397">
        <v>19</v>
      </c>
      <c r="H1397">
        <v>0</v>
      </c>
      <c r="I1397" t="s">
        <v>24</v>
      </c>
      <c r="J1397" t="s">
        <v>25</v>
      </c>
      <c r="K1397">
        <v>0</v>
      </c>
      <c r="L1397">
        <v>0</v>
      </c>
      <c r="M1397" t="s">
        <v>25</v>
      </c>
      <c r="N1397" t="s">
        <v>25</v>
      </c>
      <c r="O1397" t="s">
        <v>26</v>
      </c>
      <c r="P1397" t="s">
        <v>25</v>
      </c>
      <c r="Q1397" t="s">
        <v>27</v>
      </c>
      <c r="R1397" t="s">
        <v>28</v>
      </c>
    </row>
    <row r="1398" spans="1:20">
      <c r="A1398">
        <v>1404</v>
      </c>
      <c r="B1398" t="s">
        <v>1565</v>
      </c>
      <c r="C1398" t="s">
        <v>21</v>
      </c>
      <c r="D1398" t="s">
        <v>22</v>
      </c>
      <c r="E1398" t="s">
        <v>23</v>
      </c>
      <c r="F1398">
        <v>0</v>
      </c>
      <c r="G1398">
        <v>19</v>
      </c>
      <c r="H1398">
        <v>0</v>
      </c>
      <c r="I1398" t="s">
        <v>24</v>
      </c>
      <c r="J1398" t="s">
        <v>25</v>
      </c>
      <c r="K1398">
        <v>0</v>
      </c>
      <c r="L1398">
        <v>0</v>
      </c>
      <c r="M1398" t="s">
        <v>25</v>
      </c>
      <c r="N1398" t="s">
        <v>25</v>
      </c>
      <c r="O1398" t="s">
        <v>26</v>
      </c>
      <c r="P1398" t="s">
        <v>25</v>
      </c>
      <c r="Q1398" t="s">
        <v>27</v>
      </c>
      <c r="R1398" t="s">
        <v>28</v>
      </c>
    </row>
    <row r="1399" spans="1:20">
      <c r="A1399">
        <v>1405</v>
      </c>
      <c r="B1399" t="s">
        <v>1566</v>
      </c>
      <c r="C1399" t="s">
        <v>21</v>
      </c>
      <c r="D1399" t="s">
        <v>22</v>
      </c>
      <c r="E1399" t="s">
        <v>23</v>
      </c>
      <c r="F1399">
        <v>0</v>
      </c>
      <c r="G1399">
        <v>19</v>
      </c>
      <c r="H1399">
        <v>0</v>
      </c>
      <c r="I1399" t="s">
        <v>24</v>
      </c>
      <c r="J1399" t="s">
        <v>25</v>
      </c>
      <c r="K1399">
        <v>0</v>
      </c>
      <c r="L1399">
        <v>0</v>
      </c>
      <c r="M1399" t="s">
        <v>25</v>
      </c>
      <c r="N1399" t="s">
        <v>25</v>
      </c>
      <c r="O1399" t="s">
        <v>26</v>
      </c>
      <c r="P1399" t="s">
        <v>25</v>
      </c>
      <c r="Q1399" t="s">
        <v>27</v>
      </c>
      <c r="R1399" t="s">
        <v>28</v>
      </c>
    </row>
    <row r="1400" spans="1:20">
      <c r="A1400">
        <v>1406</v>
      </c>
      <c r="B1400" t="s">
        <v>1567</v>
      </c>
      <c r="C1400" t="s">
        <v>21</v>
      </c>
      <c r="D1400" t="s">
        <v>22</v>
      </c>
      <c r="E1400" t="s">
        <v>23</v>
      </c>
      <c r="F1400">
        <v>0</v>
      </c>
      <c r="G1400">
        <v>19</v>
      </c>
      <c r="H1400">
        <v>0</v>
      </c>
      <c r="I1400" t="s">
        <v>24</v>
      </c>
      <c r="J1400" t="s">
        <v>25</v>
      </c>
      <c r="K1400">
        <v>0</v>
      </c>
      <c r="L1400">
        <v>0</v>
      </c>
      <c r="M1400" t="s">
        <v>25</v>
      </c>
      <c r="N1400" t="s">
        <v>25</v>
      </c>
      <c r="O1400" t="s">
        <v>26</v>
      </c>
      <c r="P1400" t="s">
        <v>25</v>
      </c>
      <c r="Q1400" t="s">
        <v>27</v>
      </c>
      <c r="R1400" t="s">
        <v>28</v>
      </c>
      <c r="S1400" t="s">
        <v>51</v>
      </c>
      <c r="T1400" t="s">
        <v>334</v>
      </c>
    </row>
    <row r="1401" spans="1:20">
      <c r="A1401">
        <v>1407</v>
      </c>
      <c r="B1401" t="s">
        <v>1568</v>
      </c>
      <c r="C1401" t="s">
        <v>21</v>
      </c>
      <c r="D1401" t="s">
        <v>22</v>
      </c>
      <c r="E1401" t="s">
        <v>23</v>
      </c>
      <c r="F1401">
        <v>43500</v>
      </c>
      <c r="G1401">
        <v>19</v>
      </c>
      <c r="H1401">
        <v>51765</v>
      </c>
      <c r="I1401" t="s">
        <v>24</v>
      </c>
      <c r="J1401" t="s">
        <v>25</v>
      </c>
      <c r="K1401">
        <v>0</v>
      </c>
      <c r="L1401">
        <v>0</v>
      </c>
      <c r="M1401" t="s">
        <v>25</v>
      </c>
      <c r="N1401" t="s">
        <v>25</v>
      </c>
      <c r="O1401" t="s">
        <v>26</v>
      </c>
      <c r="P1401" t="s">
        <v>25</v>
      </c>
      <c r="Q1401" t="s">
        <v>27</v>
      </c>
      <c r="R1401" t="s">
        <v>28</v>
      </c>
      <c r="S1401" t="s">
        <v>51</v>
      </c>
      <c r="T1401" t="s">
        <v>334</v>
      </c>
    </row>
    <row r="1402" spans="1:20">
      <c r="A1402">
        <v>1408</v>
      </c>
      <c r="B1402" t="s">
        <v>1569</v>
      </c>
      <c r="C1402" t="s">
        <v>21</v>
      </c>
      <c r="D1402" t="s">
        <v>22</v>
      </c>
      <c r="E1402" t="s">
        <v>23</v>
      </c>
      <c r="F1402">
        <v>0</v>
      </c>
      <c r="G1402">
        <v>19</v>
      </c>
      <c r="H1402">
        <v>0</v>
      </c>
      <c r="I1402" t="s">
        <v>24</v>
      </c>
      <c r="J1402" t="s">
        <v>25</v>
      </c>
      <c r="K1402">
        <v>0</v>
      </c>
      <c r="L1402">
        <v>0</v>
      </c>
      <c r="M1402" t="s">
        <v>25</v>
      </c>
      <c r="N1402" t="s">
        <v>25</v>
      </c>
      <c r="O1402" t="s">
        <v>26</v>
      </c>
      <c r="P1402" t="s">
        <v>25</v>
      </c>
      <c r="Q1402" t="s">
        <v>27</v>
      </c>
      <c r="R1402" t="s">
        <v>28</v>
      </c>
    </row>
    <row r="1403" spans="1:20">
      <c r="A1403">
        <v>1409</v>
      </c>
      <c r="B1403" t="s">
        <v>1570</v>
      </c>
      <c r="C1403" t="s">
        <v>102</v>
      </c>
      <c r="D1403" t="s">
        <v>217</v>
      </c>
      <c r="E1403" t="s">
        <v>1571</v>
      </c>
      <c r="F1403">
        <v>0</v>
      </c>
      <c r="G1403">
        <v>19</v>
      </c>
      <c r="H1403">
        <v>0</v>
      </c>
      <c r="I1403" t="s">
        <v>24</v>
      </c>
      <c r="J1403" t="s">
        <v>25</v>
      </c>
      <c r="K1403">
        <v>0</v>
      </c>
      <c r="L1403">
        <v>0</v>
      </c>
      <c r="M1403" t="s">
        <v>25</v>
      </c>
      <c r="N1403" t="s">
        <v>25</v>
      </c>
      <c r="O1403" t="s">
        <v>26</v>
      </c>
      <c r="P1403" t="s">
        <v>25</v>
      </c>
      <c r="Q1403" t="s">
        <v>27</v>
      </c>
      <c r="R1403" t="s">
        <v>28</v>
      </c>
      <c r="S1403" t="s">
        <v>231</v>
      </c>
      <c r="T1403" t="s">
        <v>1167</v>
      </c>
    </row>
    <row r="1404" spans="1:20">
      <c r="A1404">
        <v>1410</v>
      </c>
      <c r="B1404" t="s">
        <v>1572</v>
      </c>
      <c r="C1404" t="s">
        <v>36</v>
      </c>
      <c r="D1404" t="s">
        <v>217</v>
      </c>
      <c r="E1404" t="s">
        <v>1573</v>
      </c>
      <c r="F1404">
        <v>0</v>
      </c>
      <c r="G1404">
        <v>19</v>
      </c>
      <c r="H1404">
        <v>0</v>
      </c>
      <c r="I1404" t="s">
        <v>24</v>
      </c>
      <c r="J1404" t="s">
        <v>25</v>
      </c>
      <c r="K1404">
        <v>0</v>
      </c>
      <c r="L1404">
        <v>0</v>
      </c>
      <c r="M1404" t="s">
        <v>25</v>
      </c>
      <c r="N1404" t="s">
        <v>25</v>
      </c>
      <c r="O1404" t="s">
        <v>26</v>
      </c>
      <c r="P1404" t="s">
        <v>25</v>
      </c>
      <c r="Q1404" t="s">
        <v>27</v>
      </c>
      <c r="R1404" t="s">
        <v>28</v>
      </c>
      <c r="S1404" t="s">
        <v>231</v>
      </c>
      <c r="T1404" t="s">
        <v>1501</v>
      </c>
    </row>
    <row r="1405" spans="1:20">
      <c r="A1405">
        <v>1411</v>
      </c>
      <c r="B1405" t="s">
        <v>1574</v>
      </c>
      <c r="C1405" t="s">
        <v>216</v>
      </c>
      <c r="D1405" t="s">
        <v>217</v>
      </c>
      <c r="E1405" t="s">
        <v>1575</v>
      </c>
      <c r="F1405">
        <v>0</v>
      </c>
      <c r="G1405">
        <v>19</v>
      </c>
      <c r="H1405">
        <v>0</v>
      </c>
      <c r="I1405" t="s">
        <v>24</v>
      </c>
      <c r="J1405" t="s">
        <v>25</v>
      </c>
      <c r="K1405">
        <v>0</v>
      </c>
      <c r="L1405">
        <v>0</v>
      </c>
      <c r="M1405" t="s">
        <v>25</v>
      </c>
      <c r="N1405" t="s">
        <v>25</v>
      </c>
      <c r="O1405" t="s">
        <v>26</v>
      </c>
      <c r="P1405" t="s">
        <v>25</v>
      </c>
      <c r="Q1405" t="s">
        <v>27</v>
      </c>
      <c r="R1405" t="s">
        <v>28</v>
      </c>
    </row>
    <row r="1406" spans="1:20">
      <c r="A1406">
        <v>1412</v>
      </c>
      <c r="B1406" t="s">
        <v>1576</v>
      </c>
      <c r="C1406" t="s">
        <v>21</v>
      </c>
      <c r="D1406" t="s">
        <v>22</v>
      </c>
      <c r="E1406" t="s">
        <v>23</v>
      </c>
      <c r="F1406">
        <v>0</v>
      </c>
      <c r="G1406">
        <v>19</v>
      </c>
      <c r="H1406">
        <v>0</v>
      </c>
      <c r="I1406" t="s">
        <v>24</v>
      </c>
      <c r="J1406" t="s">
        <v>25</v>
      </c>
      <c r="K1406">
        <v>0</v>
      </c>
      <c r="L1406">
        <v>0</v>
      </c>
      <c r="M1406" t="s">
        <v>25</v>
      </c>
      <c r="N1406" t="s">
        <v>25</v>
      </c>
      <c r="O1406" t="s">
        <v>26</v>
      </c>
      <c r="P1406" t="s">
        <v>25</v>
      </c>
      <c r="Q1406" t="s">
        <v>27</v>
      </c>
      <c r="R1406" t="s">
        <v>28</v>
      </c>
    </row>
    <row r="1407" spans="1:20">
      <c r="A1407">
        <v>1413</v>
      </c>
      <c r="B1407" t="s">
        <v>1577</v>
      </c>
      <c r="C1407" t="s">
        <v>102</v>
      </c>
      <c r="D1407" t="s">
        <v>22</v>
      </c>
      <c r="E1407" t="s">
        <v>1578</v>
      </c>
      <c r="F1407">
        <v>0</v>
      </c>
      <c r="G1407">
        <v>19</v>
      </c>
      <c r="H1407">
        <v>0</v>
      </c>
      <c r="I1407" t="s">
        <v>24</v>
      </c>
      <c r="J1407" t="s">
        <v>25</v>
      </c>
      <c r="K1407">
        <v>0</v>
      </c>
      <c r="L1407">
        <v>0</v>
      </c>
      <c r="M1407" t="s">
        <v>25</v>
      </c>
      <c r="N1407" t="s">
        <v>25</v>
      </c>
      <c r="O1407" t="s">
        <v>26</v>
      </c>
      <c r="P1407" t="s">
        <v>25</v>
      </c>
      <c r="Q1407" t="s">
        <v>27</v>
      </c>
      <c r="R1407" t="s">
        <v>28</v>
      </c>
    </row>
    <row r="1408" spans="1:20">
      <c r="A1408">
        <v>1414</v>
      </c>
      <c r="B1408" t="s">
        <v>1579</v>
      </c>
      <c r="C1408" t="s">
        <v>1580</v>
      </c>
      <c r="D1408" t="s">
        <v>229</v>
      </c>
      <c r="E1408" t="s">
        <v>1581</v>
      </c>
      <c r="F1408">
        <v>0</v>
      </c>
      <c r="G1408">
        <v>19</v>
      </c>
      <c r="H1408">
        <v>0</v>
      </c>
      <c r="I1408" t="s">
        <v>24</v>
      </c>
      <c r="J1408" t="s">
        <v>25</v>
      </c>
      <c r="K1408">
        <v>0</v>
      </c>
      <c r="L1408">
        <v>0</v>
      </c>
      <c r="M1408" t="s">
        <v>25</v>
      </c>
      <c r="N1408" t="s">
        <v>25</v>
      </c>
      <c r="O1408" t="s">
        <v>26</v>
      </c>
      <c r="P1408" t="s">
        <v>25</v>
      </c>
      <c r="Q1408" t="s">
        <v>27</v>
      </c>
      <c r="R1408" t="s">
        <v>28</v>
      </c>
      <c r="S1408" t="s">
        <v>231</v>
      </c>
      <c r="T1408" t="s">
        <v>1147</v>
      </c>
    </row>
    <row r="1409" spans="1:20">
      <c r="A1409">
        <v>1415</v>
      </c>
      <c r="B1409" t="s">
        <v>1582</v>
      </c>
      <c r="C1409" t="s">
        <v>1580</v>
      </c>
      <c r="D1409" t="s">
        <v>229</v>
      </c>
      <c r="E1409" t="s">
        <v>1583</v>
      </c>
      <c r="F1409">
        <v>0</v>
      </c>
      <c r="G1409">
        <v>19</v>
      </c>
      <c r="H1409">
        <v>0</v>
      </c>
      <c r="I1409" t="s">
        <v>24</v>
      </c>
      <c r="J1409" t="s">
        <v>25</v>
      </c>
      <c r="K1409">
        <v>0</v>
      </c>
      <c r="L1409">
        <v>0</v>
      </c>
      <c r="M1409" t="s">
        <v>25</v>
      </c>
      <c r="N1409" t="s">
        <v>25</v>
      </c>
      <c r="O1409" t="s">
        <v>26</v>
      </c>
      <c r="P1409" t="s">
        <v>25</v>
      </c>
      <c r="Q1409" t="s">
        <v>27</v>
      </c>
      <c r="R1409" t="s">
        <v>28</v>
      </c>
    </row>
    <row r="1410" spans="1:20">
      <c r="A1410">
        <v>1416</v>
      </c>
      <c r="B1410" t="s">
        <v>1584</v>
      </c>
      <c r="C1410" t="s">
        <v>1580</v>
      </c>
      <c r="D1410" t="s">
        <v>229</v>
      </c>
      <c r="E1410" t="s">
        <v>1581</v>
      </c>
      <c r="F1410">
        <v>0</v>
      </c>
      <c r="G1410">
        <v>19</v>
      </c>
      <c r="H1410">
        <v>0</v>
      </c>
      <c r="I1410" t="s">
        <v>24</v>
      </c>
      <c r="J1410" t="s">
        <v>25</v>
      </c>
      <c r="K1410">
        <v>0</v>
      </c>
      <c r="L1410">
        <v>0</v>
      </c>
      <c r="M1410" t="s">
        <v>25</v>
      </c>
      <c r="N1410" t="s">
        <v>25</v>
      </c>
      <c r="O1410" t="s">
        <v>26</v>
      </c>
      <c r="P1410" t="s">
        <v>25</v>
      </c>
      <c r="Q1410" t="s">
        <v>27</v>
      </c>
      <c r="R1410" t="s">
        <v>28</v>
      </c>
    </row>
    <row r="1411" spans="1:20">
      <c r="A1411">
        <v>1417</v>
      </c>
      <c r="B1411" t="s">
        <v>1585</v>
      </c>
      <c r="C1411" t="s">
        <v>1580</v>
      </c>
      <c r="D1411" t="s">
        <v>217</v>
      </c>
      <c r="E1411" t="s">
        <v>1586</v>
      </c>
      <c r="F1411">
        <v>0</v>
      </c>
      <c r="G1411">
        <v>19</v>
      </c>
      <c r="H1411">
        <v>0</v>
      </c>
      <c r="I1411" t="s">
        <v>24</v>
      </c>
      <c r="J1411" t="s">
        <v>25</v>
      </c>
      <c r="K1411">
        <v>0</v>
      </c>
      <c r="L1411">
        <v>0</v>
      </c>
      <c r="M1411" t="s">
        <v>25</v>
      </c>
      <c r="N1411" t="s">
        <v>25</v>
      </c>
      <c r="O1411" t="s">
        <v>26</v>
      </c>
      <c r="P1411" t="s">
        <v>25</v>
      </c>
      <c r="Q1411" t="s">
        <v>27</v>
      </c>
      <c r="R1411" t="s">
        <v>28</v>
      </c>
      <c r="S1411" t="s">
        <v>297</v>
      </c>
      <c r="T1411" t="s">
        <v>1471</v>
      </c>
    </row>
    <row r="1412" spans="1:20">
      <c r="A1412">
        <v>1418</v>
      </c>
      <c r="B1412" t="s">
        <v>1587</v>
      </c>
      <c r="C1412" t="s">
        <v>1580</v>
      </c>
      <c r="D1412" t="s">
        <v>217</v>
      </c>
      <c r="E1412" t="s">
        <v>1588</v>
      </c>
      <c r="F1412">
        <v>0</v>
      </c>
      <c r="G1412">
        <v>19</v>
      </c>
      <c r="H1412">
        <v>0</v>
      </c>
      <c r="I1412" t="s">
        <v>24</v>
      </c>
      <c r="J1412" t="s">
        <v>25</v>
      </c>
      <c r="K1412">
        <v>0</v>
      </c>
      <c r="L1412">
        <v>0</v>
      </c>
      <c r="M1412" t="s">
        <v>25</v>
      </c>
      <c r="N1412" t="s">
        <v>25</v>
      </c>
      <c r="O1412" t="s">
        <v>26</v>
      </c>
      <c r="P1412" t="s">
        <v>25</v>
      </c>
      <c r="Q1412" t="s">
        <v>27</v>
      </c>
      <c r="R1412" t="s">
        <v>28</v>
      </c>
      <c r="S1412" t="s">
        <v>297</v>
      </c>
      <c r="T1412" t="s">
        <v>1471</v>
      </c>
    </row>
    <row r="1413" spans="1:20">
      <c r="A1413">
        <v>1419</v>
      </c>
      <c r="B1413" t="s">
        <v>1589</v>
      </c>
      <c r="C1413" t="s">
        <v>216</v>
      </c>
      <c r="D1413" t="s">
        <v>217</v>
      </c>
      <c r="E1413" t="s">
        <v>834</v>
      </c>
      <c r="F1413">
        <v>0</v>
      </c>
      <c r="G1413">
        <v>19</v>
      </c>
      <c r="H1413">
        <v>0</v>
      </c>
      <c r="I1413" t="s">
        <v>24</v>
      </c>
      <c r="J1413" t="s">
        <v>25</v>
      </c>
      <c r="K1413">
        <v>0</v>
      </c>
      <c r="L1413">
        <v>0</v>
      </c>
      <c r="M1413" t="s">
        <v>25</v>
      </c>
      <c r="N1413" t="s">
        <v>25</v>
      </c>
      <c r="O1413" t="s">
        <v>26</v>
      </c>
      <c r="P1413" t="s">
        <v>25</v>
      </c>
      <c r="Q1413" t="s">
        <v>27</v>
      </c>
      <c r="R1413" t="s">
        <v>28</v>
      </c>
      <c r="S1413" t="s">
        <v>297</v>
      </c>
      <c r="T1413" t="s">
        <v>1590</v>
      </c>
    </row>
    <row r="1414" spans="1:20">
      <c r="A1414">
        <v>1420</v>
      </c>
      <c r="B1414" t="s">
        <v>1591</v>
      </c>
      <c r="C1414" t="s">
        <v>36</v>
      </c>
      <c r="D1414" t="s">
        <v>217</v>
      </c>
      <c r="E1414" t="s">
        <v>37</v>
      </c>
      <c r="F1414">
        <v>0</v>
      </c>
      <c r="G1414">
        <v>19</v>
      </c>
      <c r="H1414">
        <v>0</v>
      </c>
      <c r="I1414" t="s">
        <v>24</v>
      </c>
      <c r="J1414" t="s">
        <v>25</v>
      </c>
      <c r="K1414">
        <v>0</v>
      </c>
      <c r="L1414">
        <v>0</v>
      </c>
      <c r="M1414" t="s">
        <v>25</v>
      </c>
      <c r="N1414" t="s">
        <v>25</v>
      </c>
      <c r="O1414" t="s">
        <v>26</v>
      </c>
      <c r="P1414" t="s">
        <v>25</v>
      </c>
      <c r="Q1414" t="s">
        <v>27</v>
      </c>
      <c r="R1414" t="s">
        <v>28</v>
      </c>
    </row>
    <row r="1415" spans="1:20">
      <c r="A1415">
        <v>1421</v>
      </c>
      <c r="B1415" t="s">
        <v>1592</v>
      </c>
      <c r="C1415" t="s">
        <v>590</v>
      </c>
      <c r="D1415" t="s">
        <v>217</v>
      </c>
      <c r="E1415" t="s">
        <v>1593</v>
      </c>
      <c r="F1415">
        <v>0</v>
      </c>
      <c r="G1415">
        <v>19</v>
      </c>
      <c r="H1415">
        <v>0</v>
      </c>
      <c r="I1415" t="s">
        <v>24</v>
      </c>
      <c r="J1415" t="s">
        <v>25</v>
      </c>
      <c r="K1415">
        <v>0</v>
      </c>
      <c r="L1415">
        <v>0</v>
      </c>
      <c r="M1415" t="s">
        <v>25</v>
      </c>
      <c r="N1415" t="s">
        <v>25</v>
      </c>
      <c r="O1415" t="s">
        <v>26</v>
      </c>
      <c r="P1415" t="s">
        <v>25</v>
      </c>
      <c r="Q1415" t="s">
        <v>27</v>
      </c>
      <c r="R1415" t="s">
        <v>28</v>
      </c>
      <c r="S1415" t="s">
        <v>581</v>
      </c>
      <c r="T1415" t="s">
        <v>840</v>
      </c>
    </row>
    <row r="1416" spans="1:20">
      <c r="A1416">
        <v>1422</v>
      </c>
      <c r="B1416" t="s">
        <v>1594</v>
      </c>
      <c r="C1416" t="s">
        <v>320</v>
      </c>
      <c r="D1416" t="s">
        <v>217</v>
      </c>
      <c r="E1416" t="s">
        <v>1595</v>
      </c>
      <c r="F1416">
        <v>0</v>
      </c>
      <c r="G1416">
        <v>19</v>
      </c>
      <c r="H1416">
        <v>0</v>
      </c>
      <c r="I1416" t="s">
        <v>24</v>
      </c>
      <c r="J1416" t="s">
        <v>25</v>
      </c>
      <c r="K1416">
        <v>0</v>
      </c>
      <c r="L1416">
        <v>0</v>
      </c>
      <c r="M1416" t="s">
        <v>25</v>
      </c>
      <c r="N1416" t="s">
        <v>25</v>
      </c>
      <c r="O1416" t="s">
        <v>26</v>
      </c>
      <c r="P1416" t="s">
        <v>25</v>
      </c>
      <c r="Q1416" t="s">
        <v>27</v>
      </c>
      <c r="R1416" t="s">
        <v>28</v>
      </c>
      <c r="S1416" t="s">
        <v>231</v>
      </c>
      <c r="T1416" t="s">
        <v>1596</v>
      </c>
    </row>
    <row r="1417" spans="1:20">
      <c r="A1417">
        <v>1423</v>
      </c>
      <c r="B1417" t="s">
        <v>1597</v>
      </c>
      <c r="C1417" t="s">
        <v>36</v>
      </c>
      <c r="D1417" t="s">
        <v>229</v>
      </c>
      <c r="E1417" t="s">
        <v>1598</v>
      </c>
      <c r="F1417">
        <v>0</v>
      </c>
      <c r="G1417">
        <v>19</v>
      </c>
      <c r="H1417">
        <v>0</v>
      </c>
      <c r="I1417" t="s">
        <v>24</v>
      </c>
      <c r="J1417" t="s">
        <v>25</v>
      </c>
      <c r="K1417">
        <v>0</v>
      </c>
      <c r="L1417">
        <v>0</v>
      </c>
      <c r="M1417" t="s">
        <v>25</v>
      </c>
      <c r="N1417" t="s">
        <v>25</v>
      </c>
      <c r="O1417" t="s">
        <v>26</v>
      </c>
      <c r="P1417" t="s">
        <v>25</v>
      </c>
      <c r="Q1417" t="s">
        <v>27</v>
      </c>
      <c r="R1417" t="s">
        <v>28</v>
      </c>
    </row>
    <row r="1418" spans="1:20">
      <c r="A1418">
        <v>1424</v>
      </c>
      <c r="B1418" t="s">
        <v>1599</v>
      </c>
      <c r="C1418" t="s">
        <v>21</v>
      </c>
      <c r="D1418" t="s">
        <v>22</v>
      </c>
      <c r="E1418" t="s">
        <v>23</v>
      </c>
      <c r="F1418">
        <v>19992</v>
      </c>
      <c r="G1418">
        <v>19</v>
      </c>
      <c r="H1418">
        <v>23790</v>
      </c>
      <c r="I1418" t="s">
        <v>24</v>
      </c>
      <c r="J1418" t="s">
        <v>25</v>
      </c>
      <c r="K1418">
        <v>0</v>
      </c>
      <c r="L1418">
        <v>0</v>
      </c>
      <c r="M1418" t="s">
        <v>25</v>
      </c>
      <c r="N1418" t="s">
        <v>25</v>
      </c>
      <c r="O1418" t="s">
        <v>26</v>
      </c>
      <c r="P1418" t="s">
        <v>25</v>
      </c>
      <c r="Q1418" t="s">
        <v>27</v>
      </c>
      <c r="R1418" t="s">
        <v>28</v>
      </c>
      <c r="S1418" t="s">
        <v>51</v>
      </c>
      <c r="T1418" t="s">
        <v>892</v>
      </c>
    </row>
    <row r="1419" spans="1:20">
      <c r="A1419">
        <v>1425</v>
      </c>
      <c r="B1419" t="s">
        <v>1600</v>
      </c>
      <c r="C1419" t="s">
        <v>21</v>
      </c>
      <c r="D1419" t="s">
        <v>22</v>
      </c>
      <c r="E1419" t="s">
        <v>23</v>
      </c>
      <c r="F1419">
        <v>19992</v>
      </c>
      <c r="G1419">
        <v>19</v>
      </c>
      <c r="H1419">
        <v>23790</v>
      </c>
      <c r="I1419" t="s">
        <v>24</v>
      </c>
      <c r="J1419" t="s">
        <v>25</v>
      </c>
      <c r="K1419">
        <v>0</v>
      </c>
      <c r="L1419">
        <v>0</v>
      </c>
      <c r="M1419" t="s">
        <v>25</v>
      </c>
      <c r="N1419" t="s">
        <v>25</v>
      </c>
      <c r="O1419" t="s">
        <v>26</v>
      </c>
      <c r="P1419" t="s">
        <v>25</v>
      </c>
      <c r="Q1419" t="s">
        <v>27</v>
      </c>
      <c r="R1419" t="s">
        <v>28</v>
      </c>
      <c r="S1419" t="s">
        <v>51</v>
      </c>
      <c r="T1419" t="s">
        <v>892</v>
      </c>
    </row>
    <row r="1420" spans="1:20">
      <c r="A1420">
        <v>1426</v>
      </c>
      <c r="B1420" t="s">
        <v>1601</v>
      </c>
      <c r="C1420" t="s">
        <v>21</v>
      </c>
      <c r="D1420" t="s">
        <v>22</v>
      </c>
      <c r="E1420" t="s">
        <v>23</v>
      </c>
      <c r="F1420">
        <v>16800</v>
      </c>
      <c r="G1420">
        <v>19</v>
      </c>
      <c r="H1420">
        <v>19992</v>
      </c>
      <c r="I1420" t="s">
        <v>24</v>
      </c>
      <c r="J1420" t="s">
        <v>25</v>
      </c>
      <c r="K1420">
        <v>0</v>
      </c>
      <c r="L1420">
        <v>0</v>
      </c>
      <c r="M1420" t="s">
        <v>25</v>
      </c>
      <c r="N1420" t="s">
        <v>25</v>
      </c>
      <c r="O1420" t="s">
        <v>26</v>
      </c>
      <c r="P1420" t="s">
        <v>25</v>
      </c>
      <c r="Q1420" t="s">
        <v>27</v>
      </c>
      <c r="R1420" t="s">
        <v>28</v>
      </c>
      <c r="S1420" t="s">
        <v>51</v>
      </c>
      <c r="T1420" t="s">
        <v>892</v>
      </c>
    </row>
    <row r="1421" spans="1:20">
      <c r="A1421">
        <v>1427</v>
      </c>
      <c r="B1421" t="s">
        <v>1602</v>
      </c>
      <c r="C1421" t="s">
        <v>21</v>
      </c>
      <c r="D1421" t="s">
        <v>22</v>
      </c>
      <c r="E1421" t="s">
        <v>23</v>
      </c>
      <c r="F1421">
        <v>19992</v>
      </c>
      <c r="G1421">
        <v>19</v>
      </c>
      <c r="H1421">
        <v>23790</v>
      </c>
      <c r="I1421" t="s">
        <v>24</v>
      </c>
      <c r="J1421" t="s">
        <v>25</v>
      </c>
      <c r="K1421">
        <v>0</v>
      </c>
      <c r="L1421">
        <v>0</v>
      </c>
      <c r="M1421" t="s">
        <v>25</v>
      </c>
      <c r="N1421" t="s">
        <v>25</v>
      </c>
      <c r="O1421" t="s">
        <v>26</v>
      </c>
      <c r="P1421" t="s">
        <v>25</v>
      </c>
      <c r="Q1421" t="s">
        <v>27</v>
      </c>
      <c r="R1421" t="s">
        <v>28</v>
      </c>
    </row>
    <row r="1422" spans="1:20">
      <c r="A1422">
        <v>1428</v>
      </c>
      <c r="B1422" t="s">
        <v>1603</v>
      </c>
      <c r="C1422" t="s">
        <v>21</v>
      </c>
      <c r="D1422" t="s">
        <v>22</v>
      </c>
      <c r="E1422" t="s">
        <v>23</v>
      </c>
      <c r="F1422">
        <v>19992</v>
      </c>
      <c r="G1422">
        <v>19</v>
      </c>
      <c r="H1422">
        <v>23790</v>
      </c>
      <c r="I1422" t="s">
        <v>24</v>
      </c>
      <c r="J1422" t="s">
        <v>25</v>
      </c>
      <c r="K1422">
        <v>0</v>
      </c>
      <c r="L1422">
        <v>0</v>
      </c>
      <c r="M1422" t="s">
        <v>25</v>
      </c>
      <c r="N1422" t="s">
        <v>25</v>
      </c>
      <c r="O1422" t="s">
        <v>26</v>
      </c>
      <c r="P1422" t="s">
        <v>25</v>
      </c>
      <c r="Q1422" t="s">
        <v>27</v>
      </c>
      <c r="R1422" t="s">
        <v>28</v>
      </c>
    </row>
    <row r="1423" spans="1:20">
      <c r="A1423">
        <v>1429</v>
      </c>
      <c r="B1423" t="s">
        <v>1604</v>
      </c>
      <c r="C1423" t="s">
        <v>21</v>
      </c>
      <c r="D1423" t="s">
        <v>22</v>
      </c>
      <c r="E1423" t="s">
        <v>23</v>
      </c>
      <c r="F1423">
        <v>8330</v>
      </c>
      <c r="G1423">
        <v>19</v>
      </c>
      <c r="H1423">
        <v>9913</v>
      </c>
      <c r="I1423" t="s">
        <v>24</v>
      </c>
      <c r="J1423" t="s">
        <v>25</v>
      </c>
      <c r="K1423">
        <v>0</v>
      </c>
      <c r="L1423">
        <v>0</v>
      </c>
      <c r="M1423" t="s">
        <v>25</v>
      </c>
      <c r="N1423" t="s">
        <v>25</v>
      </c>
      <c r="O1423" t="s">
        <v>26</v>
      </c>
      <c r="P1423" t="s">
        <v>25</v>
      </c>
      <c r="Q1423" t="s">
        <v>27</v>
      </c>
      <c r="R1423" t="s">
        <v>28</v>
      </c>
    </row>
    <row r="1424" spans="1:20">
      <c r="A1424">
        <v>1430</v>
      </c>
      <c r="B1424" t="s">
        <v>1605</v>
      </c>
      <c r="C1424" t="s">
        <v>21</v>
      </c>
      <c r="D1424" t="s">
        <v>22</v>
      </c>
      <c r="E1424" t="s">
        <v>23</v>
      </c>
      <c r="F1424">
        <v>8330</v>
      </c>
      <c r="G1424">
        <v>19</v>
      </c>
      <c r="H1424">
        <v>9913</v>
      </c>
      <c r="I1424" t="s">
        <v>24</v>
      </c>
      <c r="J1424" t="s">
        <v>25</v>
      </c>
      <c r="K1424">
        <v>0</v>
      </c>
      <c r="L1424">
        <v>0</v>
      </c>
      <c r="M1424" t="s">
        <v>25</v>
      </c>
      <c r="N1424" t="s">
        <v>25</v>
      </c>
      <c r="O1424" t="s">
        <v>26</v>
      </c>
      <c r="P1424" t="s">
        <v>25</v>
      </c>
      <c r="Q1424" t="s">
        <v>27</v>
      </c>
      <c r="R1424" t="s">
        <v>28</v>
      </c>
    </row>
    <row r="1425" spans="1:20">
      <c r="A1425">
        <v>1431</v>
      </c>
      <c r="B1425" t="s">
        <v>1606</v>
      </c>
      <c r="C1425" t="s">
        <v>21</v>
      </c>
      <c r="D1425" t="s">
        <v>22</v>
      </c>
      <c r="E1425" t="s">
        <v>23</v>
      </c>
      <c r="F1425">
        <v>5950</v>
      </c>
      <c r="G1425">
        <v>19</v>
      </c>
      <c r="H1425">
        <v>7081</v>
      </c>
      <c r="I1425" t="s">
        <v>24</v>
      </c>
      <c r="J1425" t="s">
        <v>25</v>
      </c>
      <c r="K1425">
        <v>0</v>
      </c>
      <c r="L1425">
        <v>0</v>
      </c>
      <c r="M1425" t="s">
        <v>25</v>
      </c>
      <c r="N1425" t="s">
        <v>25</v>
      </c>
      <c r="O1425" t="s">
        <v>26</v>
      </c>
      <c r="P1425" t="s">
        <v>25</v>
      </c>
      <c r="Q1425" t="s">
        <v>27</v>
      </c>
      <c r="R1425" t="s">
        <v>28</v>
      </c>
    </row>
    <row r="1426" spans="1:20">
      <c r="A1426">
        <v>1432</v>
      </c>
      <c r="B1426" t="s">
        <v>1607</v>
      </c>
      <c r="C1426" t="s">
        <v>21</v>
      </c>
      <c r="D1426" t="s">
        <v>22</v>
      </c>
      <c r="E1426" t="s">
        <v>23</v>
      </c>
      <c r="F1426">
        <v>2380</v>
      </c>
      <c r="G1426">
        <v>19</v>
      </c>
      <c r="H1426">
        <v>2832</v>
      </c>
      <c r="I1426" t="s">
        <v>24</v>
      </c>
      <c r="J1426" t="s">
        <v>25</v>
      </c>
      <c r="K1426">
        <v>0</v>
      </c>
      <c r="L1426">
        <v>0</v>
      </c>
      <c r="M1426" t="s">
        <v>25</v>
      </c>
      <c r="N1426" t="s">
        <v>25</v>
      </c>
      <c r="O1426" t="s">
        <v>26</v>
      </c>
      <c r="P1426" t="s">
        <v>25</v>
      </c>
      <c r="Q1426" t="s">
        <v>27</v>
      </c>
      <c r="R1426" t="s">
        <v>28</v>
      </c>
    </row>
    <row r="1427" spans="1:20">
      <c r="A1427">
        <v>1433</v>
      </c>
      <c r="B1427" t="s">
        <v>1608</v>
      </c>
      <c r="C1427" t="s">
        <v>21</v>
      </c>
      <c r="D1427" t="s">
        <v>22</v>
      </c>
      <c r="E1427" t="s">
        <v>23</v>
      </c>
      <c r="F1427">
        <v>600</v>
      </c>
      <c r="G1427">
        <v>19</v>
      </c>
      <c r="H1427">
        <v>714</v>
      </c>
      <c r="I1427" t="s">
        <v>24</v>
      </c>
      <c r="J1427" t="s">
        <v>25</v>
      </c>
      <c r="K1427">
        <v>0</v>
      </c>
      <c r="L1427">
        <v>0</v>
      </c>
      <c r="M1427" t="s">
        <v>25</v>
      </c>
      <c r="N1427" t="s">
        <v>25</v>
      </c>
      <c r="O1427" t="s">
        <v>26</v>
      </c>
      <c r="P1427" t="s">
        <v>25</v>
      </c>
      <c r="Q1427" t="s">
        <v>27</v>
      </c>
      <c r="R1427" t="s">
        <v>28</v>
      </c>
      <c r="S1427" t="s">
        <v>51</v>
      </c>
      <c r="T1427" t="s">
        <v>892</v>
      </c>
    </row>
    <row r="1428" spans="1:20">
      <c r="A1428">
        <v>1434</v>
      </c>
      <c r="B1428" t="s">
        <v>1609</v>
      </c>
      <c r="C1428" t="s">
        <v>21</v>
      </c>
      <c r="D1428" t="s">
        <v>343</v>
      </c>
      <c r="E1428" t="s">
        <v>23</v>
      </c>
      <c r="F1428">
        <v>47700</v>
      </c>
      <c r="G1428">
        <v>19</v>
      </c>
      <c r="H1428">
        <v>56763</v>
      </c>
      <c r="I1428" t="s">
        <v>24</v>
      </c>
      <c r="J1428" t="s">
        <v>25</v>
      </c>
      <c r="K1428">
        <v>0</v>
      </c>
      <c r="L1428">
        <v>0</v>
      </c>
      <c r="M1428" t="s">
        <v>25</v>
      </c>
      <c r="N1428" t="s">
        <v>25</v>
      </c>
      <c r="O1428" t="s">
        <v>26</v>
      </c>
      <c r="P1428" t="s">
        <v>25</v>
      </c>
      <c r="Q1428" t="s">
        <v>27</v>
      </c>
      <c r="R1428" t="s">
        <v>28</v>
      </c>
      <c r="S1428" t="s">
        <v>51</v>
      </c>
      <c r="T1428" t="s">
        <v>334</v>
      </c>
    </row>
    <row r="1429" spans="1:20">
      <c r="A1429">
        <v>1435</v>
      </c>
      <c r="B1429" t="s">
        <v>1610</v>
      </c>
      <c r="C1429" t="s">
        <v>21</v>
      </c>
      <c r="D1429" t="s">
        <v>22</v>
      </c>
      <c r="E1429" t="s">
        <v>23</v>
      </c>
      <c r="F1429">
        <v>71400</v>
      </c>
      <c r="G1429">
        <v>19</v>
      </c>
      <c r="H1429">
        <v>84966</v>
      </c>
      <c r="I1429" t="s">
        <v>24</v>
      </c>
      <c r="J1429" t="s">
        <v>25</v>
      </c>
      <c r="K1429">
        <v>0</v>
      </c>
      <c r="L1429">
        <v>0</v>
      </c>
      <c r="M1429" t="s">
        <v>25</v>
      </c>
      <c r="N1429" t="s">
        <v>25</v>
      </c>
      <c r="O1429" t="s">
        <v>26</v>
      </c>
      <c r="P1429" t="s">
        <v>25</v>
      </c>
      <c r="Q1429" t="s">
        <v>27</v>
      </c>
      <c r="R1429" t="s">
        <v>28</v>
      </c>
    </row>
    <row r="1430" spans="1:20">
      <c r="A1430">
        <v>1436</v>
      </c>
      <c r="B1430" t="s">
        <v>1611</v>
      </c>
      <c r="C1430" t="s">
        <v>21</v>
      </c>
      <c r="D1430" t="s">
        <v>343</v>
      </c>
      <c r="E1430" t="s">
        <v>23</v>
      </c>
      <c r="F1430">
        <v>9230</v>
      </c>
      <c r="G1430">
        <v>19</v>
      </c>
      <c r="H1430">
        <v>10983.7</v>
      </c>
      <c r="I1430" t="s">
        <v>24</v>
      </c>
      <c r="J1430" t="s">
        <v>25</v>
      </c>
      <c r="K1430">
        <v>0</v>
      </c>
      <c r="L1430">
        <v>0</v>
      </c>
      <c r="M1430" t="s">
        <v>25</v>
      </c>
      <c r="N1430" t="s">
        <v>25</v>
      </c>
      <c r="O1430" t="s">
        <v>26</v>
      </c>
      <c r="P1430" t="s">
        <v>25</v>
      </c>
      <c r="Q1430" t="s">
        <v>27</v>
      </c>
      <c r="R1430" t="s">
        <v>28</v>
      </c>
      <c r="S1430" t="s">
        <v>51</v>
      </c>
      <c r="T1430" t="s">
        <v>1612</v>
      </c>
    </row>
    <row r="1431" spans="1:20">
      <c r="A1431">
        <v>1437</v>
      </c>
      <c r="B1431" t="s">
        <v>1613</v>
      </c>
      <c r="C1431" t="s">
        <v>21</v>
      </c>
      <c r="D1431" t="s">
        <v>343</v>
      </c>
      <c r="E1431" t="s">
        <v>23</v>
      </c>
      <c r="F1431">
        <v>9230</v>
      </c>
      <c r="G1431">
        <v>19</v>
      </c>
      <c r="H1431">
        <v>10983.7</v>
      </c>
      <c r="I1431" t="s">
        <v>24</v>
      </c>
      <c r="J1431" t="s">
        <v>25</v>
      </c>
      <c r="K1431">
        <v>0</v>
      </c>
      <c r="L1431">
        <v>0</v>
      </c>
      <c r="M1431" t="s">
        <v>25</v>
      </c>
      <c r="N1431" t="s">
        <v>25</v>
      </c>
      <c r="O1431" t="s">
        <v>26</v>
      </c>
      <c r="P1431" t="s">
        <v>25</v>
      </c>
      <c r="Q1431" t="s">
        <v>27</v>
      </c>
      <c r="R1431" t="s">
        <v>28</v>
      </c>
      <c r="S1431" t="s">
        <v>51</v>
      </c>
      <c r="T1431" t="s">
        <v>1612</v>
      </c>
    </row>
    <row r="1432" spans="1:20">
      <c r="A1432">
        <v>1438</v>
      </c>
      <c r="B1432" t="s">
        <v>1614</v>
      </c>
      <c r="C1432" t="s">
        <v>21</v>
      </c>
      <c r="D1432" t="s">
        <v>343</v>
      </c>
      <c r="E1432" t="s">
        <v>23</v>
      </c>
      <c r="F1432">
        <v>12376</v>
      </c>
      <c r="G1432">
        <v>19</v>
      </c>
      <c r="H1432">
        <v>14727</v>
      </c>
      <c r="I1432" t="s">
        <v>24</v>
      </c>
      <c r="J1432" t="s">
        <v>25</v>
      </c>
      <c r="K1432">
        <v>0</v>
      </c>
      <c r="L1432">
        <v>0</v>
      </c>
      <c r="M1432" t="s">
        <v>25</v>
      </c>
      <c r="N1432" t="s">
        <v>25</v>
      </c>
      <c r="O1432" t="s">
        <v>26</v>
      </c>
      <c r="P1432" t="s">
        <v>25</v>
      </c>
      <c r="Q1432" t="s">
        <v>27</v>
      </c>
      <c r="R1432" t="s">
        <v>28</v>
      </c>
    </row>
    <row r="1433" spans="1:20">
      <c r="A1433">
        <v>1439</v>
      </c>
      <c r="B1433" t="s">
        <v>1615</v>
      </c>
      <c r="C1433" t="s">
        <v>21</v>
      </c>
      <c r="D1433" t="s">
        <v>22</v>
      </c>
      <c r="E1433" t="s">
        <v>23</v>
      </c>
      <c r="F1433">
        <v>18600</v>
      </c>
      <c r="G1433">
        <v>19</v>
      </c>
      <c r="H1433">
        <v>22134</v>
      </c>
      <c r="I1433" t="s">
        <v>24</v>
      </c>
      <c r="J1433" t="s">
        <v>25</v>
      </c>
      <c r="K1433">
        <v>0</v>
      </c>
      <c r="L1433">
        <v>0</v>
      </c>
      <c r="M1433" t="s">
        <v>25</v>
      </c>
      <c r="N1433" t="s">
        <v>25</v>
      </c>
      <c r="O1433" t="s">
        <v>26</v>
      </c>
      <c r="P1433" t="s">
        <v>25</v>
      </c>
      <c r="Q1433" t="s">
        <v>27</v>
      </c>
      <c r="R1433" t="s">
        <v>28</v>
      </c>
      <c r="S1433" t="s">
        <v>51</v>
      </c>
      <c r="T1433" t="s">
        <v>334</v>
      </c>
    </row>
    <row r="1434" spans="1:20">
      <c r="A1434">
        <v>1440</v>
      </c>
      <c r="B1434" t="s">
        <v>1616</v>
      </c>
      <c r="C1434" t="s">
        <v>21</v>
      </c>
      <c r="D1434" t="s">
        <v>343</v>
      </c>
      <c r="E1434" t="s">
        <v>23</v>
      </c>
      <c r="F1434">
        <v>46291</v>
      </c>
      <c r="G1434">
        <v>19</v>
      </c>
      <c r="H1434">
        <v>55086</v>
      </c>
      <c r="I1434" t="s">
        <v>24</v>
      </c>
      <c r="J1434" t="s">
        <v>25</v>
      </c>
      <c r="K1434">
        <v>0</v>
      </c>
      <c r="L1434">
        <v>0</v>
      </c>
      <c r="M1434" t="s">
        <v>25</v>
      </c>
      <c r="N1434" t="s">
        <v>25</v>
      </c>
      <c r="O1434" t="s">
        <v>26</v>
      </c>
      <c r="P1434" t="s">
        <v>25</v>
      </c>
      <c r="Q1434" t="s">
        <v>27</v>
      </c>
      <c r="R1434" t="s">
        <v>28</v>
      </c>
    </row>
    <row r="1435" spans="1:20">
      <c r="A1435">
        <v>1441</v>
      </c>
      <c r="B1435" t="s">
        <v>1617</v>
      </c>
      <c r="C1435" t="s">
        <v>21</v>
      </c>
      <c r="D1435" t="s">
        <v>343</v>
      </c>
      <c r="E1435" t="s">
        <v>23</v>
      </c>
      <c r="F1435">
        <v>5950</v>
      </c>
      <c r="G1435">
        <v>19</v>
      </c>
      <c r="H1435">
        <v>7081</v>
      </c>
      <c r="I1435" t="s">
        <v>24</v>
      </c>
      <c r="J1435" t="s">
        <v>25</v>
      </c>
      <c r="K1435">
        <v>0</v>
      </c>
      <c r="L1435">
        <v>0</v>
      </c>
      <c r="M1435" t="s">
        <v>25</v>
      </c>
      <c r="N1435" t="s">
        <v>25</v>
      </c>
      <c r="O1435" t="s">
        <v>26</v>
      </c>
      <c r="P1435" t="s">
        <v>25</v>
      </c>
      <c r="Q1435" t="s">
        <v>27</v>
      </c>
      <c r="R1435" t="s">
        <v>28</v>
      </c>
    </row>
    <row r="1436" spans="1:20">
      <c r="A1436">
        <v>1442</v>
      </c>
      <c r="B1436" t="s">
        <v>1618</v>
      </c>
      <c r="C1436" t="s">
        <v>21</v>
      </c>
      <c r="D1436" t="s">
        <v>343</v>
      </c>
      <c r="E1436" t="s">
        <v>23</v>
      </c>
      <c r="F1436">
        <v>5950</v>
      </c>
      <c r="G1436">
        <v>19</v>
      </c>
      <c r="H1436">
        <v>7081</v>
      </c>
      <c r="I1436" t="s">
        <v>24</v>
      </c>
      <c r="J1436" t="s">
        <v>25</v>
      </c>
      <c r="K1436">
        <v>0</v>
      </c>
      <c r="L1436">
        <v>0</v>
      </c>
      <c r="M1436" t="s">
        <v>25</v>
      </c>
      <c r="N1436" t="s">
        <v>25</v>
      </c>
      <c r="O1436" t="s">
        <v>26</v>
      </c>
      <c r="P1436" t="s">
        <v>25</v>
      </c>
      <c r="Q1436" t="s">
        <v>27</v>
      </c>
      <c r="R1436" t="s">
        <v>28</v>
      </c>
    </row>
    <row r="1437" spans="1:20">
      <c r="A1437">
        <v>1443</v>
      </c>
      <c r="B1437" t="s">
        <v>1619</v>
      </c>
      <c r="C1437" t="s">
        <v>21</v>
      </c>
      <c r="D1437" t="s">
        <v>343</v>
      </c>
      <c r="E1437" t="s">
        <v>23</v>
      </c>
      <c r="F1437">
        <v>28273</v>
      </c>
      <c r="G1437">
        <v>19</v>
      </c>
      <c r="H1437">
        <v>33645</v>
      </c>
      <c r="I1437" t="s">
        <v>24</v>
      </c>
      <c r="J1437" t="s">
        <v>25</v>
      </c>
      <c r="K1437">
        <v>0</v>
      </c>
      <c r="L1437">
        <v>0</v>
      </c>
      <c r="M1437" t="s">
        <v>25</v>
      </c>
      <c r="N1437" t="s">
        <v>25</v>
      </c>
      <c r="O1437" t="s">
        <v>26</v>
      </c>
      <c r="P1437" t="s">
        <v>25</v>
      </c>
      <c r="Q1437" t="s">
        <v>27</v>
      </c>
      <c r="R1437" t="s">
        <v>28</v>
      </c>
    </row>
    <row r="1438" spans="1:20">
      <c r="A1438">
        <v>1444</v>
      </c>
      <c r="B1438" t="s">
        <v>1620</v>
      </c>
      <c r="C1438" t="s">
        <v>21</v>
      </c>
      <c r="D1438" t="s">
        <v>343</v>
      </c>
      <c r="E1438" t="s">
        <v>23</v>
      </c>
      <c r="F1438">
        <v>28273</v>
      </c>
      <c r="G1438">
        <v>19</v>
      </c>
      <c r="H1438">
        <v>33645</v>
      </c>
      <c r="I1438" t="s">
        <v>24</v>
      </c>
      <c r="J1438" t="s">
        <v>25</v>
      </c>
      <c r="K1438">
        <v>0</v>
      </c>
      <c r="L1438">
        <v>0</v>
      </c>
      <c r="M1438" t="s">
        <v>25</v>
      </c>
      <c r="N1438" t="s">
        <v>25</v>
      </c>
      <c r="O1438" t="s">
        <v>26</v>
      </c>
      <c r="P1438" t="s">
        <v>25</v>
      </c>
      <c r="Q1438" t="s">
        <v>27</v>
      </c>
      <c r="R1438" t="s">
        <v>28</v>
      </c>
    </row>
    <row r="1439" spans="1:20">
      <c r="A1439">
        <v>1445</v>
      </c>
      <c r="B1439" t="s">
        <v>1621</v>
      </c>
      <c r="C1439" t="s">
        <v>21</v>
      </c>
      <c r="D1439" t="s">
        <v>343</v>
      </c>
      <c r="E1439" t="s">
        <v>23</v>
      </c>
      <c r="F1439">
        <v>28273</v>
      </c>
      <c r="G1439">
        <v>19</v>
      </c>
      <c r="H1439">
        <v>33645</v>
      </c>
      <c r="I1439" t="s">
        <v>24</v>
      </c>
      <c r="J1439" t="s">
        <v>25</v>
      </c>
      <c r="K1439">
        <v>0</v>
      </c>
      <c r="L1439">
        <v>0</v>
      </c>
      <c r="M1439" t="s">
        <v>25</v>
      </c>
      <c r="N1439" t="s">
        <v>25</v>
      </c>
      <c r="O1439" t="s">
        <v>26</v>
      </c>
      <c r="P1439" t="s">
        <v>25</v>
      </c>
      <c r="Q1439" t="s">
        <v>27</v>
      </c>
      <c r="R1439" t="s">
        <v>28</v>
      </c>
    </row>
    <row r="1440" spans="1:20">
      <c r="A1440">
        <v>1446</v>
      </c>
      <c r="B1440" t="s">
        <v>1622</v>
      </c>
      <c r="C1440" t="s">
        <v>21</v>
      </c>
      <c r="D1440" t="s">
        <v>343</v>
      </c>
      <c r="E1440" t="s">
        <v>23</v>
      </c>
      <c r="F1440">
        <v>28273</v>
      </c>
      <c r="G1440">
        <v>19</v>
      </c>
      <c r="H1440">
        <v>33645</v>
      </c>
      <c r="I1440" t="s">
        <v>24</v>
      </c>
      <c r="J1440" t="s">
        <v>25</v>
      </c>
      <c r="K1440">
        <v>0</v>
      </c>
      <c r="L1440">
        <v>0</v>
      </c>
      <c r="M1440" t="s">
        <v>25</v>
      </c>
      <c r="N1440" t="s">
        <v>25</v>
      </c>
      <c r="O1440" t="s">
        <v>26</v>
      </c>
      <c r="P1440" t="s">
        <v>25</v>
      </c>
      <c r="Q1440" t="s">
        <v>27</v>
      </c>
      <c r="R1440" t="s">
        <v>28</v>
      </c>
    </row>
    <row r="1441" spans="1:20">
      <c r="A1441">
        <v>1447</v>
      </c>
      <c r="B1441" t="s">
        <v>1623</v>
      </c>
      <c r="C1441" t="s">
        <v>21</v>
      </c>
      <c r="D1441" t="s">
        <v>343</v>
      </c>
      <c r="E1441" t="s">
        <v>23</v>
      </c>
      <c r="F1441">
        <v>58500</v>
      </c>
      <c r="G1441">
        <v>19</v>
      </c>
      <c r="H1441">
        <v>69615</v>
      </c>
      <c r="I1441" t="s">
        <v>24</v>
      </c>
      <c r="J1441" t="s">
        <v>25</v>
      </c>
      <c r="K1441">
        <v>0</v>
      </c>
      <c r="L1441">
        <v>0</v>
      </c>
      <c r="M1441" t="s">
        <v>25</v>
      </c>
      <c r="N1441" t="s">
        <v>25</v>
      </c>
      <c r="O1441" t="s">
        <v>26</v>
      </c>
      <c r="P1441" t="s">
        <v>25</v>
      </c>
      <c r="Q1441" t="s">
        <v>27</v>
      </c>
      <c r="R1441" t="s">
        <v>28</v>
      </c>
      <c r="S1441" t="s">
        <v>51</v>
      </c>
      <c r="T1441" t="s">
        <v>334</v>
      </c>
    </row>
    <row r="1442" spans="1:20">
      <c r="A1442">
        <v>1448</v>
      </c>
      <c r="B1442" t="s">
        <v>1624</v>
      </c>
      <c r="C1442" t="s">
        <v>21</v>
      </c>
      <c r="D1442" t="s">
        <v>343</v>
      </c>
      <c r="E1442" t="s">
        <v>23</v>
      </c>
      <c r="F1442">
        <v>58500</v>
      </c>
      <c r="G1442">
        <v>19</v>
      </c>
      <c r="H1442">
        <v>69615</v>
      </c>
      <c r="I1442" t="s">
        <v>24</v>
      </c>
      <c r="J1442" t="s">
        <v>25</v>
      </c>
      <c r="K1442">
        <v>0</v>
      </c>
      <c r="L1442">
        <v>0</v>
      </c>
      <c r="M1442" t="s">
        <v>25</v>
      </c>
      <c r="N1442" t="s">
        <v>25</v>
      </c>
      <c r="O1442" t="s">
        <v>26</v>
      </c>
      <c r="P1442" t="s">
        <v>25</v>
      </c>
      <c r="Q1442" t="s">
        <v>27</v>
      </c>
      <c r="R1442" t="s">
        <v>28</v>
      </c>
      <c r="S1442" t="s">
        <v>51</v>
      </c>
      <c r="T1442" t="s">
        <v>334</v>
      </c>
    </row>
    <row r="1443" spans="1:20">
      <c r="A1443">
        <v>1449</v>
      </c>
      <c r="B1443" t="s">
        <v>1625</v>
      </c>
      <c r="C1443" t="s">
        <v>21</v>
      </c>
      <c r="D1443" t="s">
        <v>343</v>
      </c>
      <c r="E1443" t="s">
        <v>23</v>
      </c>
      <c r="F1443">
        <v>58500</v>
      </c>
      <c r="G1443">
        <v>19</v>
      </c>
      <c r="H1443">
        <v>69615</v>
      </c>
      <c r="I1443" t="s">
        <v>24</v>
      </c>
      <c r="J1443" t="s">
        <v>25</v>
      </c>
      <c r="K1443">
        <v>0</v>
      </c>
      <c r="L1443">
        <v>0</v>
      </c>
      <c r="M1443" t="s">
        <v>25</v>
      </c>
      <c r="N1443" t="s">
        <v>25</v>
      </c>
      <c r="O1443" t="s">
        <v>26</v>
      </c>
      <c r="P1443" t="s">
        <v>25</v>
      </c>
      <c r="Q1443" t="s">
        <v>27</v>
      </c>
      <c r="R1443" t="s">
        <v>28</v>
      </c>
      <c r="S1443" t="s">
        <v>51</v>
      </c>
      <c r="T1443" t="s">
        <v>334</v>
      </c>
    </row>
    <row r="1444" spans="1:20">
      <c r="A1444">
        <v>1450</v>
      </c>
      <c r="B1444" t="s">
        <v>1626</v>
      </c>
      <c r="C1444" t="s">
        <v>21</v>
      </c>
      <c r="D1444" t="s">
        <v>343</v>
      </c>
      <c r="E1444" t="s">
        <v>23</v>
      </c>
      <c r="F1444">
        <v>58500</v>
      </c>
      <c r="G1444">
        <v>19</v>
      </c>
      <c r="H1444">
        <v>69615</v>
      </c>
      <c r="I1444" t="s">
        <v>24</v>
      </c>
      <c r="J1444" t="s">
        <v>25</v>
      </c>
      <c r="K1444">
        <v>0</v>
      </c>
      <c r="L1444">
        <v>0</v>
      </c>
      <c r="M1444" t="s">
        <v>25</v>
      </c>
      <c r="N1444" t="s">
        <v>25</v>
      </c>
      <c r="O1444" t="s">
        <v>26</v>
      </c>
      <c r="P1444" t="s">
        <v>25</v>
      </c>
      <c r="Q1444" t="s">
        <v>27</v>
      </c>
      <c r="R1444" t="s">
        <v>28</v>
      </c>
      <c r="S1444" t="s">
        <v>51</v>
      </c>
      <c r="T1444" t="s">
        <v>334</v>
      </c>
    </row>
    <row r="1445" spans="1:20">
      <c r="A1445">
        <v>1451</v>
      </c>
      <c r="B1445" t="s">
        <v>1627</v>
      </c>
      <c r="C1445" t="s">
        <v>21</v>
      </c>
      <c r="D1445" t="s">
        <v>343</v>
      </c>
      <c r="E1445" t="s">
        <v>23</v>
      </c>
      <c r="F1445">
        <v>58500</v>
      </c>
      <c r="G1445">
        <v>19</v>
      </c>
      <c r="H1445">
        <v>69615</v>
      </c>
      <c r="I1445" t="s">
        <v>24</v>
      </c>
      <c r="J1445" t="s">
        <v>25</v>
      </c>
      <c r="K1445">
        <v>0</v>
      </c>
      <c r="L1445">
        <v>0</v>
      </c>
      <c r="M1445" t="s">
        <v>25</v>
      </c>
      <c r="N1445" t="s">
        <v>25</v>
      </c>
      <c r="O1445" t="s">
        <v>26</v>
      </c>
      <c r="P1445" t="s">
        <v>25</v>
      </c>
      <c r="Q1445" t="s">
        <v>27</v>
      </c>
      <c r="R1445" t="s">
        <v>28</v>
      </c>
      <c r="S1445" t="s">
        <v>51</v>
      </c>
      <c r="T1445" t="s">
        <v>334</v>
      </c>
    </row>
    <row r="1446" spans="1:20">
      <c r="A1446">
        <v>1452</v>
      </c>
      <c r="B1446" t="s">
        <v>1628</v>
      </c>
      <c r="C1446" t="s">
        <v>21</v>
      </c>
      <c r="D1446" t="s">
        <v>343</v>
      </c>
      <c r="E1446" t="s">
        <v>23</v>
      </c>
      <c r="F1446">
        <v>58500</v>
      </c>
      <c r="G1446">
        <v>19</v>
      </c>
      <c r="H1446">
        <v>69615</v>
      </c>
      <c r="I1446" t="s">
        <v>24</v>
      </c>
      <c r="J1446" t="s">
        <v>25</v>
      </c>
      <c r="K1446">
        <v>0</v>
      </c>
      <c r="L1446">
        <v>0</v>
      </c>
      <c r="M1446" t="s">
        <v>25</v>
      </c>
      <c r="N1446" t="s">
        <v>25</v>
      </c>
      <c r="O1446" t="s">
        <v>26</v>
      </c>
      <c r="P1446" t="s">
        <v>25</v>
      </c>
      <c r="Q1446" t="s">
        <v>27</v>
      </c>
      <c r="R1446" t="s">
        <v>28</v>
      </c>
      <c r="S1446" t="s">
        <v>51</v>
      </c>
      <c r="T1446" t="s">
        <v>334</v>
      </c>
    </row>
    <row r="1447" spans="1:20">
      <c r="A1447">
        <v>1453</v>
      </c>
      <c r="B1447" t="s">
        <v>1629</v>
      </c>
      <c r="C1447" t="s">
        <v>21</v>
      </c>
      <c r="D1447" t="s">
        <v>343</v>
      </c>
      <c r="E1447" t="s">
        <v>23</v>
      </c>
      <c r="F1447">
        <v>58500</v>
      </c>
      <c r="G1447">
        <v>19</v>
      </c>
      <c r="H1447">
        <v>69615</v>
      </c>
      <c r="I1447" t="s">
        <v>24</v>
      </c>
      <c r="J1447" t="s">
        <v>25</v>
      </c>
      <c r="K1447">
        <v>0</v>
      </c>
      <c r="L1447">
        <v>0</v>
      </c>
      <c r="M1447" t="s">
        <v>25</v>
      </c>
      <c r="N1447" t="s">
        <v>25</v>
      </c>
      <c r="O1447" t="s">
        <v>26</v>
      </c>
      <c r="P1447" t="s">
        <v>25</v>
      </c>
      <c r="Q1447" t="s">
        <v>27</v>
      </c>
      <c r="R1447" t="s">
        <v>28</v>
      </c>
      <c r="S1447" t="s">
        <v>51</v>
      </c>
      <c r="T1447" t="s">
        <v>334</v>
      </c>
    </row>
    <row r="1448" spans="1:20">
      <c r="A1448">
        <v>1454</v>
      </c>
      <c r="B1448" t="s">
        <v>1630</v>
      </c>
      <c r="C1448" t="s">
        <v>21</v>
      </c>
      <c r="D1448" t="s">
        <v>343</v>
      </c>
      <c r="E1448" t="s">
        <v>23</v>
      </c>
      <c r="F1448">
        <v>5800</v>
      </c>
      <c r="G1448">
        <v>19</v>
      </c>
      <c r="H1448">
        <v>6902</v>
      </c>
      <c r="I1448" t="s">
        <v>24</v>
      </c>
      <c r="J1448" t="s">
        <v>25</v>
      </c>
      <c r="K1448">
        <v>0</v>
      </c>
      <c r="L1448">
        <v>0</v>
      </c>
      <c r="M1448" t="s">
        <v>25</v>
      </c>
      <c r="N1448" t="s">
        <v>25</v>
      </c>
      <c r="O1448" t="s">
        <v>26</v>
      </c>
      <c r="P1448" t="s">
        <v>25</v>
      </c>
      <c r="Q1448" t="s">
        <v>27</v>
      </c>
      <c r="R1448" t="s">
        <v>28</v>
      </c>
      <c r="S1448" t="s">
        <v>51</v>
      </c>
      <c r="T1448" t="s">
        <v>334</v>
      </c>
    </row>
    <row r="1449" spans="1:20">
      <c r="A1449">
        <v>1455</v>
      </c>
      <c r="B1449" t="s">
        <v>1631</v>
      </c>
      <c r="C1449" t="s">
        <v>21</v>
      </c>
      <c r="D1449" t="s">
        <v>343</v>
      </c>
      <c r="E1449" t="s">
        <v>23</v>
      </c>
      <c r="F1449">
        <v>58500</v>
      </c>
      <c r="G1449">
        <v>19</v>
      </c>
      <c r="H1449">
        <v>69615</v>
      </c>
      <c r="I1449" t="s">
        <v>24</v>
      </c>
      <c r="J1449" t="s">
        <v>25</v>
      </c>
      <c r="K1449">
        <v>0</v>
      </c>
      <c r="L1449">
        <v>0</v>
      </c>
      <c r="M1449" t="s">
        <v>25</v>
      </c>
      <c r="N1449" t="s">
        <v>25</v>
      </c>
      <c r="O1449" t="s">
        <v>26</v>
      </c>
      <c r="P1449" t="s">
        <v>25</v>
      </c>
      <c r="Q1449" t="s">
        <v>27</v>
      </c>
      <c r="R1449" t="s">
        <v>28</v>
      </c>
      <c r="S1449" t="s">
        <v>51</v>
      </c>
      <c r="T1449" t="s">
        <v>334</v>
      </c>
    </row>
    <row r="1450" spans="1:20">
      <c r="A1450">
        <v>1456</v>
      </c>
      <c r="B1450" t="s">
        <v>1632</v>
      </c>
      <c r="C1450" t="s">
        <v>21</v>
      </c>
      <c r="D1450" t="s">
        <v>343</v>
      </c>
      <c r="E1450" t="s">
        <v>23</v>
      </c>
      <c r="F1450">
        <v>58500</v>
      </c>
      <c r="G1450">
        <v>19</v>
      </c>
      <c r="H1450">
        <v>69615</v>
      </c>
      <c r="I1450" t="s">
        <v>24</v>
      </c>
      <c r="J1450" t="s">
        <v>25</v>
      </c>
      <c r="K1450">
        <v>0</v>
      </c>
      <c r="L1450">
        <v>0</v>
      </c>
      <c r="M1450" t="s">
        <v>25</v>
      </c>
      <c r="N1450" t="s">
        <v>25</v>
      </c>
      <c r="O1450" t="s">
        <v>26</v>
      </c>
      <c r="P1450" t="s">
        <v>25</v>
      </c>
      <c r="Q1450" t="s">
        <v>27</v>
      </c>
      <c r="R1450" t="s">
        <v>28</v>
      </c>
      <c r="S1450" t="s">
        <v>51</v>
      </c>
      <c r="T1450" t="s">
        <v>334</v>
      </c>
    </row>
    <row r="1451" spans="1:20">
      <c r="A1451">
        <v>1457</v>
      </c>
      <c r="B1451" t="s">
        <v>1633</v>
      </c>
      <c r="C1451" t="s">
        <v>21</v>
      </c>
      <c r="D1451" t="s">
        <v>343</v>
      </c>
      <c r="E1451" t="s">
        <v>23</v>
      </c>
      <c r="F1451">
        <v>58500</v>
      </c>
      <c r="G1451">
        <v>19</v>
      </c>
      <c r="H1451">
        <v>69615</v>
      </c>
      <c r="I1451" t="s">
        <v>24</v>
      </c>
      <c r="J1451" t="s">
        <v>25</v>
      </c>
      <c r="K1451">
        <v>0</v>
      </c>
      <c r="L1451">
        <v>0</v>
      </c>
      <c r="M1451" t="s">
        <v>25</v>
      </c>
      <c r="N1451" t="s">
        <v>25</v>
      </c>
      <c r="O1451" t="s">
        <v>26</v>
      </c>
      <c r="P1451" t="s">
        <v>25</v>
      </c>
      <c r="Q1451" t="s">
        <v>27</v>
      </c>
      <c r="R1451" t="s">
        <v>28</v>
      </c>
      <c r="S1451" t="s">
        <v>51</v>
      </c>
      <c r="T1451" t="s">
        <v>334</v>
      </c>
    </row>
    <row r="1452" spans="1:20">
      <c r="A1452">
        <v>1458</v>
      </c>
      <c r="B1452" t="s">
        <v>1634</v>
      </c>
      <c r="C1452" t="s">
        <v>21</v>
      </c>
      <c r="D1452" t="s">
        <v>343</v>
      </c>
      <c r="E1452" t="s">
        <v>23</v>
      </c>
      <c r="F1452">
        <v>69615</v>
      </c>
      <c r="G1452">
        <v>19</v>
      </c>
      <c r="H1452">
        <v>82842</v>
      </c>
      <c r="I1452" t="s">
        <v>24</v>
      </c>
      <c r="J1452" t="s">
        <v>25</v>
      </c>
      <c r="K1452">
        <v>0</v>
      </c>
      <c r="L1452">
        <v>0</v>
      </c>
      <c r="M1452" t="s">
        <v>25</v>
      </c>
      <c r="N1452" t="s">
        <v>25</v>
      </c>
      <c r="O1452" t="s">
        <v>26</v>
      </c>
      <c r="P1452" t="s">
        <v>25</v>
      </c>
      <c r="Q1452" t="s">
        <v>27</v>
      </c>
      <c r="R1452" t="s">
        <v>28</v>
      </c>
    </row>
    <row r="1453" spans="1:20">
      <c r="A1453">
        <v>1459</v>
      </c>
      <c r="B1453" t="s">
        <v>1635</v>
      </c>
      <c r="C1453" t="s">
        <v>21</v>
      </c>
      <c r="D1453" t="s">
        <v>343</v>
      </c>
      <c r="E1453" t="s">
        <v>23</v>
      </c>
      <c r="F1453">
        <v>69615</v>
      </c>
      <c r="G1453">
        <v>19</v>
      </c>
      <c r="H1453">
        <v>82842</v>
      </c>
      <c r="I1453" t="s">
        <v>24</v>
      </c>
      <c r="J1453" t="s">
        <v>25</v>
      </c>
      <c r="K1453">
        <v>0</v>
      </c>
      <c r="L1453">
        <v>0</v>
      </c>
      <c r="M1453" t="s">
        <v>25</v>
      </c>
      <c r="N1453" t="s">
        <v>25</v>
      </c>
      <c r="O1453" t="s">
        <v>26</v>
      </c>
      <c r="P1453" t="s">
        <v>25</v>
      </c>
      <c r="Q1453" t="s">
        <v>27</v>
      </c>
      <c r="R1453" t="s">
        <v>28</v>
      </c>
    </row>
    <row r="1454" spans="1:20">
      <c r="A1454">
        <v>1460</v>
      </c>
      <c r="B1454" t="s">
        <v>1636</v>
      </c>
      <c r="C1454" t="s">
        <v>21</v>
      </c>
      <c r="D1454" t="s">
        <v>343</v>
      </c>
      <c r="E1454" t="s">
        <v>23</v>
      </c>
      <c r="F1454">
        <v>69615</v>
      </c>
      <c r="G1454">
        <v>19</v>
      </c>
      <c r="H1454">
        <v>82842</v>
      </c>
      <c r="I1454" t="s">
        <v>24</v>
      </c>
      <c r="J1454" t="s">
        <v>25</v>
      </c>
      <c r="K1454">
        <v>0</v>
      </c>
      <c r="L1454">
        <v>0</v>
      </c>
      <c r="M1454" t="s">
        <v>25</v>
      </c>
      <c r="N1454" t="s">
        <v>25</v>
      </c>
      <c r="O1454" t="s">
        <v>26</v>
      </c>
      <c r="P1454" t="s">
        <v>25</v>
      </c>
      <c r="Q1454" t="s">
        <v>27</v>
      </c>
      <c r="R1454" t="s">
        <v>28</v>
      </c>
    </row>
    <row r="1455" spans="1:20">
      <c r="A1455">
        <v>1461</v>
      </c>
      <c r="B1455" t="s">
        <v>1637</v>
      </c>
      <c r="C1455" t="s">
        <v>21</v>
      </c>
      <c r="D1455" t="s">
        <v>343</v>
      </c>
      <c r="E1455" t="s">
        <v>23</v>
      </c>
      <c r="F1455">
        <v>95000</v>
      </c>
      <c r="G1455">
        <v>19</v>
      </c>
      <c r="H1455">
        <v>113050</v>
      </c>
      <c r="I1455" t="s">
        <v>24</v>
      </c>
      <c r="J1455" t="s">
        <v>25</v>
      </c>
      <c r="K1455">
        <v>0</v>
      </c>
      <c r="L1455">
        <v>0</v>
      </c>
      <c r="M1455" t="s">
        <v>25</v>
      </c>
      <c r="N1455" t="s">
        <v>25</v>
      </c>
      <c r="O1455" t="s">
        <v>26</v>
      </c>
      <c r="P1455" t="s">
        <v>25</v>
      </c>
      <c r="Q1455" t="s">
        <v>27</v>
      </c>
      <c r="R1455" t="s">
        <v>28</v>
      </c>
      <c r="S1455" t="s">
        <v>51</v>
      </c>
      <c r="T1455" t="s">
        <v>334</v>
      </c>
    </row>
    <row r="1456" spans="1:20">
      <c r="A1456">
        <v>1462</v>
      </c>
      <c r="B1456" t="s">
        <v>1638</v>
      </c>
      <c r="C1456" t="s">
        <v>21</v>
      </c>
      <c r="D1456" t="s">
        <v>343</v>
      </c>
      <c r="E1456" t="s">
        <v>23</v>
      </c>
      <c r="F1456">
        <v>95000</v>
      </c>
      <c r="G1456">
        <v>19</v>
      </c>
      <c r="H1456">
        <v>113050</v>
      </c>
      <c r="I1456" t="s">
        <v>24</v>
      </c>
      <c r="J1456" t="s">
        <v>25</v>
      </c>
      <c r="K1456">
        <v>0</v>
      </c>
      <c r="L1456">
        <v>0</v>
      </c>
      <c r="M1456" t="s">
        <v>25</v>
      </c>
      <c r="N1456" t="s">
        <v>25</v>
      </c>
      <c r="O1456" t="s">
        <v>26</v>
      </c>
      <c r="P1456" t="s">
        <v>25</v>
      </c>
      <c r="Q1456" t="s">
        <v>27</v>
      </c>
      <c r="R1456" t="s">
        <v>28</v>
      </c>
      <c r="S1456" t="s">
        <v>51</v>
      </c>
      <c r="T1456" t="s">
        <v>334</v>
      </c>
    </row>
    <row r="1457" spans="1:20">
      <c r="A1457">
        <v>1463</v>
      </c>
      <c r="B1457" t="s">
        <v>1639</v>
      </c>
      <c r="C1457" t="s">
        <v>21</v>
      </c>
      <c r="D1457" t="s">
        <v>343</v>
      </c>
      <c r="E1457" t="s">
        <v>23</v>
      </c>
      <c r="F1457">
        <v>95000</v>
      </c>
      <c r="G1457">
        <v>19</v>
      </c>
      <c r="H1457">
        <v>113050</v>
      </c>
      <c r="I1457" t="s">
        <v>24</v>
      </c>
      <c r="J1457" t="s">
        <v>25</v>
      </c>
      <c r="K1457">
        <v>0</v>
      </c>
      <c r="L1457">
        <v>0</v>
      </c>
      <c r="M1457" t="s">
        <v>25</v>
      </c>
      <c r="N1457" t="s">
        <v>25</v>
      </c>
      <c r="O1457" t="s">
        <v>26</v>
      </c>
      <c r="P1457" t="s">
        <v>25</v>
      </c>
      <c r="Q1457" t="s">
        <v>27</v>
      </c>
      <c r="R1457" t="s">
        <v>28</v>
      </c>
      <c r="S1457" t="s">
        <v>51</v>
      </c>
      <c r="T1457" t="s">
        <v>334</v>
      </c>
    </row>
    <row r="1458" spans="1:20">
      <c r="A1458">
        <v>1464</v>
      </c>
      <c r="B1458" t="s">
        <v>1640</v>
      </c>
      <c r="C1458" t="s">
        <v>21</v>
      </c>
      <c r="D1458" t="s">
        <v>343</v>
      </c>
      <c r="E1458" t="s">
        <v>23</v>
      </c>
      <c r="F1458">
        <v>95000</v>
      </c>
      <c r="G1458">
        <v>19</v>
      </c>
      <c r="H1458">
        <v>113050</v>
      </c>
      <c r="I1458" t="s">
        <v>24</v>
      </c>
      <c r="J1458" t="s">
        <v>25</v>
      </c>
      <c r="K1458">
        <v>0</v>
      </c>
      <c r="L1458">
        <v>0</v>
      </c>
      <c r="M1458" t="s">
        <v>25</v>
      </c>
      <c r="N1458" t="s">
        <v>25</v>
      </c>
      <c r="O1458" t="s">
        <v>26</v>
      </c>
      <c r="P1458" t="s">
        <v>25</v>
      </c>
      <c r="Q1458" t="s">
        <v>27</v>
      </c>
      <c r="R1458" t="s">
        <v>28</v>
      </c>
      <c r="S1458" t="s">
        <v>51</v>
      </c>
      <c r="T1458" t="s">
        <v>334</v>
      </c>
    </row>
    <row r="1459" spans="1:20">
      <c r="A1459">
        <v>1465</v>
      </c>
      <c r="B1459" t="s">
        <v>1641</v>
      </c>
      <c r="C1459" t="s">
        <v>21</v>
      </c>
      <c r="D1459" t="s">
        <v>343</v>
      </c>
      <c r="E1459" t="s">
        <v>23</v>
      </c>
      <c r="F1459">
        <v>95000</v>
      </c>
      <c r="G1459">
        <v>19</v>
      </c>
      <c r="H1459">
        <v>113050</v>
      </c>
      <c r="I1459" t="s">
        <v>24</v>
      </c>
      <c r="J1459" t="s">
        <v>25</v>
      </c>
      <c r="K1459">
        <v>0</v>
      </c>
      <c r="L1459">
        <v>0</v>
      </c>
      <c r="M1459" t="s">
        <v>25</v>
      </c>
      <c r="N1459" t="s">
        <v>25</v>
      </c>
      <c r="O1459" t="s">
        <v>26</v>
      </c>
      <c r="P1459" t="s">
        <v>25</v>
      </c>
      <c r="Q1459" t="s">
        <v>27</v>
      </c>
      <c r="R1459" t="s">
        <v>28</v>
      </c>
      <c r="S1459" t="s">
        <v>51</v>
      </c>
      <c r="T1459" t="s">
        <v>334</v>
      </c>
    </row>
    <row r="1460" spans="1:20">
      <c r="A1460">
        <v>1466</v>
      </c>
      <c r="B1460" t="s">
        <v>1642</v>
      </c>
      <c r="C1460" t="s">
        <v>21</v>
      </c>
      <c r="D1460" t="s">
        <v>343</v>
      </c>
      <c r="E1460" t="s">
        <v>23</v>
      </c>
      <c r="F1460">
        <v>95000</v>
      </c>
      <c r="G1460">
        <v>19</v>
      </c>
      <c r="H1460">
        <v>113050</v>
      </c>
      <c r="I1460" t="s">
        <v>24</v>
      </c>
      <c r="J1460" t="s">
        <v>25</v>
      </c>
      <c r="K1460">
        <v>0</v>
      </c>
      <c r="L1460">
        <v>0</v>
      </c>
      <c r="M1460" t="s">
        <v>25</v>
      </c>
      <c r="N1460" t="s">
        <v>25</v>
      </c>
      <c r="O1460" t="s">
        <v>26</v>
      </c>
      <c r="P1460" t="s">
        <v>25</v>
      </c>
      <c r="Q1460" t="s">
        <v>27</v>
      </c>
      <c r="R1460" t="s">
        <v>28</v>
      </c>
      <c r="S1460" t="s">
        <v>51</v>
      </c>
      <c r="T1460" t="s">
        <v>334</v>
      </c>
    </row>
    <row r="1461" spans="1:20">
      <c r="A1461">
        <v>1467</v>
      </c>
      <c r="B1461" t="s">
        <v>1643</v>
      </c>
      <c r="C1461" t="s">
        <v>21</v>
      </c>
      <c r="D1461" t="s">
        <v>343</v>
      </c>
      <c r="E1461" t="s">
        <v>23</v>
      </c>
      <c r="F1461">
        <v>95000</v>
      </c>
      <c r="G1461">
        <v>19</v>
      </c>
      <c r="H1461">
        <v>113050</v>
      </c>
      <c r="I1461" t="s">
        <v>24</v>
      </c>
      <c r="J1461" t="s">
        <v>25</v>
      </c>
      <c r="K1461">
        <v>0</v>
      </c>
      <c r="L1461">
        <v>0</v>
      </c>
      <c r="M1461" t="s">
        <v>25</v>
      </c>
      <c r="N1461" t="s">
        <v>25</v>
      </c>
      <c r="O1461" t="s">
        <v>26</v>
      </c>
      <c r="P1461" t="s">
        <v>25</v>
      </c>
      <c r="Q1461" t="s">
        <v>27</v>
      </c>
      <c r="R1461" t="s">
        <v>28</v>
      </c>
      <c r="S1461" t="s">
        <v>51</v>
      </c>
      <c r="T1461" t="s">
        <v>334</v>
      </c>
    </row>
    <row r="1462" spans="1:20">
      <c r="A1462">
        <v>1468</v>
      </c>
      <c r="B1462" t="s">
        <v>1644</v>
      </c>
      <c r="C1462" t="s">
        <v>21</v>
      </c>
      <c r="D1462" t="s">
        <v>343</v>
      </c>
      <c r="E1462" t="s">
        <v>23</v>
      </c>
      <c r="F1462">
        <v>95000</v>
      </c>
      <c r="G1462">
        <v>19</v>
      </c>
      <c r="H1462">
        <v>113050</v>
      </c>
      <c r="I1462" t="s">
        <v>24</v>
      </c>
      <c r="J1462" t="s">
        <v>25</v>
      </c>
      <c r="K1462">
        <v>0</v>
      </c>
      <c r="L1462">
        <v>0</v>
      </c>
      <c r="M1462" t="s">
        <v>25</v>
      </c>
      <c r="N1462" t="s">
        <v>25</v>
      </c>
      <c r="O1462" t="s">
        <v>26</v>
      </c>
      <c r="P1462" t="s">
        <v>25</v>
      </c>
      <c r="Q1462" t="s">
        <v>27</v>
      </c>
      <c r="R1462" t="s">
        <v>28</v>
      </c>
      <c r="S1462" t="s">
        <v>51</v>
      </c>
      <c r="T1462" t="s">
        <v>334</v>
      </c>
    </row>
    <row r="1463" spans="1:20">
      <c r="A1463">
        <v>1469</v>
      </c>
      <c r="B1463" t="s">
        <v>1645</v>
      </c>
      <c r="C1463" t="s">
        <v>21</v>
      </c>
      <c r="D1463" t="s">
        <v>343</v>
      </c>
      <c r="E1463" t="s">
        <v>23</v>
      </c>
      <c r="F1463">
        <v>95000</v>
      </c>
      <c r="G1463">
        <v>19</v>
      </c>
      <c r="H1463">
        <v>113050</v>
      </c>
      <c r="I1463" t="s">
        <v>24</v>
      </c>
      <c r="J1463" t="s">
        <v>25</v>
      </c>
      <c r="K1463">
        <v>0</v>
      </c>
      <c r="L1463">
        <v>0</v>
      </c>
      <c r="M1463" t="s">
        <v>25</v>
      </c>
      <c r="N1463" t="s">
        <v>25</v>
      </c>
      <c r="O1463" t="s">
        <v>26</v>
      </c>
      <c r="P1463" t="s">
        <v>25</v>
      </c>
      <c r="Q1463" t="s">
        <v>27</v>
      </c>
      <c r="R1463" t="s">
        <v>28</v>
      </c>
      <c r="S1463" t="s">
        <v>51</v>
      </c>
      <c r="T1463" t="s">
        <v>334</v>
      </c>
    </row>
    <row r="1464" spans="1:20">
      <c r="A1464">
        <v>1470</v>
      </c>
      <c r="B1464" t="s">
        <v>1646</v>
      </c>
      <c r="C1464" t="s">
        <v>21</v>
      </c>
      <c r="D1464" t="s">
        <v>343</v>
      </c>
      <c r="E1464" t="s">
        <v>23</v>
      </c>
      <c r="F1464">
        <v>95000</v>
      </c>
      <c r="G1464">
        <v>19</v>
      </c>
      <c r="H1464">
        <v>113050</v>
      </c>
      <c r="I1464" t="s">
        <v>24</v>
      </c>
      <c r="J1464" t="s">
        <v>25</v>
      </c>
      <c r="K1464">
        <v>0</v>
      </c>
      <c r="L1464">
        <v>0</v>
      </c>
      <c r="M1464" t="s">
        <v>25</v>
      </c>
      <c r="N1464" t="s">
        <v>25</v>
      </c>
      <c r="O1464" t="s">
        <v>26</v>
      </c>
      <c r="P1464" t="s">
        <v>25</v>
      </c>
      <c r="Q1464" t="s">
        <v>27</v>
      </c>
      <c r="R1464" t="s">
        <v>28</v>
      </c>
      <c r="S1464" t="s">
        <v>51</v>
      </c>
      <c r="T1464" t="s">
        <v>334</v>
      </c>
    </row>
    <row r="1465" spans="1:20">
      <c r="A1465">
        <v>1471</v>
      </c>
      <c r="B1465" t="s">
        <v>1647</v>
      </c>
      <c r="C1465" t="s">
        <v>21</v>
      </c>
      <c r="D1465" t="s">
        <v>343</v>
      </c>
      <c r="E1465" t="s">
        <v>23</v>
      </c>
      <c r="F1465">
        <v>186400</v>
      </c>
      <c r="G1465">
        <v>19</v>
      </c>
      <c r="H1465">
        <v>221816</v>
      </c>
      <c r="I1465" t="s">
        <v>24</v>
      </c>
      <c r="J1465" t="s">
        <v>25</v>
      </c>
      <c r="K1465">
        <v>0</v>
      </c>
      <c r="L1465">
        <v>0</v>
      </c>
      <c r="M1465" t="s">
        <v>25</v>
      </c>
      <c r="N1465" t="s">
        <v>25</v>
      </c>
      <c r="O1465" t="s">
        <v>26</v>
      </c>
      <c r="P1465" t="s">
        <v>25</v>
      </c>
      <c r="Q1465" t="s">
        <v>27</v>
      </c>
      <c r="R1465" t="s">
        <v>28</v>
      </c>
      <c r="S1465" t="s">
        <v>51</v>
      </c>
      <c r="T1465" t="s">
        <v>334</v>
      </c>
    </row>
    <row r="1466" spans="1:20">
      <c r="A1466">
        <v>1472</v>
      </c>
      <c r="B1466" t="s">
        <v>1648</v>
      </c>
      <c r="C1466" t="s">
        <v>21</v>
      </c>
      <c r="D1466" t="s">
        <v>343</v>
      </c>
      <c r="E1466" t="s">
        <v>23</v>
      </c>
      <c r="F1466">
        <v>186400</v>
      </c>
      <c r="G1466">
        <v>19</v>
      </c>
      <c r="H1466">
        <v>221816</v>
      </c>
      <c r="I1466" t="s">
        <v>24</v>
      </c>
      <c r="J1466" t="s">
        <v>25</v>
      </c>
      <c r="K1466">
        <v>0</v>
      </c>
      <c r="L1466">
        <v>0</v>
      </c>
      <c r="M1466" t="s">
        <v>25</v>
      </c>
      <c r="N1466" t="s">
        <v>25</v>
      </c>
      <c r="O1466" t="s">
        <v>26</v>
      </c>
      <c r="P1466" t="s">
        <v>25</v>
      </c>
      <c r="Q1466" t="s">
        <v>27</v>
      </c>
      <c r="R1466" t="s">
        <v>28</v>
      </c>
      <c r="S1466" t="s">
        <v>51</v>
      </c>
      <c r="T1466" t="s">
        <v>334</v>
      </c>
    </row>
    <row r="1467" spans="1:20">
      <c r="A1467">
        <v>1473</v>
      </c>
      <c r="B1467" t="s">
        <v>1649</v>
      </c>
      <c r="C1467" t="s">
        <v>21</v>
      </c>
      <c r="D1467" t="s">
        <v>343</v>
      </c>
      <c r="E1467" t="s">
        <v>23</v>
      </c>
      <c r="F1467">
        <v>186400</v>
      </c>
      <c r="G1467">
        <v>19</v>
      </c>
      <c r="H1467">
        <v>221816</v>
      </c>
      <c r="I1467" t="s">
        <v>24</v>
      </c>
      <c r="J1467" t="s">
        <v>25</v>
      </c>
      <c r="K1467">
        <v>0</v>
      </c>
      <c r="L1467">
        <v>0</v>
      </c>
      <c r="M1467" t="s">
        <v>25</v>
      </c>
      <c r="N1467" t="s">
        <v>25</v>
      </c>
      <c r="O1467" t="s">
        <v>26</v>
      </c>
      <c r="P1467" t="s">
        <v>25</v>
      </c>
      <c r="Q1467" t="s">
        <v>27</v>
      </c>
      <c r="R1467" t="s">
        <v>28</v>
      </c>
      <c r="S1467" t="s">
        <v>51</v>
      </c>
      <c r="T1467" t="s">
        <v>334</v>
      </c>
    </row>
    <row r="1468" spans="1:20">
      <c r="A1468">
        <v>1474</v>
      </c>
      <c r="B1468" t="s">
        <v>1650</v>
      </c>
      <c r="C1468" t="s">
        <v>21</v>
      </c>
      <c r="D1468" t="s">
        <v>343</v>
      </c>
      <c r="E1468" t="s">
        <v>23</v>
      </c>
      <c r="F1468">
        <v>186400</v>
      </c>
      <c r="G1468">
        <v>19</v>
      </c>
      <c r="H1468">
        <v>221816</v>
      </c>
      <c r="I1468" t="s">
        <v>24</v>
      </c>
      <c r="J1468" t="s">
        <v>25</v>
      </c>
      <c r="K1468">
        <v>0</v>
      </c>
      <c r="L1468">
        <v>0</v>
      </c>
      <c r="M1468" t="s">
        <v>25</v>
      </c>
      <c r="N1468" t="s">
        <v>25</v>
      </c>
      <c r="O1468" t="s">
        <v>26</v>
      </c>
      <c r="P1468" t="s">
        <v>25</v>
      </c>
      <c r="Q1468" t="s">
        <v>27</v>
      </c>
      <c r="R1468" t="s">
        <v>28</v>
      </c>
      <c r="S1468" t="s">
        <v>51</v>
      </c>
      <c r="T1468" t="s">
        <v>334</v>
      </c>
    </row>
    <row r="1469" spans="1:20">
      <c r="A1469">
        <v>1475</v>
      </c>
      <c r="B1469" t="s">
        <v>1651</v>
      </c>
      <c r="C1469" t="s">
        <v>21</v>
      </c>
      <c r="D1469" t="s">
        <v>343</v>
      </c>
      <c r="E1469" t="s">
        <v>23</v>
      </c>
      <c r="F1469">
        <v>186400</v>
      </c>
      <c r="G1469">
        <v>19</v>
      </c>
      <c r="H1469">
        <v>221816</v>
      </c>
      <c r="I1469" t="s">
        <v>24</v>
      </c>
      <c r="J1469" t="s">
        <v>25</v>
      </c>
      <c r="K1469">
        <v>0</v>
      </c>
      <c r="L1469">
        <v>0</v>
      </c>
      <c r="M1469" t="s">
        <v>25</v>
      </c>
      <c r="N1469" t="s">
        <v>25</v>
      </c>
      <c r="O1469" t="s">
        <v>26</v>
      </c>
      <c r="P1469" t="s">
        <v>25</v>
      </c>
      <c r="Q1469" t="s">
        <v>27</v>
      </c>
      <c r="R1469" t="s">
        <v>28</v>
      </c>
      <c r="S1469" t="s">
        <v>51</v>
      </c>
      <c r="T1469" t="s">
        <v>334</v>
      </c>
    </row>
    <row r="1470" spans="1:20">
      <c r="A1470">
        <v>1476</v>
      </c>
      <c r="B1470" t="s">
        <v>1652</v>
      </c>
      <c r="C1470" t="s">
        <v>21</v>
      </c>
      <c r="D1470" t="s">
        <v>343</v>
      </c>
      <c r="E1470" t="s">
        <v>23</v>
      </c>
      <c r="F1470">
        <v>186400</v>
      </c>
      <c r="G1470">
        <v>19</v>
      </c>
      <c r="H1470">
        <v>221816</v>
      </c>
      <c r="I1470" t="s">
        <v>24</v>
      </c>
      <c r="J1470" t="s">
        <v>25</v>
      </c>
      <c r="K1470">
        <v>0</v>
      </c>
      <c r="L1470">
        <v>0</v>
      </c>
      <c r="M1470" t="s">
        <v>25</v>
      </c>
      <c r="N1470" t="s">
        <v>25</v>
      </c>
      <c r="O1470" t="s">
        <v>26</v>
      </c>
      <c r="P1470" t="s">
        <v>25</v>
      </c>
      <c r="Q1470" t="s">
        <v>27</v>
      </c>
      <c r="R1470" t="s">
        <v>28</v>
      </c>
      <c r="S1470" t="s">
        <v>51</v>
      </c>
      <c r="T1470" t="s">
        <v>334</v>
      </c>
    </row>
    <row r="1471" spans="1:20">
      <c r="A1471">
        <v>1477</v>
      </c>
      <c r="B1471" t="s">
        <v>1653</v>
      </c>
      <c r="C1471" t="s">
        <v>21</v>
      </c>
      <c r="D1471" t="s">
        <v>343</v>
      </c>
      <c r="E1471" t="s">
        <v>23</v>
      </c>
      <c r="F1471">
        <v>186400</v>
      </c>
      <c r="G1471">
        <v>19</v>
      </c>
      <c r="H1471">
        <v>221816</v>
      </c>
      <c r="I1471" t="s">
        <v>24</v>
      </c>
      <c r="J1471" t="s">
        <v>25</v>
      </c>
      <c r="K1471">
        <v>0</v>
      </c>
      <c r="L1471">
        <v>0</v>
      </c>
      <c r="M1471" t="s">
        <v>25</v>
      </c>
      <c r="N1471" t="s">
        <v>25</v>
      </c>
      <c r="O1471" t="s">
        <v>26</v>
      </c>
      <c r="P1471" t="s">
        <v>25</v>
      </c>
      <c r="Q1471" t="s">
        <v>27</v>
      </c>
      <c r="R1471" t="s">
        <v>28</v>
      </c>
      <c r="S1471" t="s">
        <v>51</v>
      </c>
      <c r="T1471" t="s">
        <v>334</v>
      </c>
    </row>
    <row r="1472" spans="1:20">
      <c r="A1472">
        <v>1478</v>
      </c>
      <c r="B1472" t="s">
        <v>1654</v>
      </c>
      <c r="C1472" t="s">
        <v>21</v>
      </c>
      <c r="D1472" t="s">
        <v>343</v>
      </c>
      <c r="E1472" t="s">
        <v>23</v>
      </c>
      <c r="F1472">
        <v>186400</v>
      </c>
      <c r="G1472">
        <v>19</v>
      </c>
      <c r="H1472">
        <v>221816</v>
      </c>
      <c r="I1472" t="s">
        <v>24</v>
      </c>
      <c r="J1472" t="s">
        <v>25</v>
      </c>
      <c r="K1472">
        <v>0</v>
      </c>
      <c r="L1472">
        <v>0</v>
      </c>
      <c r="M1472" t="s">
        <v>25</v>
      </c>
      <c r="N1472" t="s">
        <v>25</v>
      </c>
      <c r="O1472" t="s">
        <v>26</v>
      </c>
      <c r="P1472" t="s">
        <v>25</v>
      </c>
      <c r="Q1472" t="s">
        <v>27</v>
      </c>
      <c r="R1472" t="s">
        <v>28</v>
      </c>
      <c r="S1472" t="s">
        <v>51</v>
      </c>
      <c r="T1472" t="s">
        <v>334</v>
      </c>
    </row>
    <row r="1473" spans="1:20">
      <c r="A1473">
        <v>1479</v>
      </c>
      <c r="B1473" t="s">
        <v>1655</v>
      </c>
      <c r="C1473" t="s">
        <v>21</v>
      </c>
      <c r="D1473" t="s">
        <v>343</v>
      </c>
      <c r="E1473" t="s">
        <v>23</v>
      </c>
      <c r="F1473">
        <v>186400</v>
      </c>
      <c r="G1473">
        <v>19</v>
      </c>
      <c r="H1473">
        <v>221816</v>
      </c>
      <c r="I1473" t="s">
        <v>24</v>
      </c>
      <c r="J1473" t="s">
        <v>25</v>
      </c>
      <c r="K1473">
        <v>0</v>
      </c>
      <c r="L1473">
        <v>0</v>
      </c>
      <c r="M1473" t="s">
        <v>25</v>
      </c>
      <c r="N1473" t="s">
        <v>25</v>
      </c>
      <c r="O1473" t="s">
        <v>26</v>
      </c>
      <c r="P1473" t="s">
        <v>25</v>
      </c>
      <c r="Q1473" t="s">
        <v>27</v>
      </c>
      <c r="R1473" t="s">
        <v>28</v>
      </c>
      <c r="S1473" t="s">
        <v>51</v>
      </c>
      <c r="T1473" t="s">
        <v>334</v>
      </c>
    </row>
    <row r="1474" spans="1:20">
      <c r="A1474">
        <v>1480</v>
      </c>
      <c r="B1474" t="s">
        <v>1656</v>
      </c>
      <c r="C1474" t="s">
        <v>21</v>
      </c>
      <c r="D1474" t="s">
        <v>343</v>
      </c>
      <c r="E1474" t="s">
        <v>23</v>
      </c>
      <c r="F1474">
        <v>186400</v>
      </c>
      <c r="G1474">
        <v>19</v>
      </c>
      <c r="H1474">
        <v>221816</v>
      </c>
      <c r="I1474" t="s">
        <v>24</v>
      </c>
      <c r="J1474" t="s">
        <v>25</v>
      </c>
      <c r="K1474">
        <v>0</v>
      </c>
      <c r="L1474">
        <v>0</v>
      </c>
      <c r="M1474" t="s">
        <v>25</v>
      </c>
      <c r="N1474" t="s">
        <v>25</v>
      </c>
      <c r="O1474" t="s">
        <v>26</v>
      </c>
      <c r="P1474" t="s">
        <v>25</v>
      </c>
      <c r="Q1474" t="s">
        <v>27</v>
      </c>
      <c r="R1474" t="s">
        <v>28</v>
      </c>
      <c r="S1474" t="s">
        <v>51</v>
      </c>
      <c r="T1474" t="s">
        <v>334</v>
      </c>
    </row>
    <row r="1475" spans="1:20">
      <c r="A1475">
        <v>1481</v>
      </c>
      <c r="B1475" t="s">
        <v>1657</v>
      </c>
      <c r="C1475" t="s">
        <v>21</v>
      </c>
      <c r="D1475" t="s">
        <v>343</v>
      </c>
      <c r="E1475" t="s">
        <v>23</v>
      </c>
      <c r="F1475">
        <v>186400</v>
      </c>
      <c r="G1475">
        <v>19</v>
      </c>
      <c r="H1475">
        <v>221816</v>
      </c>
      <c r="I1475" t="s">
        <v>24</v>
      </c>
      <c r="J1475" t="s">
        <v>25</v>
      </c>
      <c r="K1475">
        <v>0</v>
      </c>
      <c r="L1475">
        <v>0</v>
      </c>
      <c r="M1475" t="s">
        <v>25</v>
      </c>
      <c r="N1475" t="s">
        <v>25</v>
      </c>
      <c r="O1475" t="s">
        <v>26</v>
      </c>
      <c r="P1475" t="s">
        <v>25</v>
      </c>
      <c r="Q1475" t="s">
        <v>27</v>
      </c>
      <c r="R1475" t="s">
        <v>28</v>
      </c>
      <c r="S1475" t="s">
        <v>51</v>
      </c>
      <c r="T1475" t="s">
        <v>334</v>
      </c>
    </row>
    <row r="1476" spans="1:20">
      <c r="A1476">
        <v>1482</v>
      </c>
      <c r="B1476" t="s">
        <v>1658</v>
      </c>
      <c r="C1476" t="s">
        <v>21</v>
      </c>
      <c r="D1476" t="s">
        <v>343</v>
      </c>
      <c r="E1476" t="s">
        <v>23</v>
      </c>
      <c r="F1476">
        <v>320705</v>
      </c>
      <c r="G1476">
        <v>19</v>
      </c>
      <c r="H1476">
        <v>381639</v>
      </c>
      <c r="I1476" t="s">
        <v>24</v>
      </c>
      <c r="J1476" t="s">
        <v>25</v>
      </c>
      <c r="K1476">
        <v>0</v>
      </c>
      <c r="L1476">
        <v>0</v>
      </c>
      <c r="M1476" t="s">
        <v>25</v>
      </c>
      <c r="N1476" t="s">
        <v>25</v>
      </c>
      <c r="O1476" t="s">
        <v>26</v>
      </c>
      <c r="P1476" t="s">
        <v>25</v>
      </c>
      <c r="Q1476" t="s">
        <v>27</v>
      </c>
      <c r="R1476" t="s">
        <v>28</v>
      </c>
    </row>
    <row r="1477" spans="1:20">
      <c r="A1477">
        <v>1483</v>
      </c>
      <c r="B1477" t="s">
        <v>1659</v>
      </c>
      <c r="C1477" t="s">
        <v>21</v>
      </c>
      <c r="D1477" t="s">
        <v>343</v>
      </c>
      <c r="E1477" t="s">
        <v>23</v>
      </c>
      <c r="F1477">
        <v>210000</v>
      </c>
      <c r="G1477">
        <v>19</v>
      </c>
      <c r="H1477">
        <v>249900</v>
      </c>
      <c r="I1477" t="s">
        <v>24</v>
      </c>
      <c r="J1477" t="s">
        <v>25</v>
      </c>
      <c r="K1477">
        <v>0</v>
      </c>
      <c r="L1477">
        <v>0</v>
      </c>
      <c r="M1477" t="s">
        <v>25</v>
      </c>
      <c r="N1477" t="s">
        <v>25</v>
      </c>
      <c r="O1477" t="s">
        <v>26</v>
      </c>
      <c r="P1477" t="s">
        <v>25</v>
      </c>
      <c r="Q1477" t="s">
        <v>27</v>
      </c>
      <c r="R1477" t="s">
        <v>28</v>
      </c>
    </row>
    <row r="1478" spans="1:20">
      <c r="A1478">
        <v>1484</v>
      </c>
      <c r="B1478" t="s">
        <v>1660</v>
      </c>
      <c r="C1478" t="s">
        <v>21</v>
      </c>
      <c r="D1478" t="s">
        <v>343</v>
      </c>
      <c r="E1478" t="s">
        <v>23</v>
      </c>
      <c r="F1478">
        <v>210000</v>
      </c>
      <c r="G1478">
        <v>19</v>
      </c>
      <c r="H1478">
        <v>249900</v>
      </c>
      <c r="I1478" t="s">
        <v>24</v>
      </c>
      <c r="J1478" t="s">
        <v>25</v>
      </c>
      <c r="K1478">
        <v>0</v>
      </c>
      <c r="L1478">
        <v>0</v>
      </c>
      <c r="M1478" t="s">
        <v>25</v>
      </c>
      <c r="N1478" t="s">
        <v>25</v>
      </c>
      <c r="O1478" t="s">
        <v>26</v>
      </c>
      <c r="P1478" t="s">
        <v>25</v>
      </c>
      <c r="Q1478" t="s">
        <v>27</v>
      </c>
      <c r="R1478" t="s">
        <v>28</v>
      </c>
    </row>
    <row r="1479" spans="1:20">
      <c r="A1479">
        <v>1485</v>
      </c>
      <c r="B1479" t="s">
        <v>1661</v>
      </c>
      <c r="C1479" t="s">
        <v>21</v>
      </c>
      <c r="D1479" t="s">
        <v>343</v>
      </c>
      <c r="E1479" t="s">
        <v>23</v>
      </c>
      <c r="F1479">
        <v>210000</v>
      </c>
      <c r="G1479">
        <v>19</v>
      </c>
      <c r="H1479">
        <v>249900</v>
      </c>
      <c r="I1479" t="s">
        <v>24</v>
      </c>
      <c r="J1479" t="s">
        <v>25</v>
      </c>
      <c r="K1479">
        <v>0</v>
      </c>
      <c r="L1479">
        <v>0</v>
      </c>
      <c r="M1479" t="s">
        <v>25</v>
      </c>
      <c r="N1479" t="s">
        <v>25</v>
      </c>
      <c r="O1479" t="s">
        <v>26</v>
      </c>
      <c r="P1479" t="s">
        <v>25</v>
      </c>
      <c r="Q1479" t="s">
        <v>27</v>
      </c>
      <c r="R1479" t="s">
        <v>28</v>
      </c>
    </row>
    <row r="1480" spans="1:20">
      <c r="A1480">
        <v>1486</v>
      </c>
      <c r="B1480" t="s">
        <v>1662</v>
      </c>
      <c r="C1480" t="s">
        <v>21</v>
      </c>
      <c r="D1480" t="s">
        <v>343</v>
      </c>
      <c r="E1480" t="s">
        <v>23</v>
      </c>
      <c r="F1480">
        <v>210000</v>
      </c>
      <c r="G1480">
        <v>19</v>
      </c>
      <c r="H1480">
        <v>249900</v>
      </c>
      <c r="I1480" t="s">
        <v>24</v>
      </c>
      <c r="J1480" t="s">
        <v>25</v>
      </c>
      <c r="K1480">
        <v>0</v>
      </c>
      <c r="L1480">
        <v>0</v>
      </c>
      <c r="M1480" t="s">
        <v>25</v>
      </c>
      <c r="N1480" t="s">
        <v>25</v>
      </c>
      <c r="O1480" t="s">
        <v>26</v>
      </c>
      <c r="P1480" t="s">
        <v>25</v>
      </c>
      <c r="Q1480" t="s">
        <v>27</v>
      </c>
      <c r="R1480" t="s">
        <v>28</v>
      </c>
    </row>
    <row r="1481" spans="1:20">
      <c r="A1481">
        <v>1487</v>
      </c>
      <c r="B1481" t="s">
        <v>1663</v>
      </c>
      <c r="C1481" t="s">
        <v>21</v>
      </c>
      <c r="D1481" t="s">
        <v>343</v>
      </c>
      <c r="E1481" t="s">
        <v>23</v>
      </c>
      <c r="F1481">
        <v>210000</v>
      </c>
      <c r="G1481">
        <v>19</v>
      </c>
      <c r="H1481">
        <v>249900</v>
      </c>
      <c r="I1481" t="s">
        <v>24</v>
      </c>
      <c r="J1481" t="s">
        <v>25</v>
      </c>
      <c r="K1481">
        <v>0</v>
      </c>
      <c r="L1481">
        <v>0</v>
      </c>
      <c r="M1481" t="s">
        <v>25</v>
      </c>
      <c r="N1481" t="s">
        <v>25</v>
      </c>
      <c r="O1481" t="s">
        <v>26</v>
      </c>
      <c r="P1481" t="s">
        <v>25</v>
      </c>
      <c r="Q1481" t="s">
        <v>27</v>
      </c>
      <c r="R1481" t="s">
        <v>28</v>
      </c>
    </row>
    <row r="1482" spans="1:20">
      <c r="A1482">
        <v>1488</v>
      </c>
      <c r="B1482" t="s">
        <v>1664</v>
      </c>
      <c r="C1482" t="s">
        <v>21</v>
      </c>
      <c r="D1482" t="s">
        <v>343</v>
      </c>
      <c r="E1482" t="s">
        <v>23</v>
      </c>
      <c r="F1482">
        <v>210000</v>
      </c>
      <c r="G1482">
        <v>19</v>
      </c>
      <c r="H1482">
        <v>249900</v>
      </c>
      <c r="I1482" t="s">
        <v>24</v>
      </c>
      <c r="J1482" t="s">
        <v>25</v>
      </c>
      <c r="K1482">
        <v>0</v>
      </c>
      <c r="L1482">
        <v>0</v>
      </c>
      <c r="M1482" t="s">
        <v>25</v>
      </c>
      <c r="N1482" t="s">
        <v>25</v>
      </c>
      <c r="O1482" t="s">
        <v>26</v>
      </c>
      <c r="P1482" t="s">
        <v>25</v>
      </c>
      <c r="Q1482" t="s">
        <v>27</v>
      </c>
      <c r="R1482" t="s">
        <v>28</v>
      </c>
    </row>
    <row r="1483" spans="1:20">
      <c r="A1483">
        <v>1489</v>
      </c>
      <c r="B1483" t="s">
        <v>1665</v>
      </c>
      <c r="C1483" t="s">
        <v>21</v>
      </c>
      <c r="D1483" t="s">
        <v>343</v>
      </c>
      <c r="E1483" t="s">
        <v>23</v>
      </c>
      <c r="F1483">
        <v>210000</v>
      </c>
      <c r="G1483">
        <v>19</v>
      </c>
      <c r="H1483">
        <v>249900</v>
      </c>
      <c r="I1483" t="s">
        <v>24</v>
      </c>
      <c r="J1483" t="s">
        <v>25</v>
      </c>
      <c r="K1483">
        <v>0</v>
      </c>
      <c r="L1483">
        <v>0</v>
      </c>
      <c r="M1483" t="s">
        <v>25</v>
      </c>
      <c r="N1483" t="s">
        <v>25</v>
      </c>
      <c r="O1483" t="s">
        <v>26</v>
      </c>
      <c r="P1483" t="s">
        <v>25</v>
      </c>
      <c r="Q1483" t="s">
        <v>27</v>
      </c>
      <c r="R1483" t="s">
        <v>28</v>
      </c>
    </row>
    <row r="1484" spans="1:20">
      <c r="A1484">
        <v>1490</v>
      </c>
      <c r="B1484" t="s">
        <v>1666</v>
      </c>
      <c r="C1484" t="s">
        <v>21</v>
      </c>
      <c r="D1484" t="s">
        <v>22</v>
      </c>
      <c r="E1484" t="s">
        <v>23</v>
      </c>
      <c r="F1484">
        <v>74200</v>
      </c>
      <c r="G1484">
        <v>19</v>
      </c>
      <c r="H1484">
        <v>88298</v>
      </c>
      <c r="I1484" t="s">
        <v>24</v>
      </c>
      <c r="J1484" t="s">
        <v>25</v>
      </c>
      <c r="K1484">
        <v>0</v>
      </c>
      <c r="L1484">
        <v>0</v>
      </c>
      <c r="M1484" t="s">
        <v>25</v>
      </c>
      <c r="N1484" t="s">
        <v>25</v>
      </c>
      <c r="O1484" t="s">
        <v>26</v>
      </c>
      <c r="P1484" t="s">
        <v>25</v>
      </c>
      <c r="Q1484" t="s">
        <v>27</v>
      </c>
      <c r="R1484" t="s">
        <v>28</v>
      </c>
      <c r="S1484" t="s">
        <v>51</v>
      </c>
      <c r="T1484" t="s">
        <v>892</v>
      </c>
    </row>
    <row r="1485" spans="1:20">
      <c r="A1485">
        <v>1491</v>
      </c>
      <c r="B1485" t="s">
        <v>1667</v>
      </c>
      <c r="C1485" t="s">
        <v>21</v>
      </c>
      <c r="D1485" t="s">
        <v>22</v>
      </c>
      <c r="E1485" t="s">
        <v>23</v>
      </c>
      <c r="F1485">
        <v>74200</v>
      </c>
      <c r="G1485">
        <v>19</v>
      </c>
      <c r="H1485">
        <v>88298</v>
      </c>
      <c r="I1485" t="s">
        <v>24</v>
      </c>
      <c r="J1485" t="s">
        <v>25</v>
      </c>
      <c r="K1485">
        <v>0</v>
      </c>
      <c r="L1485">
        <v>0</v>
      </c>
      <c r="M1485" t="s">
        <v>25</v>
      </c>
      <c r="N1485" t="s">
        <v>25</v>
      </c>
      <c r="O1485" t="s">
        <v>26</v>
      </c>
      <c r="P1485" t="s">
        <v>25</v>
      </c>
      <c r="Q1485" t="s">
        <v>27</v>
      </c>
      <c r="R1485" t="s">
        <v>28</v>
      </c>
      <c r="S1485" t="s">
        <v>51</v>
      </c>
      <c r="T1485" t="s">
        <v>892</v>
      </c>
    </row>
    <row r="1486" spans="1:20">
      <c r="A1486">
        <v>1492</v>
      </c>
      <c r="B1486" t="s">
        <v>1668</v>
      </c>
      <c r="C1486" t="s">
        <v>21</v>
      </c>
      <c r="D1486" t="s">
        <v>22</v>
      </c>
      <c r="E1486" t="s">
        <v>23</v>
      </c>
      <c r="F1486">
        <v>74200</v>
      </c>
      <c r="G1486">
        <v>19</v>
      </c>
      <c r="H1486">
        <v>88298</v>
      </c>
      <c r="I1486" t="s">
        <v>24</v>
      </c>
      <c r="J1486" t="s">
        <v>25</v>
      </c>
      <c r="K1486">
        <v>0</v>
      </c>
      <c r="L1486">
        <v>0</v>
      </c>
      <c r="M1486" t="s">
        <v>25</v>
      </c>
      <c r="N1486" t="s">
        <v>25</v>
      </c>
      <c r="O1486" t="s">
        <v>26</v>
      </c>
      <c r="P1486" t="s">
        <v>25</v>
      </c>
      <c r="Q1486" t="s">
        <v>27</v>
      </c>
      <c r="R1486" t="s">
        <v>28</v>
      </c>
      <c r="S1486" t="s">
        <v>51</v>
      </c>
      <c r="T1486" t="s">
        <v>892</v>
      </c>
    </row>
    <row r="1487" spans="1:20">
      <c r="A1487">
        <v>1493</v>
      </c>
      <c r="B1487" t="s">
        <v>1669</v>
      </c>
      <c r="C1487" t="s">
        <v>21</v>
      </c>
      <c r="D1487" t="s">
        <v>22</v>
      </c>
      <c r="E1487" t="s">
        <v>23</v>
      </c>
      <c r="F1487">
        <v>74200</v>
      </c>
      <c r="G1487">
        <v>19</v>
      </c>
      <c r="H1487">
        <v>88298</v>
      </c>
      <c r="I1487" t="s">
        <v>24</v>
      </c>
      <c r="J1487" t="s">
        <v>25</v>
      </c>
      <c r="K1487">
        <v>0</v>
      </c>
      <c r="L1487">
        <v>0</v>
      </c>
      <c r="M1487" t="s">
        <v>25</v>
      </c>
      <c r="N1487" t="s">
        <v>25</v>
      </c>
      <c r="O1487" t="s">
        <v>26</v>
      </c>
      <c r="P1487" t="s">
        <v>25</v>
      </c>
      <c r="Q1487" t="s">
        <v>27</v>
      </c>
      <c r="R1487" t="s">
        <v>28</v>
      </c>
      <c r="S1487" t="s">
        <v>51</v>
      </c>
      <c r="T1487" t="s">
        <v>892</v>
      </c>
    </row>
    <row r="1488" spans="1:20">
      <c r="A1488">
        <v>1494</v>
      </c>
      <c r="B1488" t="s">
        <v>1670</v>
      </c>
      <c r="C1488" t="s">
        <v>21</v>
      </c>
      <c r="D1488" t="s">
        <v>22</v>
      </c>
      <c r="E1488" t="s">
        <v>23</v>
      </c>
      <c r="F1488">
        <v>74200</v>
      </c>
      <c r="G1488">
        <v>19</v>
      </c>
      <c r="H1488">
        <v>88298</v>
      </c>
      <c r="I1488" t="s">
        <v>24</v>
      </c>
      <c r="J1488" t="s">
        <v>25</v>
      </c>
      <c r="K1488">
        <v>0</v>
      </c>
      <c r="L1488">
        <v>0</v>
      </c>
      <c r="M1488" t="s">
        <v>25</v>
      </c>
      <c r="N1488" t="s">
        <v>25</v>
      </c>
      <c r="O1488" t="s">
        <v>26</v>
      </c>
      <c r="P1488" t="s">
        <v>25</v>
      </c>
      <c r="Q1488" t="s">
        <v>27</v>
      </c>
      <c r="R1488" t="s">
        <v>28</v>
      </c>
      <c r="S1488" t="s">
        <v>51</v>
      </c>
      <c r="T1488" t="s">
        <v>892</v>
      </c>
    </row>
    <row r="1489" spans="1:18">
      <c r="A1489">
        <v>1495</v>
      </c>
      <c r="B1489" t="s">
        <v>1671</v>
      </c>
      <c r="C1489" t="s">
        <v>21</v>
      </c>
      <c r="D1489" t="s">
        <v>22</v>
      </c>
      <c r="E1489" t="s">
        <v>23</v>
      </c>
      <c r="F1489">
        <v>565250</v>
      </c>
      <c r="G1489">
        <v>19</v>
      </c>
      <c r="H1489">
        <v>672648</v>
      </c>
      <c r="I1489" t="s">
        <v>24</v>
      </c>
      <c r="J1489" t="s">
        <v>25</v>
      </c>
      <c r="K1489">
        <v>0</v>
      </c>
      <c r="L1489">
        <v>0</v>
      </c>
      <c r="M1489" t="s">
        <v>25</v>
      </c>
      <c r="N1489" t="s">
        <v>25</v>
      </c>
      <c r="O1489" t="s">
        <v>26</v>
      </c>
      <c r="P1489" t="s">
        <v>25</v>
      </c>
      <c r="Q1489" t="s">
        <v>27</v>
      </c>
      <c r="R1489" t="s">
        <v>28</v>
      </c>
    </row>
    <row r="1490" spans="1:18">
      <c r="A1490">
        <v>1496</v>
      </c>
      <c r="B1490" t="s">
        <v>1672</v>
      </c>
      <c r="C1490" t="s">
        <v>21</v>
      </c>
      <c r="D1490" t="s">
        <v>22</v>
      </c>
      <c r="E1490" t="s">
        <v>23</v>
      </c>
      <c r="F1490">
        <v>99250</v>
      </c>
      <c r="G1490">
        <v>19</v>
      </c>
      <c r="H1490">
        <v>118107</v>
      </c>
      <c r="I1490" t="s">
        <v>24</v>
      </c>
      <c r="J1490" t="s">
        <v>25</v>
      </c>
      <c r="K1490">
        <v>0</v>
      </c>
      <c r="L1490">
        <v>0</v>
      </c>
      <c r="M1490" t="s">
        <v>25</v>
      </c>
      <c r="N1490" t="s">
        <v>25</v>
      </c>
      <c r="O1490" t="s">
        <v>26</v>
      </c>
      <c r="P1490" t="s">
        <v>25</v>
      </c>
      <c r="Q1490" t="s">
        <v>27</v>
      </c>
      <c r="R1490" t="s">
        <v>28</v>
      </c>
    </row>
    <row r="1491" spans="1:18">
      <c r="A1491">
        <v>1497</v>
      </c>
      <c r="B1491" t="s">
        <v>1673</v>
      </c>
      <c r="C1491" t="s">
        <v>21</v>
      </c>
      <c r="D1491" t="s">
        <v>22</v>
      </c>
      <c r="E1491" t="s">
        <v>23</v>
      </c>
      <c r="F1491">
        <v>99250</v>
      </c>
      <c r="G1491">
        <v>19</v>
      </c>
      <c r="H1491">
        <v>118107</v>
      </c>
      <c r="I1491" t="s">
        <v>24</v>
      </c>
      <c r="J1491" t="s">
        <v>25</v>
      </c>
      <c r="K1491">
        <v>0</v>
      </c>
      <c r="L1491">
        <v>0</v>
      </c>
      <c r="M1491" t="s">
        <v>25</v>
      </c>
      <c r="N1491" t="s">
        <v>25</v>
      </c>
      <c r="O1491" t="s">
        <v>26</v>
      </c>
      <c r="P1491" t="s">
        <v>25</v>
      </c>
      <c r="Q1491" t="s">
        <v>27</v>
      </c>
      <c r="R1491" t="s">
        <v>28</v>
      </c>
    </row>
    <row r="1492" spans="1:18">
      <c r="A1492">
        <v>1498</v>
      </c>
      <c r="B1492" t="s">
        <v>1674</v>
      </c>
      <c r="C1492" t="s">
        <v>21</v>
      </c>
      <c r="D1492" t="s">
        <v>22</v>
      </c>
      <c r="E1492" t="s">
        <v>23</v>
      </c>
      <c r="F1492">
        <v>99250</v>
      </c>
      <c r="G1492">
        <v>19</v>
      </c>
      <c r="H1492">
        <v>118107</v>
      </c>
      <c r="I1492" t="s">
        <v>24</v>
      </c>
      <c r="J1492" t="s">
        <v>25</v>
      </c>
      <c r="K1492">
        <v>0</v>
      </c>
      <c r="L1492">
        <v>0</v>
      </c>
      <c r="M1492" t="s">
        <v>25</v>
      </c>
      <c r="N1492" t="s">
        <v>25</v>
      </c>
      <c r="O1492" t="s">
        <v>26</v>
      </c>
      <c r="P1492" t="s">
        <v>25</v>
      </c>
      <c r="Q1492" t="s">
        <v>27</v>
      </c>
      <c r="R1492" t="s">
        <v>28</v>
      </c>
    </row>
    <row r="1493" spans="1:18">
      <c r="A1493">
        <v>1499</v>
      </c>
      <c r="B1493" t="s">
        <v>1675</v>
      </c>
      <c r="C1493" t="s">
        <v>21</v>
      </c>
      <c r="D1493" t="s">
        <v>22</v>
      </c>
      <c r="E1493" t="s">
        <v>23</v>
      </c>
      <c r="F1493">
        <v>99250</v>
      </c>
      <c r="G1493">
        <v>19</v>
      </c>
      <c r="H1493">
        <v>118107</v>
      </c>
      <c r="I1493" t="s">
        <v>24</v>
      </c>
      <c r="J1493" t="s">
        <v>25</v>
      </c>
      <c r="K1493">
        <v>0</v>
      </c>
      <c r="L1493">
        <v>0</v>
      </c>
      <c r="M1493" t="s">
        <v>25</v>
      </c>
      <c r="N1493" t="s">
        <v>25</v>
      </c>
      <c r="O1493" t="s">
        <v>26</v>
      </c>
      <c r="P1493" t="s">
        <v>25</v>
      </c>
      <c r="Q1493" t="s">
        <v>27</v>
      </c>
      <c r="R1493" t="s">
        <v>28</v>
      </c>
    </row>
    <row r="1494" spans="1:18">
      <c r="A1494">
        <v>1500</v>
      </c>
      <c r="B1494" t="s">
        <v>1676</v>
      </c>
      <c r="C1494" t="s">
        <v>21</v>
      </c>
      <c r="D1494" t="s">
        <v>22</v>
      </c>
      <c r="E1494" t="s">
        <v>23</v>
      </c>
      <c r="F1494">
        <v>99250</v>
      </c>
      <c r="G1494">
        <v>19</v>
      </c>
      <c r="H1494">
        <v>118107</v>
      </c>
      <c r="I1494" t="s">
        <v>24</v>
      </c>
      <c r="J1494" t="s">
        <v>25</v>
      </c>
      <c r="K1494">
        <v>0</v>
      </c>
      <c r="L1494">
        <v>0</v>
      </c>
      <c r="M1494" t="s">
        <v>25</v>
      </c>
      <c r="N1494" t="s">
        <v>25</v>
      </c>
      <c r="O1494" t="s">
        <v>26</v>
      </c>
      <c r="P1494" t="s">
        <v>25</v>
      </c>
      <c r="Q1494" t="s">
        <v>27</v>
      </c>
      <c r="R1494" t="s">
        <v>28</v>
      </c>
    </row>
    <row r="1495" spans="1:18">
      <c r="A1495">
        <v>1501</v>
      </c>
      <c r="B1495" t="s">
        <v>1677</v>
      </c>
      <c r="C1495" t="s">
        <v>21</v>
      </c>
      <c r="D1495" t="s">
        <v>22</v>
      </c>
      <c r="E1495" t="s">
        <v>23</v>
      </c>
      <c r="F1495">
        <v>99250</v>
      </c>
      <c r="G1495">
        <v>19</v>
      </c>
      <c r="H1495">
        <v>118107</v>
      </c>
      <c r="I1495" t="s">
        <v>24</v>
      </c>
      <c r="J1495" t="s">
        <v>25</v>
      </c>
      <c r="K1495">
        <v>0</v>
      </c>
      <c r="L1495">
        <v>0</v>
      </c>
      <c r="M1495" t="s">
        <v>25</v>
      </c>
      <c r="N1495" t="s">
        <v>25</v>
      </c>
      <c r="O1495" t="s">
        <v>26</v>
      </c>
      <c r="P1495" t="s">
        <v>25</v>
      </c>
      <c r="Q1495" t="s">
        <v>27</v>
      </c>
      <c r="R1495" t="s">
        <v>28</v>
      </c>
    </row>
    <row r="1496" spans="1:18">
      <c r="A1496">
        <v>1502</v>
      </c>
      <c r="B1496" t="s">
        <v>1678</v>
      </c>
      <c r="C1496" t="s">
        <v>21</v>
      </c>
      <c r="D1496" t="s">
        <v>22</v>
      </c>
      <c r="E1496" t="s">
        <v>23</v>
      </c>
      <c r="F1496">
        <v>99250</v>
      </c>
      <c r="G1496">
        <v>19</v>
      </c>
      <c r="H1496">
        <v>118107</v>
      </c>
      <c r="I1496" t="s">
        <v>24</v>
      </c>
      <c r="J1496" t="s">
        <v>25</v>
      </c>
      <c r="K1496">
        <v>0</v>
      </c>
      <c r="L1496">
        <v>0</v>
      </c>
      <c r="M1496" t="s">
        <v>25</v>
      </c>
      <c r="N1496" t="s">
        <v>25</v>
      </c>
      <c r="O1496" t="s">
        <v>26</v>
      </c>
      <c r="P1496" t="s">
        <v>25</v>
      </c>
      <c r="Q1496" t="s">
        <v>27</v>
      </c>
      <c r="R1496" t="s">
        <v>28</v>
      </c>
    </row>
    <row r="1497" spans="1:18">
      <c r="A1497">
        <v>1503</v>
      </c>
      <c r="B1497" t="s">
        <v>1679</v>
      </c>
      <c r="C1497" t="s">
        <v>21</v>
      </c>
      <c r="D1497" t="s">
        <v>22</v>
      </c>
      <c r="E1497" t="s">
        <v>23</v>
      </c>
      <c r="F1497">
        <v>99250</v>
      </c>
      <c r="G1497">
        <v>19</v>
      </c>
      <c r="H1497">
        <v>118107</v>
      </c>
      <c r="I1497" t="s">
        <v>24</v>
      </c>
      <c r="J1497" t="s">
        <v>25</v>
      </c>
      <c r="K1497">
        <v>0</v>
      </c>
      <c r="L1497">
        <v>0</v>
      </c>
      <c r="M1497" t="s">
        <v>25</v>
      </c>
      <c r="N1497" t="s">
        <v>25</v>
      </c>
      <c r="O1497" t="s">
        <v>26</v>
      </c>
      <c r="P1497" t="s">
        <v>25</v>
      </c>
      <c r="Q1497" t="s">
        <v>27</v>
      </c>
      <c r="R1497" t="s">
        <v>28</v>
      </c>
    </row>
    <row r="1498" spans="1:18">
      <c r="A1498">
        <v>1504</v>
      </c>
      <c r="B1498" t="s">
        <v>1680</v>
      </c>
      <c r="C1498" t="s">
        <v>21</v>
      </c>
      <c r="D1498" t="s">
        <v>22</v>
      </c>
      <c r="E1498" t="s">
        <v>23</v>
      </c>
      <c r="F1498">
        <v>99250</v>
      </c>
      <c r="G1498">
        <v>19</v>
      </c>
      <c r="H1498">
        <v>118107</v>
      </c>
      <c r="I1498" t="s">
        <v>24</v>
      </c>
      <c r="J1498" t="s">
        <v>25</v>
      </c>
      <c r="K1498">
        <v>0</v>
      </c>
      <c r="L1498">
        <v>0</v>
      </c>
      <c r="M1498" t="s">
        <v>25</v>
      </c>
      <c r="N1498" t="s">
        <v>25</v>
      </c>
      <c r="O1498" t="s">
        <v>26</v>
      </c>
      <c r="P1498" t="s">
        <v>25</v>
      </c>
      <c r="Q1498" t="s">
        <v>27</v>
      </c>
      <c r="R1498" t="s">
        <v>28</v>
      </c>
    </row>
    <row r="1499" spans="1:18">
      <c r="A1499">
        <v>1505</v>
      </c>
      <c r="B1499" t="s">
        <v>1681</v>
      </c>
      <c r="C1499" t="s">
        <v>21</v>
      </c>
      <c r="D1499" t="s">
        <v>22</v>
      </c>
      <c r="E1499" t="s">
        <v>23</v>
      </c>
      <c r="F1499">
        <v>99250</v>
      </c>
      <c r="G1499">
        <v>19</v>
      </c>
      <c r="H1499">
        <v>118107</v>
      </c>
      <c r="I1499" t="s">
        <v>24</v>
      </c>
      <c r="J1499" t="s">
        <v>25</v>
      </c>
      <c r="K1499">
        <v>0</v>
      </c>
      <c r="L1499">
        <v>0</v>
      </c>
      <c r="M1499" t="s">
        <v>25</v>
      </c>
      <c r="N1499" t="s">
        <v>25</v>
      </c>
      <c r="O1499" t="s">
        <v>26</v>
      </c>
      <c r="P1499" t="s">
        <v>25</v>
      </c>
      <c r="Q1499" t="s">
        <v>27</v>
      </c>
      <c r="R1499" t="s">
        <v>28</v>
      </c>
    </row>
    <row r="1500" spans="1:18">
      <c r="A1500">
        <v>1506</v>
      </c>
      <c r="B1500" t="s">
        <v>1682</v>
      </c>
      <c r="C1500" t="s">
        <v>21</v>
      </c>
      <c r="D1500" t="s">
        <v>22</v>
      </c>
      <c r="E1500" t="s">
        <v>23</v>
      </c>
      <c r="F1500">
        <v>99250</v>
      </c>
      <c r="G1500">
        <v>19</v>
      </c>
      <c r="H1500">
        <v>118107</v>
      </c>
      <c r="I1500" t="s">
        <v>24</v>
      </c>
      <c r="J1500" t="s">
        <v>25</v>
      </c>
      <c r="K1500">
        <v>0</v>
      </c>
      <c r="L1500">
        <v>0</v>
      </c>
      <c r="M1500" t="s">
        <v>25</v>
      </c>
      <c r="N1500" t="s">
        <v>25</v>
      </c>
      <c r="O1500" t="s">
        <v>26</v>
      </c>
      <c r="P1500" t="s">
        <v>25</v>
      </c>
      <c r="Q1500" t="s">
        <v>27</v>
      </c>
      <c r="R1500" t="s">
        <v>28</v>
      </c>
    </row>
    <row r="1501" spans="1:18">
      <c r="A1501">
        <v>1507</v>
      </c>
      <c r="B1501" t="s">
        <v>1683</v>
      </c>
      <c r="C1501" t="s">
        <v>21</v>
      </c>
      <c r="D1501" t="s">
        <v>22</v>
      </c>
      <c r="E1501" t="s">
        <v>23</v>
      </c>
      <c r="F1501">
        <v>99250</v>
      </c>
      <c r="G1501">
        <v>19</v>
      </c>
      <c r="H1501">
        <v>118107</v>
      </c>
      <c r="I1501" t="s">
        <v>24</v>
      </c>
      <c r="J1501" t="s">
        <v>25</v>
      </c>
      <c r="K1501">
        <v>0</v>
      </c>
      <c r="L1501">
        <v>0</v>
      </c>
      <c r="M1501" t="s">
        <v>25</v>
      </c>
      <c r="N1501" t="s">
        <v>25</v>
      </c>
      <c r="O1501" t="s">
        <v>26</v>
      </c>
      <c r="P1501" t="s">
        <v>25</v>
      </c>
      <c r="Q1501" t="s">
        <v>27</v>
      </c>
      <c r="R1501" t="s">
        <v>28</v>
      </c>
    </row>
    <row r="1502" spans="1:18">
      <c r="A1502">
        <v>1508</v>
      </c>
      <c r="B1502" t="s">
        <v>1684</v>
      </c>
      <c r="C1502" t="s">
        <v>21</v>
      </c>
      <c r="D1502" t="s">
        <v>22</v>
      </c>
      <c r="E1502" t="s">
        <v>23</v>
      </c>
      <c r="F1502">
        <v>106981</v>
      </c>
      <c r="G1502">
        <v>19</v>
      </c>
      <c r="H1502">
        <v>127307</v>
      </c>
      <c r="I1502" t="s">
        <v>24</v>
      </c>
      <c r="J1502" t="s">
        <v>25</v>
      </c>
      <c r="K1502">
        <v>0</v>
      </c>
      <c r="L1502">
        <v>0</v>
      </c>
      <c r="M1502" t="s">
        <v>25</v>
      </c>
      <c r="N1502" t="s">
        <v>25</v>
      </c>
      <c r="O1502" t="s">
        <v>26</v>
      </c>
      <c r="P1502" t="s">
        <v>25</v>
      </c>
      <c r="Q1502" t="s">
        <v>27</v>
      </c>
      <c r="R1502" t="s">
        <v>28</v>
      </c>
    </row>
    <row r="1503" spans="1:18">
      <c r="A1503">
        <v>1509</v>
      </c>
      <c r="B1503" t="s">
        <v>1685</v>
      </c>
      <c r="C1503" t="s">
        <v>21</v>
      </c>
      <c r="D1503" t="s">
        <v>22</v>
      </c>
      <c r="E1503" t="s">
        <v>23</v>
      </c>
      <c r="F1503">
        <v>106981</v>
      </c>
      <c r="G1503">
        <v>19</v>
      </c>
      <c r="H1503">
        <v>127307</v>
      </c>
      <c r="I1503" t="s">
        <v>24</v>
      </c>
      <c r="J1503" t="s">
        <v>25</v>
      </c>
      <c r="K1503">
        <v>0</v>
      </c>
      <c r="L1503">
        <v>0</v>
      </c>
      <c r="M1503" t="s">
        <v>25</v>
      </c>
      <c r="N1503" t="s">
        <v>25</v>
      </c>
      <c r="O1503" t="s">
        <v>26</v>
      </c>
      <c r="P1503" t="s">
        <v>25</v>
      </c>
      <c r="Q1503" t="s">
        <v>27</v>
      </c>
      <c r="R1503" t="s">
        <v>28</v>
      </c>
    </row>
    <row r="1504" spans="1:18">
      <c r="A1504">
        <v>1510</v>
      </c>
      <c r="B1504" t="s">
        <v>1686</v>
      </c>
      <c r="C1504" t="s">
        <v>21</v>
      </c>
      <c r="D1504" t="s">
        <v>22</v>
      </c>
      <c r="E1504" t="s">
        <v>23</v>
      </c>
      <c r="F1504">
        <v>106981</v>
      </c>
      <c r="G1504">
        <v>19</v>
      </c>
      <c r="H1504">
        <v>127307</v>
      </c>
      <c r="I1504" t="s">
        <v>24</v>
      </c>
      <c r="J1504" t="s">
        <v>25</v>
      </c>
      <c r="K1504">
        <v>0</v>
      </c>
      <c r="L1504">
        <v>0</v>
      </c>
      <c r="M1504" t="s">
        <v>25</v>
      </c>
      <c r="N1504" t="s">
        <v>25</v>
      </c>
      <c r="O1504" t="s">
        <v>26</v>
      </c>
      <c r="P1504" t="s">
        <v>25</v>
      </c>
      <c r="Q1504" t="s">
        <v>27</v>
      </c>
      <c r="R1504" t="s">
        <v>28</v>
      </c>
    </row>
    <row r="1505" spans="1:20">
      <c r="A1505">
        <v>1511</v>
      </c>
      <c r="B1505" t="s">
        <v>1687</v>
      </c>
      <c r="C1505" t="s">
        <v>21</v>
      </c>
      <c r="D1505" t="s">
        <v>22</v>
      </c>
      <c r="E1505" t="s">
        <v>23</v>
      </c>
      <c r="F1505">
        <v>106981</v>
      </c>
      <c r="G1505">
        <v>19</v>
      </c>
      <c r="H1505">
        <v>127307</v>
      </c>
      <c r="I1505" t="s">
        <v>24</v>
      </c>
      <c r="J1505" t="s">
        <v>25</v>
      </c>
      <c r="K1505">
        <v>0</v>
      </c>
      <c r="L1505">
        <v>0</v>
      </c>
      <c r="M1505" t="s">
        <v>25</v>
      </c>
      <c r="N1505" t="s">
        <v>25</v>
      </c>
      <c r="O1505" t="s">
        <v>26</v>
      </c>
      <c r="P1505" t="s">
        <v>25</v>
      </c>
      <c r="Q1505" t="s">
        <v>27</v>
      </c>
      <c r="R1505" t="s">
        <v>28</v>
      </c>
    </row>
    <row r="1506" spans="1:20">
      <c r="A1506">
        <v>1512</v>
      </c>
      <c r="B1506" t="s">
        <v>1688</v>
      </c>
      <c r="C1506" t="s">
        <v>21</v>
      </c>
      <c r="D1506" t="s">
        <v>22</v>
      </c>
      <c r="E1506" t="s">
        <v>23</v>
      </c>
      <c r="F1506">
        <v>106981</v>
      </c>
      <c r="G1506">
        <v>19</v>
      </c>
      <c r="H1506">
        <v>127307</v>
      </c>
      <c r="I1506" t="s">
        <v>24</v>
      </c>
      <c r="J1506" t="s">
        <v>25</v>
      </c>
      <c r="K1506">
        <v>0</v>
      </c>
      <c r="L1506">
        <v>0</v>
      </c>
      <c r="M1506" t="s">
        <v>25</v>
      </c>
      <c r="N1506" t="s">
        <v>25</v>
      </c>
      <c r="O1506" t="s">
        <v>26</v>
      </c>
      <c r="P1506" t="s">
        <v>25</v>
      </c>
      <c r="Q1506" t="s">
        <v>27</v>
      </c>
      <c r="R1506" t="s">
        <v>28</v>
      </c>
    </row>
    <row r="1507" spans="1:20">
      <c r="A1507">
        <v>1513</v>
      </c>
      <c r="B1507" t="s">
        <v>1689</v>
      </c>
      <c r="C1507" t="s">
        <v>21</v>
      </c>
      <c r="D1507" t="s">
        <v>22</v>
      </c>
      <c r="E1507" t="s">
        <v>23</v>
      </c>
      <c r="F1507">
        <v>106981</v>
      </c>
      <c r="G1507">
        <v>19</v>
      </c>
      <c r="H1507">
        <v>127307</v>
      </c>
      <c r="I1507" t="s">
        <v>24</v>
      </c>
      <c r="J1507" t="s">
        <v>25</v>
      </c>
      <c r="K1507">
        <v>0</v>
      </c>
      <c r="L1507">
        <v>0</v>
      </c>
      <c r="M1507" t="s">
        <v>25</v>
      </c>
      <c r="N1507" t="s">
        <v>25</v>
      </c>
      <c r="O1507" t="s">
        <v>26</v>
      </c>
      <c r="P1507" t="s">
        <v>25</v>
      </c>
      <c r="Q1507" t="s">
        <v>27</v>
      </c>
      <c r="R1507" t="s">
        <v>28</v>
      </c>
    </row>
    <row r="1508" spans="1:20">
      <c r="A1508">
        <v>1514</v>
      </c>
      <c r="B1508" t="s">
        <v>1690</v>
      </c>
      <c r="C1508" t="s">
        <v>21</v>
      </c>
      <c r="D1508" t="s">
        <v>343</v>
      </c>
      <c r="E1508" t="s">
        <v>23</v>
      </c>
      <c r="F1508">
        <v>70100</v>
      </c>
      <c r="G1508">
        <v>19</v>
      </c>
      <c r="H1508">
        <v>83419</v>
      </c>
      <c r="I1508" t="s">
        <v>24</v>
      </c>
      <c r="J1508" t="s">
        <v>25</v>
      </c>
      <c r="K1508">
        <v>0</v>
      </c>
      <c r="L1508">
        <v>0</v>
      </c>
      <c r="M1508" t="s">
        <v>25</v>
      </c>
      <c r="N1508" t="s">
        <v>25</v>
      </c>
      <c r="O1508" t="s">
        <v>26</v>
      </c>
      <c r="P1508" t="s">
        <v>25</v>
      </c>
      <c r="Q1508" t="s">
        <v>27</v>
      </c>
      <c r="R1508" t="s">
        <v>28</v>
      </c>
      <c r="S1508" t="s">
        <v>51</v>
      </c>
      <c r="T1508" t="s">
        <v>892</v>
      </c>
    </row>
    <row r="1509" spans="1:20">
      <c r="A1509">
        <v>1515</v>
      </c>
      <c r="B1509" t="s">
        <v>1691</v>
      </c>
      <c r="C1509" t="s">
        <v>21</v>
      </c>
      <c r="D1509" t="s">
        <v>22</v>
      </c>
      <c r="E1509" t="s">
        <v>23</v>
      </c>
      <c r="F1509">
        <v>9800</v>
      </c>
      <c r="G1509">
        <v>19</v>
      </c>
      <c r="H1509">
        <v>11662</v>
      </c>
      <c r="I1509" t="s">
        <v>24</v>
      </c>
      <c r="J1509" t="s">
        <v>25</v>
      </c>
      <c r="K1509">
        <v>0</v>
      </c>
      <c r="L1509">
        <v>0</v>
      </c>
      <c r="M1509" t="s">
        <v>25</v>
      </c>
      <c r="N1509" t="s">
        <v>25</v>
      </c>
      <c r="O1509" t="s">
        <v>26</v>
      </c>
      <c r="P1509" t="s">
        <v>25</v>
      </c>
      <c r="Q1509" t="s">
        <v>27</v>
      </c>
      <c r="R1509" t="s">
        <v>28</v>
      </c>
      <c r="S1509" t="s">
        <v>51</v>
      </c>
      <c r="T1509" t="s">
        <v>334</v>
      </c>
    </row>
    <row r="1510" spans="1:20">
      <c r="A1510">
        <v>1516</v>
      </c>
      <c r="B1510" t="s">
        <v>1692</v>
      </c>
      <c r="C1510" t="s">
        <v>21</v>
      </c>
      <c r="D1510" t="s">
        <v>22</v>
      </c>
      <c r="E1510" t="s">
        <v>23</v>
      </c>
      <c r="F1510">
        <v>9600</v>
      </c>
      <c r="G1510">
        <v>19</v>
      </c>
      <c r="H1510">
        <v>11424</v>
      </c>
      <c r="I1510" t="s">
        <v>24</v>
      </c>
      <c r="J1510" t="s">
        <v>25</v>
      </c>
      <c r="K1510">
        <v>0</v>
      </c>
      <c r="L1510">
        <v>0</v>
      </c>
      <c r="M1510" t="s">
        <v>25</v>
      </c>
      <c r="N1510" t="s">
        <v>25</v>
      </c>
      <c r="O1510" t="s">
        <v>26</v>
      </c>
      <c r="P1510" t="s">
        <v>25</v>
      </c>
      <c r="Q1510" t="s">
        <v>27</v>
      </c>
      <c r="R1510" t="s">
        <v>28</v>
      </c>
      <c r="S1510" t="s">
        <v>51</v>
      </c>
      <c r="T1510" t="s">
        <v>334</v>
      </c>
    </row>
    <row r="1511" spans="1:20">
      <c r="A1511">
        <v>1517</v>
      </c>
      <c r="B1511" t="s">
        <v>1693</v>
      </c>
      <c r="C1511" t="s">
        <v>21</v>
      </c>
      <c r="D1511" t="s">
        <v>22</v>
      </c>
      <c r="E1511" t="s">
        <v>23</v>
      </c>
      <c r="F1511">
        <v>5150</v>
      </c>
      <c r="G1511">
        <v>19</v>
      </c>
      <c r="H1511">
        <v>6129</v>
      </c>
      <c r="I1511" t="s">
        <v>24</v>
      </c>
      <c r="J1511" t="s">
        <v>25</v>
      </c>
      <c r="K1511">
        <v>0</v>
      </c>
      <c r="L1511">
        <v>0</v>
      </c>
      <c r="M1511" t="s">
        <v>25</v>
      </c>
      <c r="N1511" t="s">
        <v>25</v>
      </c>
      <c r="O1511" t="s">
        <v>26</v>
      </c>
      <c r="P1511" t="s">
        <v>25</v>
      </c>
      <c r="Q1511" t="s">
        <v>27</v>
      </c>
      <c r="R1511" t="s">
        <v>28</v>
      </c>
      <c r="S1511" t="s">
        <v>51</v>
      </c>
      <c r="T1511" t="s">
        <v>1694</v>
      </c>
    </row>
    <row r="1512" spans="1:20">
      <c r="A1512">
        <v>1518</v>
      </c>
      <c r="B1512" t="s">
        <v>1695</v>
      </c>
      <c r="C1512" t="s">
        <v>21</v>
      </c>
      <c r="D1512" t="s">
        <v>343</v>
      </c>
      <c r="E1512" t="s">
        <v>23</v>
      </c>
      <c r="F1512">
        <v>110000</v>
      </c>
      <c r="G1512">
        <v>19</v>
      </c>
      <c r="H1512">
        <v>130900</v>
      </c>
      <c r="I1512" t="s">
        <v>24</v>
      </c>
      <c r="J1512" t="s">
        <v>25</v>
      </c>
      <c r="K1512">
        <v>0</v>
      </c>
      <c r="L1512">
        <v>0</v>
      </c>
      <c r="M1512" t="s">
        <v>25</v>
      </c>
      <c r="N1512" t="s">
        <v>25</v>
      </c>
      <c r="O1512" t="s">
        <v>26</v>
      </c>
      <c r="P1512" t="s">
        <v>25</v>
      </c>
      <c r="Q1512" t="s">
        <v>27</v>
      </c>
      <c r="R1512" t="s">
        <v>28</v>
      </c>
      <c r="S1512" t="s">
        <v>51</v>
      </c>
      <c r="T1512" t="s">
        <v>334</v>
      </c>
    </row>
    <row r="1513" spans="1:20">
      <c r="A1513">
        <v>1519</v>
      </c>
      <c r="B1513" t="s">
        <v>1696</v>
      </c>
      <c r="C1513" t="s">
        <v>21</v>
      </c>
      <c r="D1513" t="s">
        <v>343</v>
      </c>
      <c r="E1513" t="s">
        <v>23</v>
      </c>
      <c r="F1513">
        <v>19300</v>
      </c>
      <c r="G1513">
        <v>19</v>
      </c>
      <c r="H1513">
        <v>22967</v>
      </c>
      <c r="I1513" t="s">
        <v>24</v>
      </c>
      <c r="J1513" t="s">
        <v>25</v>
      </c>
      <c r="K1513">
        <v>0</v>
      </c>
      <c r="L1513">
        <v>0</v>
      </c>
      <c r="M1513" t="s">
        <v>25</v>
      </c>
      <c r="N1513" t="s">
        <v>25</v>
      </c>
      <c r="O1513" t="s">
        <v>26</v>
      </c>
      <c r="P1513" t="s">
        <v>25</v>
      </c>
      <c r="Q1513" t="s">
        <v>27</v>
      </c>
      <c r="R1513" t="s">
        <v>28</v>
      </c>
      <c r="S1513" t="s">
        <v>51</v>
      </c>
      <c r="T1513" t="s">
        <v>334</v>
      </c>
    </row>
    <row r="1514" spans="1:20">
      <c r="A1514">
        <v>1520</v>
      </c>
      <c r="B1514" t="s">
        <v>1697</v>
      </c>
      <c r="C1514" t="s">
        <v>21</v>
      </c>
      <c r="D1514" t="s">
        <v>22</v>
      </c>
      <c r="E1514" t="s">
        <v>37</v>
      </c>
      <c r="F1514">
        <v>10000</v>
      </c>
      <c r="G1514">
        <v>19</v>
      </c>
      <c r="H1514">
        <v>11900</v>
      </c>
      <c r="I1514" t="s">
        <v>24</v>
      </c>
      <c r="J1514" t="s">
        <v>25</v>
      </c>
      <c r="K1514">
        <v>0</v>
      </c>
      <c r="L1514">
        <v>0</v>
      </c>
      <c r="M1514" t="s">
        <v>25</v>
      </c>
      <c r="N1514" t="s">
        <v>25</v>
      </c>
      <c r="O1514" t="s">
        <v>26</v>
      </c>
      <c r="P1514" t="s">
        <v>25</v>
      </c>
      <c r="Q1514" t="s">
        <v>27</v>
      </c>
      <c r="R1514" t="s">
        <v>28</v>
      </c>
    </row>
    <row r="1515" spans="1:20">
      <c r="A1515">
        <v>1521</v>
      </c>
      <c r="B1515" t="s">
        <v>1698</v>
      </c>
      <c r="C1515" t="s">
        <v>21</v>
      </c>
      <c r="D1515" t="s">
        <v>22</v>
      </c>
      <c r="E1515" t="s">
        <v>37</v>
      </c>
      <c r="F1515">
        <v>16000</v>
      </c>
      <c r="G1515">
        <v>19</v>
      </c>
      <c r="H1515">
        <v>19040</v>
      </c>
      <c r="I1515" t="s">
        <v>24</v>
      </c>
      <c r="J1515" t="s">
        <v>25</v>
      </c>
      <c r="K1515">
        <v>0</v>
      </c>
      <c r="L1515">
        <v>0</v>
      </c>
      <c r="M1515" t="s">
        <v>25</v>
      </c>
      <c r="N1515" t="s">
        <v>25</v>
      </c>
      <c r="O1515" t="s">
        <v>26</v>
      </c>
      <c r="P1515" t="s">
        <v>25</v>
      </c>
      <c r="Q1515" t="s">
        <v>27</v>
      </c>
      <c r="R1515" t="s">
        <v>28</v>
      </c>
    </row>
    <row r="1516" spans="1:20">
      <c r="A1516">
        <v>1522</v>
      </c>
      <c r="B1516" t="s">
        <v>1699</v>
      </c>
      <c r="C1516" t="s">
        <v>21</v>
      </c>
      <c r="D1516" t="s">
        <v>22</v>
      </c>
      <c r="E1516" t="s">
        <v>37</v>
      </c>
      <c r="F1516">
        <v>20000</v>
      </c>
      <c r="G1516">
        <v>19</v>
      </c>
      <c r="H1516">
        <v>23800</v>
      </c>
      <c r="I1516" t="s">
        <v>24</v>
      </c>
      <c r="J1516" t="s">
        <v>25</v>
      </c>
      <c r="K1516">
        <v>0</v>
      </c>
      <c r="L1516">
        <v>0</v>
      </c>
      <c r="M1516" t="s">
        <v>25</v>
      </c>
      <c r="N1516" t="s">
        <v>25</v>
      </c>
      <c r="O1516" t="s">
        <v>26</v>
      </c>
      <c r="P1516" t="s">
        <v>25</v>
      </c>
      <c r="Q1516" t="s">
        <v>27</v>
      </c>
      <c r="R1516" t="s">
        <v>28</v>
      </c>
    </row>
    <row r="1517" spans="1:20">
      <c r="A1517">
        <v>1523</v>
      </c>
      <c r="B1517" t="s">
        <v>1700</v>
      </c>
      <c r="C1517" t="s">
        <v>21</v>
      </c>
      <c r="D1517" t="s">
        <v>22</v>
      </c>
      <c r="E1517" t="s">
        <v>37</v>
      </c>
      <c r="F1517">
        <v>30000</v>
      </c>
      <c r="G1517">
        <v>19</v>
      </c>
      <c r="H1517">
        <v>35700</v>
      </c>
      <c r="I1517" t="s">
        <v>24</v>
      </c>
      <c r="J1517" t="s">
        <v>25</v>
      </c>
      <c r="K1517">
        <v>0</v>
      </c>
      <c r="L1517">
        <v>0</v>
      </c>
      <c r="M1517" t="s">
        <v>25</v>
      </c>
      <c r="N1517" t="s">
        <v>25</v>
      </c>
      <c r="O1517" t="s">
        <v>26</v>
      </c>
      <c r="P1517" t="s">
        <v>25</v>
      </c>
      <c r="Q1517" t="s">
        <v>27</v>
      </c>
      <c r="R1517" t="s">
        <v>28</v>
      </c>
    </row>
    <row r="1518" spans="1:20">
      <c r="A1518">
        <v>1524</v>
      </c>
      <c r="B1518" t="s">
        <v>1701</v>
      </c>
      <c r="C1518" t="s">
        <v>21</v>
      </c>
      <c r="D1518" t="s">
        <v>22</v>
      </c>
      <c r="E1518" t="s">
        <v>37</v>
      </c>
      <c r="F1518">
        <v>130000</v>
      </c>
      <c r="G1518">
        <v>19</v>
      </c>
      <c r="H1518">
        <v>154700</v>
      </c>
      <c r="I1518" t="s">
        <v>24</v>
      </c>
      <c r="J1518" t="s">
        <v>25</v>
      </c>
      <c r="K1518">
        <v>0</v>
      </c>
      <c r="L1518">
        <v>0</v>
      </c>
      <c r="M1518" t="s">
        <v>25</v>
      </c>
      <c r="N1518" t="s">
        <v>25</v>
      </c>
      <c r="O1518" t="s">
        <v>26</v>
      </c>
      <c r="P1518" t="s">
        <v>25</v>
      </c>
      <c r="Q1518" t="s">
        <v>27</v>
      </c>
      <c r="R1518" t="s">
        <v>28</v>
      </c>
    </row>
    <row r="1519" spans="1:20">
      <c r="A1519">
        <v>1525</v>
      </c>
      <c r="B1519" t="s">
        <v>1702</v>
      </c>
      <c r="C1519" t="s">
        <v>21</v>
      </c>
      <c r="D1519" t="s">
        <v>22</v>
      </c>
      <c r="E1519" t="s">
        <v>37</v>
      </c>
      <c r="F1519">
        <v>190000</v>
      </c>
      <c r="G1519">
        <v>19</v>
      </c>
      <c r="H1519">
        <v>226100</v>
      </c>
      <c r="I1519" t="s">
        <v>24</v>
      </c>
      <c r="J1519" t="s">
        <v>25</v>
      </c>
      <c r="K1519">
        <v>0</v>
      </c>
      <c r="L1519">
        <v>0</v>
      </c>
      <c r="M1519" t="s">
        <v>25</v>
      </c>
      <c r="N1519" t="s">
        <v>25</v>
      </c>
      <c r="O1519" t="s">
        <v>26</v>
      </c>
      <c r="P1519" t="s">
        <v>25</v>
      </c>
      <c r="Q1519" t="s">
        <v>27</v>
      </c>
      <c r="R1519" t="s">
        <v>28</v>
      </c>
    </row>
    <row r="1520" spans="1:20">
      <c r="A1520">
        <v>1526</v>
      </c>
      <c r="B1520" t="s">
        <v>1703</v>
      </c>
      <c r="C1520" t="s">
        <v>21</v>
      </c>
      <c r="D1520" t="s">
        <v>22</v>
      </c>
      <c r="E1520" t="s">
        <v>23</v>
      </c>
      <c r="F1520">
        <v>16000</v>
      </c>
      <c r="G1520">
        <v>19</v>
      </c>
      <c r="H1520">
        <v>19040</v>
      </c>
      <c r="I1520" t="s">
        <v>24</v>
      </c>
      <c r="J1520" t="s">
        <v>25</v>
      </c>
      <c r="K1520">
        <v>0</v>
      </c>
      <c r="L1520">
        <v>0</v>
      </c>
      <c r="M1520" t="s">
        <v>25</v>
      </c>
      <c r="N1520" t="s">
        <v>25</v>
      </c>
      <c r="O1520" t="s">
        <v>26</v>
      </c>
      <c r="P1520" t="s">
        <v>25</v>
      </c>
      <c r="Q1520" t="s">
        <v>27</v>
      </c>
      <c r="R1520" t="s">
        <v>28</v>
      </c>
    </row>
    <row r="1521" spans="1:20">
      <c r="A1521">
        <v>1527</v>
      </c>
      <c r="B1521" t="s">
        <v>1704</v>
      </c>
      <c r="C1521" t="s">
        <v>21</v>
      </c>
      <c r="D1521" t="s">
        <v>22</v>
      </c>
      <c r="E1521" t="s">
        <v>23</v>
      </c>
      <c r="F1521">
        <v>20000</v>
      </c>
      <c r="G1521">
        <v>19</v>
      </c>
      <c r="H1521">
        <v>23800</v>
      </c>
      <c r="I1521" t="s">
        <v>24</v>
      </c>
      <c r="J1521" t="s">
        <v>25</v>
      </c>
      <c r="K1521">
        <v>0</v>
      </c>
      <c r="L1521">
        <v>0</v>
      </c>
      <c r="M1521" t="s">
        <v>25</v>
      </c>
      <c r="N1521" t="s">
        <v>25</v>
      </c>
      <c r="O1521" t="s">
        <v>26</v>
      </c>
      <c r="P1521" t="s">
        <v>25</v>
      </c>
      <c r="Q1521" t="s">
        <v>27</v>
      </c>
      <c r="R1521" t="s">
        <v>28</v>
      </c>
    </row>
    <row r="1522" spans="1:20">
      <c r="A1522">
        <v>1528</v>
      </c>
      <c r="B1522" t="s">
        <v>1705</v>
      </c>
      <c r="C1522" t="s">
        <v>21</v>
      </c>
      <c r="D1522" t="s">
        <v>22</v>
      </c>
      <c r="E1522" t="s">
        <v>23</v>
      </c>
      <c r="F1522">
        <v>40000</v>
      </c>
      <c r="G1522">
        <v>19</v>
      </c>
      <c r="H1522">
        <v>47600</v>
      </c>
      <c r="I1522" t="s">
        <v>24</v>
      </c>
      <c r="J1522" t="s">
        <v>25</v>
      </c>
      <c r="K1522">
        <v>0</v>
      </c>
      <c r="L1522">
        <v>0</v>
      </c>
      <c r="M1522" t="s">
        <v>25</v>
      </c>
      <c r="N1522" t="s">
        <v>25</v>
      </c>
      <c r="O1522" t="s">
        <v>26</v>
      </c>
      <c r="P1522" t="s">
        <v>25</v>
      </c>
      <c r="Q1522" t="s">
        <v>27</v>
      </c>
      <c r="R1522" t="s">
        <v>28</v>
      </c>
    </row>
    <row r="1523" spans="1:20">
      <c r="A1523">
        <v>1529</v>
      </c>
      <c r="B1523" t="s">
        <v>1706</v>
      </c>
      <c r="C1523" t="s">
        <v>21</v>
      </c>
      <c r="D1523" t="s">
        <v>22</v>
      </c>
      <c r="E1523" t="s">
        <v>23</v>
      </c>
      <c r="F1523">
        <v>65000</v>
      </c>
      <c r="G1523">
        <v>19</v>
      </c>
      <c r="H1523">
        <v>77350</v>
      </c>
      <c r="I1523" t="s">
        <v>24</v>
      </c>
      <c r="J1523" t="s">
        <v>25</v>
      </c>
      <c r="K1523">
        <v>0</v>
      </c>
      <c r="L1523">
        <v>0</v>
      </c>
      <c r="M1523" t="s">
        <v>25</v>
      </c>
      <c r="N1523" t="s">
        <v>25</v>
      </c>
      <c r="O1523" t="s">
        <v>26</v>
      </c>
      <c r="P1523" t="s">
        <v>25</v>
      </c>
      <c r="Q1523" t="s">
        <v>27</v>
      </c>
      <c r="R1523" t="s">
        <v>28</v>
      </c>
    </row>
    <row r="1524" spans="1:20">
      <c r="A1524">
        <v>1530</v>
      </c>
      <c r="B1524" t="s">
        <v>1707</v>
      </c>
      <c r="C1524" t="s">
        <v>21</v>
      </c>
      <c r="D1524" t="s">
        <v>22</v>
      </c>
      <c r="E1524" t="s">
        <v>23</v>
      </c>
      <c r="F1524">
        <v>950000</v>
      </c>
      <c r="G1524">
        <v>19</v>
      </c>
      <c r="H1524">
        <v>1130500</v>
      </c>
      <c r="I1524" t="s">
        <v>24</v>
      </c>
      <c r="J1524" t="s">
        <v>25</v>
      </c>
      <c r="K1524">
        <v>0</v>
      </c>
      <c r="L1524">
        <v>0</v>
      </c>
      <c r="M1524" t="s">
        <v>25</v>
      </c>
      <c r="N1524" t="s">
        <v>25</v>
      </c>
      <c r="O1524" t="s">
        <v>26</v>
      </c>
      <c r="P1524" t="s">
        <v>25</v>
      </c>
      <c r="Q1524" t="s">
        <v>27</v>
      </c>
      <c r="R1524" t="s">
        <v>28</v>
      </c>
    </row>
    <row r="1525" spans="1:20">
      <c r="A1525">
        <v>1531</v>
      </c>
      <c r="B1525" t="s">
        <v>1708</v>
      </c>
      <c r="C1525" t="s">
        <v>21</v>
      </c>
      <c r="D1525" t="s">
        <v>22</v>
      </c>
      <c r="E1525" t="s">
        <v>23</v>
      </c>
      <c r="F1525">
        <v>250000</v>
      </c>
      <c r="G1525">
        <v>19</v>
      </c>
      <c r="H1525">
        <v>297500</v>
      </c>
      <c r="I1525" t="s">
        <v>24</v>
      </c>
      <c r="J1525" t="s">
        <v>25</v>
      </c>
      <c r="K1525">
        <v>0</v>
      </c>
      <c r="L1525">
        <v>0</v>
      </c>
      <c r="M1525" t="s">
        <v>25</v>
      </c>
      <c r="N1525" t="s">
        <v>25</v>
      </c>
      <c r="O1525" t="s">
        <v>26</v>
      </c>
      <c r="P1525" t="s">
        <v>25</v>
      </c>
      <c r="Q1525" t="s">
        <v>27</v>
      </c>
      <c r="R1525" t="s">
        <v>28</v>
      </c>
    </row>
    <row r="1526" spans="1:20">
      <c r="A1526">
        <v>1532</v>
      </c>
      <c r="B1526" t="s">
        <v>1709</v>
      </c>
      <c r="C1526" t="s">
        <v>21</v>
      </c>
      <c r="D1526" t="s">
        <v>22</v>
      </c>
      <c r="E1526" t="s">
        <v>23</v>
      </c>
      <c r="F1526">
        <v>350000</v>
      </c>
      <c r="G1526">
        <v>19</v>
      </c>
      <c r="H1526">
        <v>416500</v>
      </c>
      <c r="I1526" t="s">
        <v>24</v>
      </c>
      <c r="J1526" t="s">
        <v>25</v>
      </c>
      <c r="K1526">
        <v>0</v>
      </c>
      <c r="L1526">
        <v>0</v>
      </c>
      <c r="M1526" t="s">
        <v>25</v>
      </c>
      <c r="N1526" t="s">
        <v>25</v>
      </c>
      <c r="O1526" t="s">
        <v>26</v>
      </c>
      <c r="P1526" t="s">
        <v>25</v>
      </c>
      <c r="Q1526" t="s">
        <v>27</v>
      </c>
      <c r="R1526" t="s">
        <v>28</v>
      </c>
    </row>
    <row r="1527" spans="1:20">
      <c r="A1527">
        <v>1533</v>
      </c>
      <c r="B1527" t="s">
        <v>1710</v>
      </c>
      <c r="C1527" t="s">
        <v>21</v>
      </c>
      <c r="D1527" t="s">
        <v>22</v>
      </c>
      <c r="E1527" t="s">
        <v>23</v>
      </c>
      <c r="F1527">
        <v>8000</v>
      </c>
      <c r="G1527">
        <v>19</v>
      </c>
      <c r="H1527">
        <v>9520</v>
      </c>
      <c r="I1527" t="s">
        <v>24</v>
      </c>
      <c r="J1527" t="s">
        <v>25</v>
      </c>
      <c r="K1527">
        <v>0</v>
      </c>
      <c r="L1527">
        <v>0</v>
      </c>
      <c r="M1527" t="s">
        <v>25</v>
      </c>
      <c r="N1527" t="s">
        <v>25</v>
      </c>
      <c r="O1527" t="s">
        <v>26</v>
      </c>
      <c r="P1527" t="s">
        <v>25</v>
      </c>
      <c r="Q1527" t="s">
        <v>27</v>
      </c>
      <c r="R1527" t="s">
        <v>28</v>
      </c>
    </row>
    <row r="1528" spans="1:20">
      <c r="A1528">
        <v>1534</v>
      </c>
      <c r="B1528" t="s">
        <v>1711</v>
      </c>
      <c r="C1528" t="s">
        <v>21</v>
      </c>
      <c r="D1528" t="s">
        <v>22</v>
      </c>
      <c r="E1528" t="s">
        <v>23</v>
      </c>
      <c r="F1528">
        <v>49000</v>
      </c>
      <c r="G1528">
        <v>19</v>
      </c>
      <c r="H1528">
        <v>58310</v>
      </c>
      <c r="I1528" t="s">
        <v>24</v>
      </c>
      <c r="J1528" t="s">
        <v>25</v>
      </c>
      <c r="K1528">
        <v>0</v>
      </c>
      <c r="L1528">
        <v>0</v>
      </c>
      <c r="M1528" t="s">
        <v>25</v>
      </c>
      <c r="N1528" t="s">
        <v>25</v>
      </c>
      <c r="O1528" t="s">
        <v>26</v>
      </c>
      <c r="P1528" t="s">
        <v>25</v>
      </c>
      <c r="Q1528" t="s">
        <v>27</v>
      </c>
      <c r="R1528" t="s">
        <v>28</v>
      </c>
      <c r="S1528" t="s">
        <v>51</v>
      </c>
      <c r="T1528" t="s">
        <v>882</v>
      </c>
    </row>
    <row r="1529" spans="1:20">
      <c r="A1529">
        <v>1535</v>
      </c>
      <c r="B1529" t="s">
        <v>1712</v>
      </c>
      <c r="C1529" t="s">
        <v>21</v>
      </c>
      <c r="D1529" t="s">
        <v>22</v>
      </c>
      <c r="E1529" t="s">
        <v>23</v>
      </c>
      <c r="F1529">
        <v>20000</v>
      </c>
      <c r="G1529">
        <v>19</v>
      </c>
      <c r="H1529">
        <v>23800</v>
      </c>
      <c r="I1529" t="s">
        <v>24</v>
      </c>
      <c r="J1529" t="s">
        <v>25</v>
      </c>
      <c r="K1529">
        <v>0</v>
      </c>
      <c r="L1529">
        <v>0</v>
      </c>
      <c r="M1529" t="s">
        <v>25</v>
      </c>
      <c r="N1529" t="s">
        <v>25</v>
      </c>
      <c r="O1529" t="s">
        <v>26</v>
      </c>
      <c r="P1529" t="s">
        <v>25</v>
      </c>
      <c r="Q1529" t="s">
        <v>27</v>
      </c>
      <c r="R1529" t="s">
        <v>28</v>
      </c>
    </row>
    <row r="1530" spans="1:20">
      <c r="A1530">
        <v>1536</v>
      </c>
      <c r="B1530" t="s">
        <v>1713</v>
      </c>
      <c r="C1530" t="s">
        <v>21</v>
      </c>
      <c r="D1530" t="s">
        <v>22</v>
      </c>
      <c r="E1530" t="s">
        <v>23</v>
      </c>
      <c r="F1530">
        <v>30000</v>
      </c>
      <c r="G1530">
        <v>19</v>
      </c>
      <c r="H1530">
        <v>35700</v>
      </c>
      <c r="I1530" t="s">
        <v>24</v>
      </c>
      <c r="J1530" t="s">
        <v>25</v>
      </c>
      <c r="K1530">
        <v>0</v>
      </c>
      <c r="L1530">
        <v>0</v>
      </c>
      <c r="M1530" t="s">
        <v>25</v>
      </c>
      <c r="N1530" t="s">
        <v>25</v>
      </c>
      <c r="O1530" t="s">
        <v>26</v>
      </c>
      <c r="P1530" t="s">
        <v>25</v>
      </c>
      <c r="Q1530" t="s">
        <v>27</v>
      </c>
      <c r="R1530" t="s">
        <v>28</v>
      </c>
    </row>
    <row r="1531" spans="1:20">
      <c r="A1531">
        <v>1537</v>
      </c>
      <c r="B1531" t="s">
        <v>1714</v>
      </c>
      <c r="C1531" t="s">
        <v>21</v>
      </c>
      <c r="D1531" t="s">
        <v>22</v>
      </c>
      <c r="E1531" t="s">
        <v>23</v>
      </c>
      <c r="F1531">
        <v>100000</v>
      </c>
      <c r="G1531">
        <v>19</v>
      </c>
      <c r="H1531">
        <v>119000</v>
      </c>
      <c r="I1531" t="s">
        <v>24</v>
      </c>
      <c r="J1531" t="s">
        <v>25</v>
      </c>
      <c r="K1531">
        <v>0</v>
      </c>
      <c r="L1531">
        <v>0</v>
      </c>
      <c r="M1531" t="s">
        <v>25</v>
      </c>
      <c r="N1531" t="s">
        <v>25</v>
      </c>
      <c r="O1531" t="s">
        <v>26</v>
      </c>
      <c r="P1531" t="s">
        <v>25</v>
      </c>
      <c r="Q1531" t="s">
        <v>27</v>
      </c>
      <c r="R1531" t="s">
        <v>28</v>
      </c>
    </row>
    <row r="1532" spans="1:20">
      <c r="A1532">
        <v>1538</v>
      </c>
      <c r="B1532" t="s">
        <v>1715</v>
      </c>
      <c r="C1532" t="s">
        <v>21</v>
      </c>
      <c r="D1532" t="s">
        <v>22</v>
      </c>
      <c r="E1532" t="s">
        <v>23</v>
      </c>
      <c r="F1532">
        <v>32500</v>
      </c>
      <c r="G1532">
        <v>19</v>
      </c>
      <c r="H1532">
        <v>38675</v>
      </c>
      <c r="I1532" t="s">
        <v>24</v>
      </c>
      <c r="J1532" t="s">
        <v>25</v>
      </c>
      <c r="K1532">
        <v>0</v>
      </c>
      <c r="L1532">
        <v>0</v>
      </c>
      <c r="M1532" t="s">
        <v>25</v>
      </c>
      <c r="N1532" t="s">
        <v>25</v>
      </c>
      <c r="O1532" t="s">
        <v>26</v>
      </c>
      <c r="P1532" t="s">
        <v>25</v>
      </c>
      <c r="Q1532" t="s">
        <v>27</v>
      </c>
      <c r="R1532" t="s">
        <v>28</v>
      </c>
      <c r="S1532" t="s">
        <v>51</v>
      </c>
      <c r="T1532" t="s">
        <v>334</v>
      </c>
    </row>
    <row r="1533" spans="1:20">
      <c r="A1533">
        <v>1539</v>
      </c>
      <c r="B1533" t="s">
        <v>1716</v>
      </c>
      <c r="C1533" t="s">
        <v>21</v>
      </c>
      <c r="D1533" t="s">
        <v>22</v>
      </c>
      <c r="E1533" t="s">
        <v>23</v>
      </c>
      <c r="F1533">
        <v>15000</v>
      </c>
      <c r="G1533">
        <v>19</v>
      </c>
      <c r="H1533">
        <v>17850</v>
      </c>
      <c r="I1533" t="s">
        <v>24</v>
      </c>
      <c r="J1533" t="s">
        <v>25</v>
      </c>
      <c r="K1533">
        <v>0</v>
      </c>
      <c r="L1533">
        <v>0</v>
      </c>
      <c r="M1533" t="s">
        <v>25</v>
      </c>
      <c r="N1533" t="s">
        <v>25</v>
      </c>
      <c r="O1533" t="s">
        <v>26</v>
      </c>
      <c r="P1533" t="s">
        <v>25</v>
      </c>
      <c r="Q1533" t="s">
        <v>27</v>
      </c>
      <c r="R1533" t="s">
        <v>28</v>
      </c>
    </row>
    <row r="1534" spans="1:20">
      <c r="A1534">
        <v>1540</v>
      </c>
      <c r="B1534" t="s">
        <v>1717</v>
      </c>
      <c r="C1534" t="s">
        <v>21</v>
      </c>
      <c r="D1534" t="s">
        <v>22</v>
      </c>
      <c r="E1534" t="s">
        <v>23</v>
      </c>
      <c r="F1534">
        <v>15000</v>
      </c>
      <c r="G1534">
        <v>19</v>
      </c>
      <c r="H1534">
        <v>17850</v>
      </c>
      <c r="I1534" t="s">
        <v>24</v>
      </c>
      <c r="J1534" t="s">
        <v>25</v>
      </c>
      <c r="K1534">
        <v>0</v>
      </c>
      <c r="L1534">
        <v>0</v>
      </c>
      <c r="M1534" t="s">
        <v>25</v>
      </c>
      <c r="N1534" t="s">
        <v>25</v>
      </c>
      <c r="O1534" t="s">
        <v>26</v>
      </c>
      <c r="P1534" t="s">
        <v>25</v>
      </c>
      <c r="Q1534" t="s">
        <v>27</v>
      </c>
      <c r="R1534" t="s">
        <v>28</v>
      </c>
    </row>
    <row r="1535" spans="1:20">
      <c r="A1535">
        <v>1541</v>
      </c>
      <c r="B1535" t="s">
        <v>1718</v>
      </c>
      <c r="C1535" t="s">
        <v>21</v>
      </c>
      <c r="D1535" t="s">
        <v>22</v>
      </c>
      <c r="E1535" t="s">
        <v>23</v>
      </c>
      <c r="F1535">
        <v>18700</v>
      </c>
      <c r="G1535">
        <v>19</v>
      </c>
      <c r="H1535">
        <v>22253</v>
      </c>
      <c r="I1535" t="s">
        <v>24</v>
      </c>
      <c r="J1535" t="s">
        <v>25</v>
      </c>
      <c r="K1535">
        <v>0</v>
      </c>
      <c r="L1535">
        <v>0</v>
      </c>
      <c r="M1535" t="s">
        <v>25</v>
      </c>
      <c r="N1535" t="s">
        <v>25</v>
      </c>
      <c r="O1535" t="s">
        <v>26</v>
      </c>
      <c r="P1535" t="s">
        <v>25</v>
      </c>
      <c r="Q1535" t="s">
        <v>27</v>
      </c>
      <c r="R1535" t="s">
        <v>28</v>
      </c>
    </row>
    <row r="1536" spans="1:20">
      <c r="A1536">
        <v>1542</v>
      </c>
      <c r="B1536" t="s">
        <v>1719</v>
      </c>
      <c r="C1536" t="s">
        <v>21</v>
      </c>
      <c r="D1536" t="s">
        <v>22</v>
      </c>
      <c r="E1536" t="s">
        <v>23</v>
      </c>
      <c r="F1536">
        <v>50000</v>
      </c>
      <c r="G1536">
        <v>19</v>
      </c>
      <c r="H1536">
        <v>59500</v>
      </c>
      <c r="I1536" t="s">
        <v>24</v>
      </c>
      <c r="J1536" t="s">
        <v>25</v>
      </c>
      <c r="K1536">
        <v>0</v>
      </c>
      <c r="L1536">
        <v>0</v>
      </c>
      <c r="M1536" t="s">
        <v>25</v>
      </c>
      <c r="N1536" t="s">
        <v>25</v>
      </c>
      <c r="O1536" t="s">
        <v>26</v>
      </c>
      <c r="P1536" t="s">
        <v>25</v>
      </c>
      <c r="Q1536" t="s">
        <v>27</v>
      </c>
      <c r="R1536" t="s">
        <v>28</v>
      </c>
    </row>
    <row r="1537" spans="1:20">
      <c r="A1537">
        <v>1543</v>
      </c>
      <c r="B1537" t="s">
        <v>1720</v>
      </c>
      <c r="C1537" t="s">
        <v>21</v>
      </c>
      <c r="D1537" t="s">
        <v>22</v>
      </c>
      <c r="E1537" t="s">
        <v>23</v>
      </c>
      <c r="F1537">
        <v>1900</v>
      </c>
      <c r="G1537">
        <v>19</v>
      </c>
      <c r="H1537">
        <v>2261</v>
      </c>
      <c r="I1537" t="s">
        <v>24</v>
      </c>
      <c r="J1537" t="s">
        <v>25</v>
      </c>
      <c r="K1537">
        <v>0</v>
      </c>
      <c r="L1537">
        <v>0</v>
      </c>
      <c r="M1537" t="s">
        <v>25</v>
      </c>
      <c r="N1537" t="s">
        <v>25</v>
      </c>
      <c r="O1537" t="s">
        <v>26</v>
      </c>
      <c r="P1537" t="s">
        <v>25</v>
      </c>
      <c r="Q1537" t="s">
        <v>27</v>
      </c>
      <c r="R1537" t="s">
        <v>28</v>
      </c>
    </row>
    <row r="1538" spans="1:20">
      <c r="A1538">
        <v>1544</v>
      </c>
      <c r="B1538" t="s">
        <v>1721</v>
      </c>
      <c r="C1538" t="s">
        <v>21</v>
      </c>
      <c r="D1538" t="s">
        <v>22</v>
      </c>
      <c r="E1538" t="s">
        <v>23</v>
      </c>
      <c r="F1538">
        <v>1900</v>
      </c>
      <c r="G1538">
        <v>19</v>
      </c>
      <c r="H1538">
        <v>2261</v>
      </c>
      <c r="I1538" t="s">
        <v>24</v>
      </c>
      <c r="J1538" t="s">
        <v>25</v>
      </c>
      <c r="K1538">
        <v>0</v>
      </c>
      <c r="L1538">
        <v>0</v>
      </c>
      <c r="M1538" t="s">
        <v>25</v>
      </c>
      <c r="N1538" t="s">
        <v>25</v>
      </c>
      <c r="O1538" t="s">
        <v>26</v>
      </c>
      <c r="P1538" t="s">
        <v>25</v>
      </c>
      <c r="Q1538" t="s">
        <v>27</v>
      </c>
      <c r="R1538" t="s">
        <v>28</v>
      </c>
    </row>
    <row r="1539" spans="1:20">
      <c r="A1539">
        <v>1545</v>
      </c>
      <c r="B1539" t="s">
        <v>1722</v>
      </c>
      <c r="C1539" t="s">
        <v>21</v>
      </c>
      <c r="D1539" t="s">
        <v>22</v>
      </c>
      <c r="E1539" t="s">
        <v>23</v>
      </c>
      <c r="F1539">
        <v>11200</v>
      </c>
      <c r="G1539">
        <v>19</v>
      </c>
      <c r="H1539">
        <v>13328</v>
      </c>
      <c r="I1539" t="s">
        <v>24</v>
      </c>
      <c r="J1539" t="s">
        <v>25</v>
      </c>
      <c r="K1539">
        <v>0</v>
      </c>
      <c r="L1539">
        <v>0</v>
      </c>
      <c r="M1539" t="s">
        <v>25</v>
      </c>
      <c r="N1539" t="s">
        <v>25</v>
      </c>
      <c r="O1539" t="s">
        <v>26</v>
      </c>
      <c r="P1539" t="s">
        <v>25</v>
      </c>
      <c r="Q1539" t="s">
        <v>27</v>
      </c>
      <c r="R1539" t="s">
        <v>28</v>
      </c>
    </row>
    <row r="1540" spans="1:20">
      <c r="A1540">
        <v>1546</v>
      </c>
      <c r="B1540" t="s">
        <v>1723</v>
      </c>
      <c r="C1540" t="s">
        <v>21</v>
      </c>
      <c r="D1540" t="s">
        <v>22</v>
      </c>
      <c r="E1540" t="s">
        <v>23</v>
      </c>
      <c r="F1540">
        <v>8000</v>
      </c>
      <c r="G1540">
        <v>19</v>
      </c>
      <c r="H1540">
        <v>9520</v>
      </c>
      <c r="I1540" t="s">
        <v>24</v>
      </c>
      <c r="J1540" t="s">
        <v>25</v>
      </c>
      <c r="K1540">
        <v>0</v>
      </c>
      <c r="L1540">
        <v>0</v>
      </c>
      <c r="M1540" t="s">
        <v>25</v>
      </c>
      <c r="N1540" t="s">
        <v>25</v>
      </c>
      <c r="O1540" t="s">
        <v>26</v>
      </c>
      <c r="P1540" t="s">
        <v>25</v>
      </c>
      <c r="Q1540" t="s">
        <v>27</v>
      </c>
      <c r="R1540" t="s">
        <v>28</v>
      </c>
      <c r="S1540" t="s">
        <v>51</v>
      </c>
      <c r="T1540" t="s">
        <v>1724</v>
      </c>
    </row>
    <row r="1541" spans="1:20">
      <c r="A1541">
        <v>1547</v>
      </c>
      <c r="B1541" t="s">
        <v>1725</v>
      </c>
      <c r="C1541" t="s">
        <v>21</v>
      </c>
      <c r="D1541" t="s">
        <v>22</v>
      </c>
      <c r="E1541" t="s">
        <v>23</v>
      </c>
      <c r="F1541">
        <v>15000</v>
      </c>
      <c r="G1541">
        <v>0</v>
      </c>
      <c r="H1541">
        <v>15000</v>
      </c>
      <c r="I1541" t="s">
        <v>24</v>
      </c>
      <c r="J1541" t="s">
        <v>25</v>
      </c>
      <c r="K1541">
        <v>0</v>
      </c>
      <c r="L1541">
        <v>0</v>
      </c>
      <c r="M1541" t="s">
        <v>25</v>
      </c>
      <c r="N1541" t="s">
        <v>25</v>
      </c>
      <c r="O1541" t="s">
        <v>26</v>
      </c>
      <c r="P1541" t="s">
        <v>25</v>
      </c>
      <c r="Q1541" t="s">
        <v>27</v>
      </c>
      <c r="R1541" t="s">
        <v>28</v>
      </c>
      <c r="S1541" t="s">
        <v>51</v>
      </c>
      <c r="T1541" t="s">
        <v>1724</v>
      </c>
    </row>
    <row r="1542" spans="1:20">
      <c r="A1542">
        <v>1548</v>
      </c>
      <c r="B1542" t="s">
        <v>1726</v>
      </c>
      <c r="C1542" t="s">
        <v>21</v>
      </c>
      <c r="D1542" t="s">
        <v>22</v>
      </c>
      <c r="E1542" t="s">
        <v>23</v>
      </c>
      <c r="F1542">
        <v>2500</v>
      </c>
      <c r="G1542">
        <v>19</v>
      </c>
      <c r="H1542">
        <v>2975</v>
      </c>
      <c r="I1542" t="s">
        <v>24</v>
      </c>
      <c r="J1542" t="s">
        <v>25</v>
      </c>
      <c r="K1542">
        <v>0</v>
      </c>
      <c r="L1542">
        <v>0</v>
      </c>
      <c r="M1542" t="s">
        <v>25</v>
      </c>
      <c r="N1542" t="s">
        <v>25</v>
      </c>
      <c r="O1542" t="s">
        <v>26</v>
      </c>
      <c r="P1542" t="s">
        <v>25</v>
      </c>
      <c r="Q1542" t="s">
        <v>27</v>
      </c>
      <c r="R1542" t="s">
        <v>28</v>
      </c>
    </row>
    <row r="1543" spans="1:20">
      <c r="A1543">
        <v>1549</v>
      </c>
      <c r="B1543" t="s">
        <v>1727</v>
      </c>
      <c r="C1543" t="s">
        <v>21</v>
      </c>
      <c r="D1543" t="s">
        <v>22</v>
      </c>
      <c r="E1543" t="s">
        <v>23</v>
      </c>
      <c r="F1543">
        <v>1000</v>
      </c>
      <c r="G1543">
        <v>19</v>
      </c>
      <c r="H1543">
        <v>1190</v>
      </c>
      <c r="I1543" t="s">
        <v>24</v>
      </c>
      <c r="J1543" t="s">
        <v>25</v>
      </c>
      <c r="K1543">
        <v>0</v>
      </c>
      <c r="L1543">
        <v>0</v>
      </c>
      <c r="M1543" t="s">
        <v>25</v>
      </c>
      <c r="N1543" t="s">
        <v>25</v>
      </c>
      <c r="O1543" t="s">
        <v>26</v>
      </c>
      <c r="P1543" t="s">
        <v>25</v>
      </c>
      <c r="Q1543" t="s">
        <v>27</v>
      </c>
      <c r="R1543" t="s">
        <v>28</v>
      </c>
    </row>
    <row r="1544" spans="1:20">
      <c r="A1544">
        <v>1550</v>
      </c>
      <c r="B1544" t="s">
        <v>1728</v>
      </c>
      <c r="C1544" t="s">
        <v>21</v>
      </c>
      <c r="D1544" t="s">
        <v>22</v>
      </c>
      <c r="E1544" t="s">
        <v>23</v>
      </c>
      <c r="F1544">
        <v>2000</v>
      </c>
      <c r="G1544">
        <v>19</v>
      </c>
      <c r="H1544">
        <v>2380</v>
      </c>
      <c r="I1544" t="s">
        <v>24</v>
      </c>
      <c r="J1544" t="s">
        <v>25</v>
      </c>
      <c r="K1544">
        <v>0</v>
      </c>
      <c r="L1544">
        <v>0</v>
      </c>
      <c r="M1544" t="s">
        <v>25</v>
      </c>
      <c r="N1544" t="s">
        <v>25</v>
      </c>
      <c r="O1544" t="s">
        <v>26</v>
      </c>
      <c r="P1544" t="s">
        <v>25</v>
      </c>
      <c r="Q1544" t="s">
        <v>27</v>
      </c>
      <c r="R1544" t="s">
        <v>28</v>
      </c>
    </row>
    <row r="1545" spans="1:20">
      <c r="A1545">
        <v>1551</v>
      </c>
      <c r="B1545" t="s">
        <v>1729</v>
      </c>
      <c r="C1545" t="s">
        <v>21</v>
      </c>
      <c r="D1545" t="s">
        <v>22</v>
      </c>
      <c r="E1545" t="s">
        <v>23</v>
      </c>
      <c r="F1545">
        <v>6000</v>
      </c>
      <c r="G1545">
        <v>19</v>
      </c>
      <c r="H1545">
        <v>7140</v>
      </c>
      <c r="I1545" t="s">
        <v>24</v>
      </c>
      <c r="J1545" t="s">
        <v>25</v>
      </c>
      <c r="K1545">
        <v>0</v>
      </c>
      <c r="L1545">
        <v>0</v>
      </c>
      <c r="M1545" t="s">
        <v>25</v>
      </c>
      <c r="N1545" t="s">
        <v>25</v>
      </c>
      <c r="O1545" t="s">
        <v>26</v>
      </c>
      <c r="P1545" t="s">
        <v>25</v>
      </c>
      <c r="Q1545" t="s">
        <v>27</v>
      </c>
      <c r="R1545" t="s">
        <v>28</v>
      </c>
    </row>
    <row r="1546" spans="1:20">
      <c r="A1546">
        <v>1552</v>
      </c>
      <c r="B1546" t="s">
        <v>1730</v>
      </c>
      <c r="C1546" t="s">
        <v>21</v>
      </c>
      <c r="D1546" t="s">
        <v>22</v>
      </c>
      <c r="E1546" t="s">
        <v>23</v>
      </c>
      <c r="F1546">
        <v>8400</v>
      </c>
      <c r="G1546">
        <v>19</v>
      </c>
      <c r="H1546">
        <v>9996</v>
      </c>
      <c r="I1546" t="s">
        <v>24</v>
      </c>
      <c r="J1546" t="s">
        <v>25</v>
      </c>
      <c r="K1546">
        <v>0</v>
      </c>
      <c r="L1546">
        <v>0</v>
      </c>
      <c r="M1546" t="s">
        <v>25</v>
      </c>
      <c r="N1546" t="s">
        <v>25</v>
      </c>
      <c r="O1546" t="s">
        <v>26</v>
      </c>
      <c r="P1546" t="s">
        <v>25</v>
      </c>
      <c r="Q1546" t="s">
        <v>27</v>
      </c>
      <c r="R1546" t="s">
        <v>28</v>
      </c>
    </row>
    <row r="1547" spans="1:20">
      <c r="A1547">
        <v>1553</v>
      </c>
      <c r="B1547" t="s">
        <v>1731</v>
      </c>
      <c r="C1547" t="s">
        <v>21</v>
      </c>
      <c r="D1547" t="s">
        <v>22</v>
      </c>
      <c r="E1547" t="s">
        <v>23</v>
      </c>
      <c r="F1547">
        <v>15000</v>
      </c>
      <c r="G1547">
        <v>19</v>
      </c>
      <c r="H1547">
        <v>17850</v>
      </c>
      <c r="I1547" t="s">
        <v>24</v>
      </c>
      <c r="J1547" t="s">
        <v>25</v>
      </c>
      <c r="K1547">
        <v>0</v>
      </c>
      <c r="L1547">
        <v>0</v>
      </c>
      <c r="M1547" t="s">
        <v>25</v>
      </c>
      <c r="N1547" t="s">
        <v>25</v>
      </c>
      <c r="O1547" t="s">
        <v>26</v>
      </c>
      <c r="P1547" t="s">
        <v>25</v>
      </c>
      <c r="Q1547" t="s">
        <v>27</v>
      </c>
      <c r="R1547" t="s">
        <v>28</v>
      </c>
      <c r="S1547" t="s">
        <v>51</v>
      </c>
      <c r="T1547" t="s">
        <v>892</v>
      </c>
    </row>
    <row r="1548" spans="1:20">
      <c r="A1548">
        <v>1554</v>
      </c>
      <c r="B1548" t="s">
        <v>1732</v>
      </c>
      <c r="C1548" t="s">
        <v>21</v>
      </c>
      <c r="D1548" t="s">
        <v>22</v>
      </c>
      <c r="E1548" t="s">
        <v>23</v>
      </c>
      <c r="F1548">
        <v>15700</v>
      </c>
      <c r="G1548">
        <v>19</v>
      </c>
      <c r="H1548">
        <v>18683</v>
      </c>
      <c r="I1548" t="s">
        <v>24</v>
      </c>
      <c r="J1548" t="s">
        <v>25</v>
      </c>
      <c r="K1548">
        <v>0</v>
      </c>
      <c r="L1548">
        <v>0</v>
      </c>
      <c r="M1548" t="s">
        <v>25</v>
      </c>
      <c r="N1548" t="s">
        <v>25</v>
      </c>
      <c r="O1548" t="s">
        <v>26</v>
      </c>
      <c r="P1548" t="s">
        <v>25</v>
      </c>
      <c r="Q1548" t="s">
        <v>27</v>
      </c>
      <c r="R1548" t="s">
        <v>28</v>
      </c>
    </row>
    <row r="1549" spans="1:20">
      <c r="A1549">
        <v>1555</v>
      </c>
      <c r="B1549" t="s">
        <v>1733</v>
      </c>
      <c r="C1549" t="s">
        <v>21</v>
      </c>
      <c r="D1549" t="s">
        <v>22</v>
      </c>
      <c r="E1549" t="s">
        <v>23</v>
      </c>
      <c r="F1549">
        <v>15700</v>
      </c>
      <c r="G1549">
        <v>19</v>
      </c>
      <c r="H1549">
        <v>18683</v>
      </c>
      <c r="I1549" t="s">
        <v>24</v>
      </c>
      <c r="J1549" t="s">
        <v>25</v>
      </c>
      <c r="K1549">
        <v>0</v>
      </c>
      <c r="L1549">
        <v>0</v>
      </c>
      <c r="M1549" t="s">
        <v>25</v>
      </c>
      <c r="N1549" t="s">
        <v>25</v>
      </c>
      <c r="O1549" t="s">
        <v>26</v>
      </c>
      <c r="P1549" t="s">
        <v>25</v>
      </c>
      <c r="Q1549" t="s">
        <v>27</v>
      </c>
      <c r="R1549" t="s">
        <v>28</v>
      </c>
    </row>
    <row r="1550" spans="1:20">
      <c r="A1550">
        <v>1556</v>
      </c>
      <c r="B1550" t="s">
        <v>1734</v>
      </c>
      <c r="C1550" t="s">
        <v>21</v>
      </c>
      <c r="D1550" t="s">
        <v>22</v>
      </c>
      <c r="E1550" t="s">
        <v>23</v>
      </c>
      <c r="F1550">
        <v>15000</v>
      </c>
      <c r="G1550">
        <v>19</v>
      </c>
      <c r="H1550">
        <v>17850</v>
      </c>
      <c r="I1550" t="s">
        <v>24</v>
      </c>
      <c r="J1550" t="s">
        <v>25</v>
      </c>
      <c r="K1550">
        <v>0</v>
      </c>
      <c r="L1550">
        <v>0</v>
      </c>
      <c r="M1550" t="s">
        <v>25</v>
      </c>
      <c r="N1550" t="s">
        <v>25</v>
      </c>
      <c r="O1550" t="s">
        <v>26</v>
      </c>
      <c r="P1550" t="s">
        <v>25</v>
      </c>
      <c r="Q1550" t="s">
        <v>27</v>
      </c>
      <c r="R1550" t="s">
        <v>28</v>
      </c>
    </row>
    <row r="1551" spans="1:20">
      <c r="A1551">
        <v>1557</v>
      </c>
      <c r="B1551" t="s">
        <v>1735</v>
      </c>
      <c r="C1551" t="s">
        <v>21</v>
      </c>
      <c r="D1551" t="s">
        <v>22</v>
      </c>
      <c r="E1551" t="s">
        <v>23</v>
      </c>
      <c r="F1551">
        <v>35000</v>
      </c>
      <c r="G1551">
        <v>19</v>
      </c>
      <c r="H1551">
        <v>41650</v>
      </c>
      <c r="I1551" t="s">
        <v>24</v>
      </c>
      <c r="J1551" t="s">
        <v>25</v>
      </c>
      <c r="K1551">
        <v>0</v>
      </c>
      <c r="L1551">
        <v>0</v>
      </c>
      <c r="M1551" t="s">
        <v>25</v>
      </c>
      <c r="N1551" t="s">
        <v>25</v>
      </c>
      <c r="O1551" t="s">
        <v>26</v>
      </c>
      <c r="P1551" t="s">
        <v>25</v>
      </c>
      <c r="Q1551" t="s">
        <v>27</v>
      </c>
      <c r="R1551" t="s">
        <v>28</v>
      </c>
    </row>
    <row r="1552" spans="1:20">
      <c r="A1552">
        <v>1558</v>
      </c>
      <c r="B1552" t="s">
        <v>1736</v>
      </c>
      <c r="C1552" t="s">
        <v>21</v>
      </c>
      <c r="D1552" t="s">
        <v>22</v>
      </c>
      <c r="E1552" t="s">
        <v>23</v>
      </c>
      <c r="F1552">
        <v>10000</v>
      </c>
      <c r="G1552">
        <v>19</v>
      </c>
      <c r="H1552">
        <v>11900</v>
      </c>
      <c r="I1552" t="s">
        <v>24</v>
      </c>
      <c r="J1552" t="s">
        <v>25</v>
      </c>
      <c r="K1552">
        <v>0</v>
      </c>
      <c r="L1552">
        <v>0</v>
      </c>
      <c r="M1552" t="s">
        <v>25</v>
      </c>
      <c r="N1552" t="s">
        <v>25</v>
      </c>
      <c r="O1552" t="s">
        <v>26</v>
      </c>
      <c r="P1552" t="s">
        <v>25</v>
      </c>
      <c r="Q1552" t="s">
        <v>27</v>
      </c>
      <c r="R1552" t="s">
        <v>28</v>
      </c>
    </row>
    <row r="1553" spans="1:20">
      <c r="A1553">
        <v>1559</v>
      </c>
      <c r="B1553" t="s">
        <v>1737</v>
      </c>
      <c r="C1553" t="s">
        <v>21</v>
      </c>
      <c r="D1553" t="s">
        <v>22</v>
      </c>
      <c r="E1553" t="s">
        <v>23</v>
      </c>
      <c r="F1553">
        <v>56500</v>
      </c>
      <c r="G1553">
        <v>19</v>
      </c>
      <c r="H1553">
        <v>67235</v>
      </c>
      <c r="I1553" t="s">
        <v>24</v>
      </c>
      <c r="J1553" t="s">
        <v>25</v>
      </c>
      <c r="K1553">
        <v>0</v>
      </c>
      <c r="L1553">
        <v>0</v>
      </c>
      <c r="M1553" t="s">
        <v>25</v>
      </c>
      <c r="N1553" t="s">
        <v>25</v>
      </c>
      <c r="O1553" t="s">
        <v>26</v>
      </c>
      <c r="P1553" t="s">
        <v>25</v>
      </c>
      <c r="Q1553" t="s">
        <v>27</v>
      </c>
      <c r="R1553" t="s">
        <v>28</v>
      </c>
      <c r="S1553" t="s">
        <v>51</v>
      </c>
      <c r="T1553" t="s">
        <v>334</v>
      </c>
    </row>
    <row r="1554" spans="1:20">
      <c r="A1554">
        <v>1560</v>
      </c>
      <c r="B1554" t="s">
        <v>1738</v>
      </c>
      <c r="C1554" t="s">
        <v>21</v>
      </c>
      <c r="D1554" t="s">
        <v>22</v>
      </c>
      <c r="E1554" t="s">
        <v>23</v>
      </c>
      <c r="F1554">
        <v>6200</v>
      </c>
      <c r="G1554">
        <v>19</v>
      </c>
      <c r="H1554">
        <v>7378</v>
      </c>
      <c r="I1554" t="s">
        <v>24</v>
      </c>
      <c r="J1554" t="s">
        <v>25</v>
      </c>
      <c r="K1554">
        <v>0</v>
      </c>
      <c r="L1554">
        <v>0</v>
      </c>
      <c r="M1554" t="s">
        <v>25</v>
      </c>
      <c r="N1554" t="s">
        <v>25</v>
      </c>
      <c r="O1554" t="s">
        <v>26</v>
      </c>
      <c r="P1554" t="s">
        <v>25</v>
      </c>
      <c r="Q1554" t="s">
        <v>27</v>
      </c>
      <c r="R1554" t="s">
        <v>28</v>
      </c>
    </row>
    <row r="1555" spans="1:20">
      <c r="A1555">
        <v>1561</v>
      </c>
      <c r="B1555" t="s">
        <v>1739</v>
      </c>
      <c r="C1555" t="s">
        <v>21</v>
      </c>
      <c r="D1555" t="s">
        <v>22</v>
      </c>
      <c r="E1555" t="s">
        <v>23</v>
      </c>
      <c r="F1555">
        <v>148000</v>
      </c>
      <c r="G1555">
        <v>19</v>
      </c>
      <c r="H1555">
        <v>176120</v>
      </c>
      <c r="I1555" t="s">
        <v>24</v>
      </c>
      <c r="J1555" t="s">
        <v>25</v>
      </c>
      <c r="K1555">
        <v>0</v>
      </c>
      <c r="L1555">
        <v>0</v>
      </c>
      <c r="M1555" t="s">
        <v>25</v>
      </c>
      <c r="N1555" t="s">
        <v>25</v>
      </c>
      <c r="O1555" t="s">
        <v>26</v>
      </c>
      <c r="P1555" t="s">
        <v>25</v>
      </c>
      <c r="Q1555" t="s">
        <v>27</v>
      </c>
      <c r="R1555" t="s">
        <v>28</v>
      </c>
      <c r="S1555" t="s">
        <v>51</v>
      </c>
      <c r="T1555" t="s">
        <v>334</v>
      </c>
    </row>
    <row r="1556" spans="1:20">
      <c r="A1556">
        <v>1562</v>
      </c>
      <c r="B1556" t="s">
        <v>1740</v>
      </c>
      <c r="C1556" t="s">
        <v>21</v>
      </c>
      <c r="D1556" t="s">
        <v>22</v>
      </c>
      <c r="E1556" t="s">
        <v>23</v>
      </c>
      <c r="F1556">
        <v>34300</v>
      </c>
      <c r="G1556">
        <v>19</v>
      </c>
      <c r="H1556">
        <v>40817</v>
      </c>
      <c r="I1556" t="s">
        <v>24</v>
      </c>
      <c r="J1556" t="s">
        <v>25</v>
      </c>
      <c r="K1556">
        <v>0</v>
      </c>
      <c r="L1556">
        <v>0</v>
      </c>
      <c r="M1556" t="s">
        <v>25</v>
      </c>
      <c r="N1556" t="s">
        <v>25</v>
      </c>
      <c r="O1556" t="s">
        <v>26</v>
      </c>
      <c r="P1556" t="s">
        <v>25</v>
      </c>
      <c r="Q1556" t="s">
        <v>27</v>
      </c>
      <c r="R1556" t="s">
        <v>28</v>
      </c>
    </row>
    <row r="1557" spans="1:20">
      <c r="A1557">
        <v>1563</v>
      </c>
      <c r="B1557" t="s">
        <v>1741</v>
      </c>
      <c r="C1557" t="s">
        <v>21</v>
      </c>
      <c r="D1557" t="s">
        <v>22</v>
      </c>
      <c r="E1557" t="s">
        <v>23</v>
      </c>
      <c r="F1557">
        <v>80000</v>
      </c>
      <c r="G1557">
        <v>19</v>
      </c>
      <c r="H1557">
        <v>95200</v>
      </c>
      <c r="I1557" t="s">
        <v>24</v>
      </c>
      <c r="J1557" t="s">
        <v>25</v>
      </c>
      <c r="K1557">
        <v>0</v>
      </c>
      <c r="L1557">
        <v>0</v>
      </c>
      <c r="M1557" t="s">
        <v>25</v>
      </c>
      <c r="N1557" t="s">
        <v>25</v>
      </c>
      <c r="O1557" t="s">
        <v>26</v>
      </c>
      <c r="P1557" t="s">
        <v>25</v>
      </c>
      <c r="Q1557" t="s">
        <v>27</v>
      </c>
      <c r="R1557" t="s">
        <v>28</v>
      </c>
    </row>
    <row r="1558" spans="1:20">
      <c r="A1558">
        <v>1564</v>
      </c>
      <c r="B1558" t="s">
        <v>1742</v>
      </c>
      <c r="C1558" t="s">
        <v>21</v>
      </c>
      <c r="D1558" t="s">
        <v>22</v>
      </c>
      <c r="E1558" t="s">
        <v>23</v>
      </c>
      <c r="F1558">
        <v>50000</v>
      </c>
      <c r="G1558">
        <v>19</v>
      </c>
      <c r="H1558">
        <v>59500</v>
      </c>
      <c r="I1558" t="s">
        <v>24</v>
      </c>
      <c r="J1558" t="s">
        <v>25</v>
      </c>
      <c r="K1558">
        <v>0</v>
      </c>
      <c r="L1558">
        <v>0</v>
      </c>
      <c r="M1558" t="s">
        <v>25</v>
      </c>
      <c r="N1558" t="s">
        <v>25</v>
      </c>
      <c r="O1558" t="s">
        <v>26</v>
      </c>
      <c r="P1558" t="s">
        <v>25</v>
      </c>
      <c r="Q1558" t="s">
        <v>27</v>
      </c>
      <c r="R1558" t="s">
        <v>28</v>
      </c>
    </row>
    <row r="1559" spans="1:20">
      <c r="A1559">
        <v>1565</v>
      </c>
      <c r="B1559" t="s">
        <v>1743</v>
      </c>
      <c r="C1559" t="s">
        <v>21</v>
      </c>
      <c r="D1559" t="s">
        <v>22</v>
      </c>
      <c r="E1559" t="s">
        <v>23</v>
      </c>
      <c r="F1559">
        <v>232000</v>
      </c>
      <c r="G1559">
        <v>19</v>
      </c>
      <c r="H1559">
        <v>276080</v>
      </c>
      <c r="I1559" t="s">
        <v>24</v>
      </c>
      <c r="J1559" t="s">
        <v>25</v>
      </c>
      <c r="K1559">
        <v>0</v>
      </c>
      <c r="L1559">
        <v>0</v>
      </c>
      <c r="M1559" t="s">
        <v>25</v>
      </c>
      <c r="N1559" t="s">
        <v>25</v>
      </c>
      <c r="O1559" t="s">
        <v>26</v>
      </c>
      <c r="P1559" t="s">
        <v>25</v>
      </c>
      <c r="Q1559" t="s">
        <v>27</v>
      </c>
      <c r="R1559" t="s">
        <v>28</v>
      </c>
    </row>
    <row r="1560" spans="1:20">
      <c r="A1560">
        <v>1566</v>
      </c>
      <c r="B1560" t="s">
        <v>1744</v>
      </c>
      <c r="C1560" t="s">
        <v>21</v>
      </c>
      <c r="D1560" t="s">
        <v>22</v>
      </c>
      <c r="E1560" t="s">
        <v>23</v>
      </c>
      <c r="F1560">
        <v>1000000</v>
      </c>
      <c r="G1560">
        <v>19</v>
      </c>
      <c r="H1560">
        <v>1190000</v>
      </c>
      <c r="I1560" t="s">
        <v>24</v>
      </c>
      <c r="J1560" t="s">
        <v>25</v>
      </c>
      <c r="K1560">
        <v>0</v>
      </c>
      <c r="L1560">
        <v>0</v>
      </c>
      <c r="M1560" t="s">
        <v>25</v>
      </c>
      <c r="N1560" t="s">
        <v>25</v>
      </c>
      <c r="O1560" t="s">
        <v>26</v>
      </c>
      <c r="P1560" t="s">
        <v>25</v>
      </c>
      <c r="Q1560" t="s">
        <v>27</v>
      </c>
      <c r="R1560" t="s">
        <v>28</v>
      </c>
    </row>
    <row r="1561" spans="1:20">
      <c r="A1561">
        <v>1567</v>
      </c>
      <c r="B1561" t="s">
        <v>1745</v>
      </c>
      <c r="C1561" t="s">
        <v>36</v>
      </c>
      <c r="D1561" t="s">
        <v>22</v>
      </c>
      <c r="E1561" t="s">
        <v>1746</v>
      </c>
      <c r="F1561">
        <v>630000</v>
      </c>
      <c r="G1561">
        <v>19</v>
      </c>
      <c r="H1561">
        <v>749700</v>
      </c>
      <c r="I1561" t="s">
        <v>24</v>
      </c>
      <c r="J1561" t="s">
        <v>25</v>
      </c>
      <c r="K1561">
        <v>0</v>
      </c>
      <c r="L1561">
        <v>0</v>
      </c>
      <c r="M1561" t="s">
        <v>25</v>
      </c>
      <c r="N1561" t="s">
        <v>25</v>
      </c>
      <c r="O1561" t="s">
        <v>26</v>
      </c>
      <c r="P1561" t="s">
        <v>25</v>
      </c>
      <c r="Q1561" t="s">
        <v>27</v>
      </c>
      <c r="R1561" t="s">
        <v>28</v>
      </c>
      <c r="S1561" t="s">
        <v>231</v>
      </c>
      <c r="T1561" t="s">
        <v>1747</v>
      </c>
    </row>
    <row r="1562" spans="1:20">
      <c r="A1562">
        <v>1568</v>
      </c>
      <c r="B1562" t="s">
        <v>1748</v>
      </c>
      <c r="C1562" t="s">
        <v>21</v>
      </c>
      <c r="D1562" t="s">
        <v>22</v>
      </c>
      <c r="E1562" t="s">
        <v>23</v>
      </c>
      <c r="F1562">
        <v>1950</v>
      </c>
      <c r="G1562">
        <v>19</v>
      </c>
      <c r="H1562">
        <v>2321</v>
      </c>
      <c r="I1562" t="s">
        <v>24</v>
      </c>
      <c r="J1562" t="s">
        <v>25</v>
      </c>
      <c r="K1562">
        <v>0</v>
      </c>
      <c r="L1562">
        <v>0</v>
      </c>
      <c r="M1562" t="s">
        <v>25</v>
      </c>
      <c r="N1562" t="s">
        <v>25</v>
      </c>
      <c r="O1562" t="s">
        <v>26</v>
      </c>
      <c r="P1562" t="s">
        <v>25</v>
      </c>
      <c r="Q1562" t="s">
        <v>27</v>
      </c>
      <c r="R1562" t="s">
        <v>28</v>
      </c>
      <c r="S1562" t="s">
        <v>51</v>
      </c>
      <c r="T1562" t="s">
        <v>334</v>
      </c>
    </row>
    <row r="1563" spans="1:20">
      <c r="A1563">
        <v>1569</v>
      </c>
      <c r="B1563" t="s">
        <v>1749</v>
      </c>
      <c r="C1563" t="s">
        <v>21</v>
      </c>
      <c r="D1563" t="s">
        <v>22</v>
      </c>
      <c r="E1563" t="s">
        <v>570</v>
      </c>
      <c r="F1563">
        <v>100000</v>
      </c>
      <c r="G1563">
        <v>19</v>
      </c>
      <c r="H1563">
        <v>119000</v>
      </c>
      <c r="I1563" t="s">
        <v>24</v>
      </c>
      <c r="J1563" t="s">
        <v>25</v>
      </c>
      <c r="K1563">
        <v>0</v>
      </c>
      <c r="L1563">
        <v>0</v>
      </c>
      <c r="M1563" t="s">
        <v>25</v>
      </c>
      <c r="N1563" t="s">
        <v>25</v>
      </c>
      <c r="O1563" t="s">
        <v>26</v>
      </c>
      <c r="P1563" t="s">
        <v>25</v>
      </c>
      <c r="Q1563" t="s">
        <v>27</v>
      </c>
      <c r="R1563" t="s">
        <v>28</v>
      </c>
    </row>
    <row r="1564" spans="1:20">
      <c r="A1564">
        <v>1570</v>
      </c>
      <c r="B1564" t="s">
        <v>1750</v>
      </c>
      <c r="C1564" t="s">
        <v>21</v>
      </c>
      <c r="D1564" t="s">
        <v>22</v>
      </c>
      <c r="E1564" t="s">
        <v>570</v>
      </c>
      <c r="F1564">
        <v>629370</v>
      </c>
      <c r="G1564">
        <v>19</v>
      </c>
      <c r="H1564">
        <v>777000</v>
      </c>
      <c r="I1564" t="s">
        <v>24</v>
      </c>
      <c r="J1564" t="s">
        <v>25</v>
      </c>
      <c r="K1564">
        <v>0</v>
      </c>
      <c r="L1564">
        <v>0</v>
      </c>
      <c r="M1564" t="s">
        <v>25</v>
      </c>
      <c r="N1564" t="s">
        <v>25</v>
      </c>
      <c r="O1564" t="s">
        <v>26</v>
      </c>
      <c r="P1564" t="s">
        <v>25</v>
      </c>
      <c r="Q1564" t="s">
        <v>27</v>
      </c>
      <c r="R1564" t="s">
        <v>28</v>
      </c>
      <c r="S1564" t="s">
        <v>27</v>
      </c>
    </row>
    <row r="1565" spans="1:20">
      <c r="A1565">
        <v>1571</v>
      </c>
      <c r="B1565" t="s">
        <v>1751</v>
      </c>
      <c r="C1565" t="s">
        <v>21</v>
      </c>
      <c r="D1565" t="s">
        <v>22</v>
      </c>
      <c r="E1565" t="s">
        <v>570</v>
      </c>
      <c r="F1565">
        <v>431568</v>
      </c>
      <c r="G1565">
        <v>19</v>
      </c>
      <c r="H1565">
        <v>532800</v>
      </c>
      <c r="I1565" t="s">
        <v>24</v>
      </c>
      <c r="J1565" t="s">
        <v>25</v>
      </c>
      <c r="K1565">
        <v>0</v>
      </c>
      <c r="L1565">
        <v>0</v>
      </c>
      <c r="M1565" t="s">
        <v>25</v>
      </c>
      <c r="N1565" t="s">
        <v>25</v>
      </c>
      <c r="O1565" t="s">
        <v>26</v>
      </c>
      <c r="P1565" t="s">
        <v>25</v>
      </c>
      <c r="Q1565" t="s">
        <v>27</v>
      </c>
      <c r="R1565" t="s">
        <v>28</v>
      </c>
      <c r="S1565" t="s">
        <v>27</v>
      </c>
    </row>
    <row r="1566" spans="1:20">
      <c r="A1566">
        <v>1572</v>
      </c>
      <c r="B1566" t="s">
        <v>1752</v>
      </c>
      <c r="C1566" t="s">
        <v>21</v>
      </c>
      <c r="D1566" t="s">
        <v>22</v>
      </c>
      <c r="E1566" t="s">
        <v>570</v>
      </c>
      <c r="F1566">
        <v>1258740</v>
      </c>
      <c r="G1566">
        <v>19</v>
      </c>
      <c r="H1566">
        <v>1554000</v>
      </c>
      <c r="I1566" t="s">
        <v>24</v>
      </c>
      <c r="J1566" t="s">
        <v>25</v>
      </c>
      <c r="K1566">
        <v>0</v>
      </c>
      <c r="L1566">
        <v>0</v>
      </c>
      <c r="M1566" t="s">
        <v>25</v>
      </c>
      <c r="N1566" t="s">
        <v>25</v>
      </c>
      <c r="O1566" t="s">
        <v>26</v>
      </c>
      <c r="P1566" t="s">
        <v>25</v>
      </c>
      <c r="Q1566" t="s">
        <v>27</v>
      </c>
      <c r="R1566" t="s">
        <v>28</v>
      </c>
      <c r="S1566" t="s">
        <v>27</v>
      </c>
    </row>
    <row r="1567" spans="1:20">
      <c r="A1567">
        <v>1573</v>
      </c>
      <c r="B1567" t="s">
        <v>1753</v>
      </c>
      <c r="C1567" t="s">
        <v>21</v>
      </c>
      <c r="D1567" t="s">
        <v>22</v>
      </c>
      <c r="E1567" t="s">
        <v>570</v>
      </c>
      <c r="F1567">
        <v>150000</v>
      </c>
      <c r="G1567">
        <v>19</v>
      </c>
      <c r="H1567">
        <v>178500</v>
      </c>
      <c r="I1567" t="s">
        <v>24</v>
      </c>
      <c r="J1567" t="s">
        <v>25</v>
      </c>
      <c r="K1567">
        <v>0</v>
      </c>
      <c r="L1567">
        <v>0</v>
      </c>
      <c r="M1567" t="s">
        <v>25</v>
      </c>
      <c r="N1567" t="s">
        <v>25</v>
      </c>
      <c r="O1567" t="s">
        <v>26</v>
      </c>
      <c r="P1567" t="s">
        <v>25</v>
      </c>
      <c r="Q1567" t="s">
        <v>27</v>
      </c>
      <c r="R1567" t="s">
        <v>28</v>
      </c>
    </row>
    <row r="1568" spans="1:20">
      <c r="A1568">
        <v>1574</v>
      </c>
      <c r="B1568" t="s">
        <v>1754</v>
      </c>
      <c r="C1568" t="s">
        <v>21</v>
      </c>
      <c r="D1568" t="s">
        <v>22</v>
      </c>
      <c r="E1568" t="s">
        <v>37</v>
      </c>
      <c r="F1568">
        <v>980019</v>
      </c>
      <c r="G1568">
        <v>19</v>
      </c>
      <c r="H1568">
        <v>1209900</v>
      </c>
      <c r="I1568" t="s">
        <v>24</v>
      </c>
      <c r="J1568" t="s">
        <v>25</v>
      </c>
      <c r="K1568">
        <v>0</v>
      </c>
      <c r="L1568">
        <v>0</v>
      </c>
      <c r="M1568" t="s">
        <v>25</v>
      </c>
      <c r="N1568" t="s">
        <v>25</v>
      </c>
      <c r="O1568" t="s">
        <v>26</v>
      </c>
      <c r="P1568" t="s">
        <v>25</v>
      </c>
      <c r="Q1568" t="s">
        <v>27</v>
      </c>
      <c r="R1568" t="s">
        <v>28</v>
      </c>
      <c r="S1568" t="s">
        <v>231</v>
      </c>
      <c r="T1568" t="s">
        <v>1755</v>
      </c>
    </row>
    <row r="1569" spans="1:20">
      <c r="A1569">
        <v>1575</v>
      </c>
      <c r="B1569" t="s">
        <v>1756</v>
      </c>
      <c r="C1569" t="s">
        <v>21</v>
      </c>
      <c r="D1569" t="s">
        <v>22</v>
      </c>
      <c r="E1569" t="s">
        <v>570</v>
      </c>
      <c r="F1569">
        <v>1258740</v>
      </c>
      <c r="G1569">
        <v>19</v>
      </c>
      <c r="H1569">
        <v>1554000</v>
      </c>
      <c r="I1569" t="s">
        <v>24</v>
      </c>
      <c r="J1569" t="s">
        <v>25</v>
      </c>
      <c r="K1569">
        <v>0</v>
      </c>
      <c r="L1569">
        <v>0</v>
      </c>
      <c r="M1569" t="s">
        <v>25</v>
      </c>
      <c r="N1569" t="s">
        <v>25</v>
      </c>
      <c r="O1569" t="s">
        <v>26</v>
      </c>
      <c r="P1569" t="s">
        <v>25</v>
      </c>
      <c r="Q1569" t="s">
        <v>27</v>
      </c>
      <c r="R1569" t="s">
        <v>28</v>
      </c>
      <c r="S1569" t="s">
        <v>27</v>
      </c>
      <c r="T1569" t="s">
        <v>557</v>
      </c>
    </row>
    <row r="1570" spans="1:20">
      <c r="A1570">
        <v>1576</v>
      </c>
      <c r="B1570" t="s">
        <v>1757</v>
      </c>
      <c r="C1570" t="s">
        <v>21</v>
      </c>
      <c r="D1570" t="s">
        <v>22</v>
      </c>
      <c r="E1570" t="s">
        <v>23</v>
      </c>
      <c r="F1570">
        <v>161830</v>
      </c>
      <c r="G1570">
        <v>19</v>
      </c>
      <c r="H1570">
        <v>192578</v>
      </c>
      <c r="I1570" t="s">
        <v>24</v>
      </c>
      <c r="J1570" t="s">
        <v>25</v>
      </c>
      <c r="K1570">
        <v>0</v>
      </c>
      <c r="L1570">
        <v>0</v>
      </c>
      <c r="M1570" t="s">
        <v>25</v>
      </c>
      <c r="N1570" t="s">
        <v>25</v>
      </c>
      <c r="O1570" t="s">
        <v>26</v>
      </c>
      <c r="P1570" t="s">
        <v>25</v>
      </c>
      <c r="Q1570" t="s">
        <v>27</v>
      </c>
      <c r="R1570" t="s">
        <v>28</v>
      </c>
    </row>
    <row r="1571" spans="1:20">
      <c r="A1571">
        <v>1577</v>
      </c>
      <c r="B1571" t="s">
        <v>1758</v>
      </c>
      <c r="C1571" t="s">
        <v>21</v>
      </c>
      <c r="D1571" t="s">
        <v>283</v>
      </c>
      <c r="E1571" t="s">
        <v>23</v>
      </c>
      <c r="F1571">
        <v>161830</v>
      </c>
      <c r="G1571">
        <v>19</v>
      </c>
      <c r="H1571">
        <v>192578</v>
      </c>
      <c r="I1571" t="s">
        <v>24</v>
      </c>
      <c r="J1571" t="s">
        <v>25</v>
      </c>
      <c r="K1571">
        <v>0</v>
      </c>
      <c r="L1571">
        <v>0</v>
      </c>
      <c r="M1571" t="s">
        <v>25</v>
      </c>
      <c r="N1571" t="s">
        <v>25</v>
      </c>
      <c r="O1571" t="s">
        <v>26</v>
      </c>
      <c r="P1571" t="s">
        <v>25</v>
      </c>
      <c r="Q1571" t="s">
        <v>27</v>
      </c>
      <c r="R1571" t="s">
        <v>28</v>
      </c>
    </row>
    <row r="1572" spans="1:20">
      <c r="A1572">
        <v>1578</v>
      </c>
      <c r="B1572" t="s">
        <v>1759</v>
      </c>
      <c r="C1572" t="s">
        <v>21</v>
      </c>
      <c r="D1572" t="s">
        <v>22</v>
      </c>
      <c r="E1572" t="s">
        <v>23</v>
      </c>
      <c r="F1572">
        <v>50000</v>
      </c>
      <c r="G1572">
        <v>19</v>
      </c>
      <c r="H1572">
        <v>59500</v>
      </c>
      <c r="I1572" t="s">
        <v>24</v>
      </c>
      <c r="J1572" t="s">
        <v>25</v>
      </c>
      <c r="K1572">
        <v>0</v>
      </c>
      <c r="L1572">
        <v>0</v>
      </c>
      <c r="M1572" t="s">
        <v>25</v>
      </c>
      <c r="N1572" t="s">
        <v>25</v>
      </c>
      <c r="O1572" t="s">
        <v>26</v>
      </c>
      <c r="P1572" t="s">
        <v>25</v>
      </c>
      <c r="Q1572" t="s">
        <v>27</v>
      </c>
      <c r="R1572" t="s">
        <v>28</v>
      </c>
    </row>
    <row r="1573" spans="1:20">
      <c r="A1573">
        <v>1579</v>
      </c>
      <c r="B1573" t="s">
        <v>1760</v>
      </c>
      <c r="C1573" t="s">
        <v>21</v>
      </c>
      <c r="D1573" t="s">
        <v>22</v>
      </c>
      <c r="E1573" t="s">
        <v>23</v>
      </c>
      <c r="F1573">
        <v>161832</v>
      </c>
      <c r="G1573">
        <v>19</v>
      </c>
      <c r="H1573">
        <v>192580.08</v>
      </c>
      <c r="I1573" t="s">
        <v>24</v>
      </c>
      <c r="J1573" t="s">
        <v>25</v>
      </c>
      <c r="K1573">
        <v>0</v>
      </c>
      <c r="L1573">
        <v>0</v>
      </c>
      <c r="M1573" t="s">
        <v>25</v>
      </c>
      <c r="N1573" t="s">
        <v>25</v>
      </c>
      <c r="O1573" t="s">
        <v>26</v>
      </c>
      <c r="P1573" t="s">
        <v>25</v>
      </c>
      <c r="Q1573" t="s">
        <v>27</v>
      </c>
      <c r="R1573" t="s">
        <v>28</v>
      </c>
      <c r="S1573" t="s">
        <v>51</v>
      </c>
      <c r="T1573" t="s">
        <v>334</v>
      </c>
    </row>
    <row r="1574" spans="1:20">
      <c r="A1574">
        <v>1580</v>
      </c>
      <c r="B1574" t="s">
        <v>1761</v>
      </c>
      <c r="C1574" t="s">
        <v>21</v>
      </c>
      <c r="D1574" t="s">
        <v>22</v>
      </c>
      <c r="E1574" t="s">
        <v>23</v>
      </c>
      <c r="F1574">
        <v>245000</v>
      </c>
      <c r="G1574">
        <v>19</v>
      </c>
      <c r="H1574">
        <v>291550</v>
      </c>
      <c r="I1574" t="s">
        <v>24</v>
      </c>
      <c r="J1574" t="s">
        <v>25</v>
      </c>
      <c r="K1574">
        <v>0</v>
      </c>
      <c r="L1574">
        <v>0</v>
      </c>
      <c r="M1574" t="s">
        <v>25</v>
      </c>
      <c r="N1574" t="s">
        <v>25</v>
      </c>
      <c r="O1574" t="s">
        <v>26</v>
      </c>
      <c r="P1574" t="s">
        <v>25</v>
      </c>
      <c r="Q1574" t="s">
        <v>27</v>
      </c>
      <c r="R1574" t="s">
        <v>28</v>
      </c>
      <c r="S1574" t="s">
        <v>51</v>
      </c>
      <c r="T1574" t="s">
        <v>1762</v>
      </c>
    </row>
    <row r="1575" spans="1:20">
      <c r="A1575">
        <v>1581</v>
      </c>
      <c r="B1575" t="s">
        <v>1763</v>
      </c>
      <c r="C1575" t="s">
        <v>21</v>
      </c>
      <c r="D1575" t="s">
        <v>22</v>
      </c>
      <c r="E1575" t="s">
        <v>23</v>
      </c>
      <c r="F1575">
        <v>475000</v>
      </c>
      <c r="G1575">
        <v>19</v>
      </c>
      <c r="H1575">
        <v>565250</v>
      </c>
      <c r="I1575" t="s">
        <v>24</v>
      </c>
      <c r="J1575" t="s">
        <v>25</v>
      </c>
      <c r="K1575">
        <v>0</v>
      </c>
      <c r="L1575">
        <v>0</v>
      </c>
      <c r="M1575" t="s">
        <v>25</v>
      </c>
      <c r="N1575" t="s">
        <v>25</v>
      </c>
      <c r="O1575" t="s">
        <v>26</v>
      </c>
      <c r="P1575" t="s">
        <v>25</v>
      </c>
      <c r="Q1575" t="s">
        <v>27</v>
      </c>
      <c r="R1575" t="s">
        <v>28</v>
      </c>
    </row>
    <row r="1576" spans="1:20">
      <c r="A1576">
        <v>1582</v>
      </c>
      <c r="B1576" t="s">
        <v>1764</v>
      </c>
      <c r="C1576" t="s">
        <v>21</v>
      </c>
      <c r="D1576" t="s">
        <v>22</v>
      </c>
      <c r="E1576" t="s">
        <v>23</v>
      </c>
      <c r="F1576">
        <v>475000</v>
      </c>
      <c r="G1576">
        <v>19</v>
      </c>
      <c r="H1576">
        <v>565250</v>
      </c>
      <c r="I1576" t="s">
        <v>24</v>
      </c>
      <c r="J1576" t="s">
        <v>25</v>
      </c>
      <c r="K1576">
        <v>0</v>
      </c>
      <c r="L1576">
        <v>0</v>
      </c>
      <c r="M1576" t="s">
        <v>25</v>
      </c>
      <c r="N1576" t="s">
        <v>25</v>
      </c>
      <c r="O1576" t="s">
        <v>26</v>
      </c>
      <c r="P1576" t="s">
        <v>25</v>
      </c>
      <c r="Q1576" t="s">
        <v>27</v>
      </c>
      <c r="R1576" t="s">
        <v>28</v>
      </c>
      <c r="S1576" t="s">
        <v>51</v>
      </c>
      <c r="T1576" t="s">
        <v>1762</v>
      </c>
    </row>
    <row r="1577" spans="1:20">
      <c r="A1577">
        <v>1583</v>
      </c>
      <c r="B1577" t="s">
        <v>1765</v>
      </c>
      <c r="C1577" t="s">
        <v>21</v>
      </c>
      <c r="D1577" t="s">
        <v>22</v>
      </c>
      <c r="E1577" t="s">
        <v>23</v>
      </c>
      <c r="F1577">
        <v>360000</v>
      </c>
      <c r="G1577">
        <v>19</v>
      </c>
      <c r="H1577">
        <v>428400</v>
      </c>
      <c r="I1577" t="s">
        <v>24</v>
      </c>
      <c r="J1577" t="s">
        <v>25</v>
      </c>
      <c r="K1577">
        <v>0</v>
      </c>
      <c r="L1577">
        <v>0</v>
      </c>
      <c r="M1577" t="s">
        <v>25</v>
      </c>
      <c r="N1577" t="s">
        <v>25</v>
      </c>
      <c r="O1577" t="s">
        <v>26</v>
      </c>
      <c r="P1577" t="s">
        <v>25</v>
      </c>
      <c r="Q1577" t="s">
        <v>27</v>
      </c>
      <c r="R1577" t="s">
        <v>28</v>
      </c>
      <c r="S1577" t="s">
        <v>51</v>
      </c>
      <c r="T1577" t="s">
        <v>1762</v>
      </c>
    </row>
    <row r="1578" spans="1:20">
      <c r="A1578">
        <v>1584</v>
      </c>
      <c r="B1578" t="s">
        <v>1766</v>
      </c>
      <c r="C1578" t="s">
        <v>21</v>
      </c>
      <c r="D1578" t="s">
        <v>22</v>
      </c>
      <c r="E1578" t="s">
        <v>23</v>
      </c>
      <c r="F1578">
        <v>57000</v>
      </c>
      <c r="G1578">
        <v>19</v>
      </c>
      <c r="H1578">
        <v>67830</v>
      </c>
      <c r="I1578" t="s">
        <v>24</v>
      </c>
      <c r="J1578" t="s">
        <v>25</v>
      </c>
      <c r="K1578">
        <v>0</v>
      </c>
      <c r="L1578">
        <v>0</v>
      </c>
      <c r="M1578" t="s">
        <v>25</v>
      </c>
      <c r="N1578" t="s">
        <v>25</v>
      </c>
      <c r="O1578" t="s">
        <v>26</v>
      </c>
      <c r="P1578" t="s">
        <v>25</v>
      </c>
      <c r="Q1578" t="s">
        <v>27</v>
      </c>
      <c r="R1578" t="s">
        <v>28</v>
      </c>
    </row>
    <row r="1579" spans="1:20">
      <c r="A1579">
        <v>1585</v>
      </c>
      <c r="B1579" t="s">
        <v>1767</v>
      </c>
      <c r="C1579" t="s">
        <v>21</v>
      </c>
      <c r="D1579" t="s">
        <v>22</v>
      </c>
      <c r="E1579" t="s">
        <v>23</v>
      </c>
      <c r="F1579">
        <v>30000</v>
      </c>
      <c r="G1579">
        <v>19</v>
      </c>
      <c r="H1579">
        <v>35700</v>
      </c>
      <c r="I1579" t="s">
        <v>24</v>
      </c>
      <c r="J1579" t="s">
        <v>25</v>
      </c>
      <c r="K1579">
        <v>0</v>
      </c>
      <c r="L1579">
        <v>0</v>
      </c>
      <c r="M1579" t="s">
        <v>25</v>
      </c>
      <c r="N1579" t="s">
        <v>25</v>
      </c>
      <c r="O1579" t="s">
        <v>26</v>
      </c>
      <c r="P1579" t="s">
        <v>25</v>
      </c>
      <c r="Q1579" t="s">
        <v>27</v>
      </c>
      <c r="R1579" t="s">
        <v>28</v>
      </c>
    </row>
    <row r="1580" spans="1:20">
      <c r="A1580">
        <v>1586</v>
      </c>
      <c r="B1580" t="s">
        <v>1768</v>
      </c>
      <c r="C1580" t="s">
        <v>21</v>
      </c>
      <c r="D1580" t="s">
        <v>22</v>
      </c>
      <c r="E1580" t="s">
        <v>23</v>
      </c>
      <c r="F1580">
        <v>45000</v>
      </c>
      <c r="G1580">
        <v>19</v>
      </c>
      <c r="H1580">
        <v>53550</v>
      </c>
      <c r="I1580" t="s">
        <v>24</v>
      </c>
      <c r="J1580" t="s">
        <v>25</v>
      </c>
      <c r="K1580">
        <v>0</v>
      </c>
      <c r="L1580">
        <v>0</v>
      </c>
      <c r="M1580" t="s">
        <v>25</v>
      </c>
      <c r="N1580" t="s">
        <v>25</v>
      </c>
      <c r="O1580" t="s">
        <v>26</v>
      </c>
      <c r="P1580" t="s">
        <v>25</v>
      </c>
      <c r="Q1580" t="s">
        <v>27</v>
      </c>
      <c r="R1580" t="s">
        <v>28</v>
      </c>
    </row>
    <row r="1581" spans="1:20">
      <c r="A1581">
        <v>1587</v>
      </c>
      <c r="B1581" t="s">
        <v>1769</v>
      </c>
      <c r="C1581" t="s">
        <v>21</v>
      </c>
      <c r="D1581" t="s">
        <v>22</v>
      </c>
      <c r="E1581" t="s">
        <v>23</v>
      </c>
      <c r="F1581">
        <v>670000</v>
      </c>
      <c r="G1581">
        <v>19</v>
      </c>
      <c r="H1581">
        <v>797300</v>
      </c>
      <c r="I1581" t="s">
        <v>24</v>
      </c>
      <c r="J1581" t="s">
        <v>25</v>
      </c>
      <c r="K1581">
        <v>0</v>
      </c>
      <c r="L1581">
        <v>0</v>
      </c>
      <c r="M1581" t="s">
        <v>25</v>
      </c>
      <c r="N1581" t="s">
        <v>25</v>
      </c>
      <c r="O1581" t="s">
        <v>26</v>
      </c>
      <c r="P1581" t="s">
        <v>25</v>
      </c>
      <c r="Q1581" t="s">
        <v>27</v>
      </c>
      <c r="R1581" t="s">
        <v>28</v>
      </c>
    </row>
    <row r="1582" spans="1:20">
      <c r="A1582">
        <v>1588</v>
      </c>
      <c r="B1582" t="s">
        <v>1770</v>
      </c>
      <c r="C1582" t="s">
        <v>21</v>
      </c>
      <c r="D1582" t="s">
        <v>22</v>
      </c>
      <c r="E1582" t="s">
        <v>23</v>
      </c>
      <c r="F1582">
        <v>145000</v>
      </c>
      <c r="G1582">
        <v>19</v>
      </c>
      <c r="H1582">
        <v>172550</v>
      </c>
      <c r="I1582" t="s">
        <v>24</v>
      </c>
      <c r="J1582" t="s">
        <v>25</v>
      </c>
      <c r="K1582">
        <v>0</v>
      </c>
      <c r="L1582">
        <v>0</v>
      </c>
      <c r="M1582" t="s">
        <v>25</v>
      </c>
      <c r="N1582" t="s">
        <v>25</v>
      </c>
      <c r="O1582" t="s">
        <v>26</v>
      </c>
      <c r="P1582" t="s">
        <v>25</v>
      </c>
      <c r="Q1582" t="s">
        <v>27</v>
      </c>
      <c r="R1582" t="s">
        <v>28</v>
      </c>
    </row>
    <row r="1583" spans="1:20">
      <c r="A1583">
        <v>1589</v>
      </c>
      <c r="B1583" t="s">
        <v>1771</v>
      </c>
      <c r="C1583" t="s">
        <v>21</v>
      </c>
      <c r="D1583" t="s">
        <v>22</v>
      </c>
      <c r="E1583" t="s">
        <v>23</v>
      </c>
      <c r="F1583">
        <v>49000</v>
      </c>
      <c r="G1583">
        <v>19</v>
      </c>
      <c r="H1583">
        <v>58310</v>
      </c>
      <c r="I1583" t="s">
        <v>24</v>
      </c>
      <c r="J1583" t="s">
        <v>25</v>
      </c>
      <c r="K1583">
        <v>0</v>
      </c>
      <c r="L1583">
        <v>0</v>
      </c>
      <c r="M1583" t="s">
        <v>25</v>
      </c>
      <c r="N1583" t="s">
        <v>25</v>
      </c>
      <c r="O1583" t="s">
        <v>26</v>
      </c>
      <c r="P1583" t="s">
        <v>25</v>
      </c>
      <c r="Q1583" t="s">
        <v>27</v>
      </c>
      <c r="R1583" t="s">
        <v>28</v>
      </c>
    </row>
    <row r="1584" spans="1:20">
      <c r="A1584">
        <v>1590</v>
      </c>
      <c r="B1584" t="s">
        <v>1772</v>
      </c>
      <c r="C1584" t="s">
        <v>21</v>
      </c>
      <c r="D1584" t="s">
        <v>851</v>
      </c>
      <c r="E1584" t="s">
        <v>23</v>
      </c>
      <c r="F1584">
        <v>9800</v>
      </c>
      <c r="G1584">
        <v>19</v>
      </c>
      <c r="H1584">
        <v>11662</v>
      </c>
      <c r="I1584" t="s">
        <v>24</v>
      </c>
      <c r="J1584" t="s">
        <v>25</v>
      </c>
      <c r="K1584">
        <v>0</v>
      </c>
      <c r="L1584">
        <v>0</v>
      </c>
      <c r="M1584" t="s">
        <v>25</v>
      </c>
      <c r="N1584" t="s">
        <v>25</v>
      </c>
      <c r="O1584" t="s">
        <v>26</v>
      </c>
      <c r="P1584" t="s">
        <v>25</v>
      </c>
      <c r="Q1584" t="s">
        <v>27</v>
      </c>
      <c r="R1584" t="s">
        <v>28</v>
      </c>
    </row>
    <row r="1585" spans="1:20">
      <c r="A1585">
        <v>1591</v>
      </c>
      <c r="B1585" t="s">
        <v>1773</v>
      </c>
      <c r="C1585" t="s">
        <v>21</v>
      </c>
      <c r="D1585" t="s">
        <v>22</v>
      </c>
      <c r="E1585" t="s">
        <v>23</v>
      </c>
      <c r="F1585">
        <v>340000</v>
      </c>
      <c r="G1585">
        <v>19</v>
      </c>
      <c r="H1585">
        <v>404600</v>
      </c>
      <c r="I1585" t="s">
        <v>24</v>
      </c>
      <c r="J1585" t="s">
        <v>25</v>
      </c>
      <c r="K1585">
        <v>0</v>
      </c>
      <c r="L1585">
        <v>0</v>
      </c>
      <c r="M1585" t="s">
        <v>25</v>
      </c>
      <c r="N1585" t="s">
        <v>25</v>
      </c>
      <c r="O1585" t="s">
        <v>26</v>
      </c>
      <c r="P1585" t="s">
        <v>25</v>
      </c>
      <c r="Q1585" t="s">
        <v>27</v>
      </c>
      <c r="R1585" t="s">
        <v>28</v>
      </c>
    </row>
    <row r="1586" spans="1:20">
      <c r="A1586">
        <v>1592</v>
      </c>
      <c r="B1586" t="s">
        <v>1774</v>
      </c>
      <c r="C1586" t="s">
        <v>21</v>
      </c>
      <c r="D1586" t="s">
        <v>22</v>
      </c>
      <c r="E1586" t="s">
        <v>23</v>
      </c>
      <c r="F1586">
        <v>350000</v>
      </c>
      <c r="G1586">
        <v>19</v>
      </c>
      <c r="H1586">
        <v>416500</v>
      </c>
      <c r="I1586" t="s">
        <v>24</v>
      </c>
      <c r="J1586" t="s">
        <v>25</v>
      </c>
      <c r="K1586">
        <v>0</v>
      </c>
      <c r="L1586">
        <v>0</v>
      </c>
      <c r="M1586" t="s">
        <v>25</v>
      </c>
      <c r="N1586" t="s">
        <v>25</v>
      </c>
      <c r="O1586" t="s">
        <v>26</v>
      </c>
      <c r="P1586" t="s">
        <v>25</v>
      </c>
      <c r="Q1586" t="s">
        <v>27</v>
      </c>
      <c r="R1586" t="s">
        <v>28</v>
      </c>
    </row>
    <row r="1587" spans="1:20">
      <c r="A1587">
        <v>1593</v>
      </c>
      <c r="B1587" t="s">
        <v>1775</v>
      </c>
      <c r="C1587" t="s">
        <v>21</v>
      </c>
      <c r="D1587" t="s">
        <v>22</v>
      </c>
      <c r="E1587" t="s">
        <v>23</v>
      </c>
      <c r="F1587">
        <v>300000</v>
      </c>
      <c r="G1587">
        <v>19</v>
      </c>
      <c r="H1587">
        <v>357000</v>
      </c>
      <c r="I1587" t="s">
        <v>24</v>
      </c>
      <c r="J1587" t="s">
        <v>25</v>
      </c>
      <c r="K1587">
        <v>0</v>
      </c>
      <c r="L1587">
        <v>0</v>
      </c>
      <c r="M1587" t="s">
        <v>25</v>
      </c>
      <c r="N1587" t="s">
        <v>25</v>
      </c>
      <c r="O1587" t="s">
        <v>26</v>
      </c>
      <c r="P1587" t="s">
        <v>25</v>
      </c>
      <c r="Q1587" t="s">
        <v>27</v>
      </c>
      <c r="R1587" t="s">
        <v>28</v>
      </c>
    </row>
    <row r="1588" spans="1:20">
      <c r="A1588">
        <v>1594</v>
      </c>
      <c r="B1588" t="s">
        <v>1776</v>
      </c>
      <c r="C1588" t="s">
        <v>21</v>
      </c>
      <c r="D1588" t="s">
        <v>22</v>
      </c>
      <c r="E1588" t="s">
        <v>23</v>
      </c>
      <c r="F1588">
        <v>900000</v>
      </c>
      <c r="G1588">
        <v>19</v>
      </c>
      <c r="H1588">
        <v>1071000</v>
      </c>
      <c r="I1588" t="s">
        <v>24</v>
      </c>
      <c r="J1588" t="s">
        <v>25</v>
      </c>
      <c r="K1588">
        <v>0</v>
      </c>
      <c r="L1588">
        <v>0</v>
      </c>
      <c r="M1588" t="s">
        <v>25</v>
      </c>
      <c r="N1588" t="s">
        <v>25</v>
      </c>
      <c r="O1588" t="s">
        <v>26</v>
      </c>
      <c r="P1588" t="s">
        <v>25</v>
      </c>
      <c r="Q1588" t="s">
        <v>27</v>
      </c>
      <c r="R1588" t="s">
        <v>28</v>
      </c>
    </row>
    <row r="1589" spans="1:20">
      <c r="A1589">
        <v>1595</v>
      </c>
      <c r="B1589" t="s">
        <v>1777</v>
      </c>
      <c r="C1589" t="s">
        <v>21</v>
      </c>
      <c r="D1589" t="s">
        <v>22</v>
      </c>
      <c r="E1589" t="s">
        <v>23</v>
      </c>
      <c r="F1589">
        <v>350000</v>
      </c>
      <c r="G1589">
        <v>19</v>
      </c>
      <c r="H1589">
        <v>416500</v>
      </c>
      <c r="I1589" t="s">
        <v>24</v>
      </c>
      <c r="J1589" t="s">
        <v>25</v>
      </c>
      <c r="K1589">
        <v>0</v>
      </c>
      <c r="L1589">
        <v>0</v>
      </c>
      <c r="M1589" t="s">
        <v>25</v>
      </c>
      <c r="N1589" t="s">
        <v>25</v>
      </c>
      <c r="O1589" t="s">
        <v>26</v>
      </c>
      <c r="P1589" t="s">
        <v>25</v>
      </c>
      <c r="Q1589" t="s">
        <v>27</v>
      </c>
      <c r="R1589" t="s">
        <v>28</v>
      </c>
    </row>
    <row r="1590" spans="1:20">
      <c r="A1590">
        <v>1596</v>
      </c>
      <c r="B1590" t="s">
        <v>1778</v>
      </c>
      <c r="C1590" t="s">
        <v>21</v>
      </c>
      <c r="D1590" t="s">
        <v>22</v>
      </c>
      <c r="E1590" t="s">
        <v>23</v>
      </c>
      <c r="F1590">
        <v>350000</v>
      </c>
      <c r="G1590">
        <v>19</v>
      </c>
      <c r="H1590">
        <v>416500</v>
      </c>
      <c r="I1590" t="s">
        <v>24</v>
      </c>
      <c r="J1590" t="s">
        <v>25</v>
      </c>
      <c r="K1590">
        <v>0</v>
      </c>
      <c r="L1590">
        <v>0</v>
      </c>
      <c r="M1590" t="s">
        <v>25</v>
      </c>
      <c r="N1590" t="s">
        <v>25</v>
      </c>
      <c r="O1590" t="s">
        <v>26</v>
      </c>
      <c r="P1590" t="s">
        <v>25</v>
      </c>
      <c r="Q1590" t="s">
        <v>27</v>
      </c>
      <c r="R1590" t="s">
        <v>28</v>
      </c>
    </row>
    <row r="1591" spans="1:20">
      <c r="A1591">
        <v>1597</v>
      </c>
      <c r="B1591" t="s">
        <v>1779</v>
      </c>
      <c r="C1591" t="s">
        <v>21</v>
      </c>
      <c r="D1591" t="s">
        <v>22</v>
      </c>
      <c r="E1591" t="s">
        <v>23</v>
      </c>
      <c r="F1591">
        <v>430000</v>
      </c>
      <c r="G1591">
        <v>19</v>
      </c>
      <c r="H1591">
        <v>511700</v>
      </c>
      <c r="I1591" t="s">
        <v>24</v>
      </c>
      <c r="J1591" t="s">
        <v>25</v>
      </c>
      <c r="K1591">
        <v>0</v>
      </c>
      <c r="L1591">
        <v>0</v>
      </c>
      <c r="M1591" t="s">
        <v>25</v>
      </c>
      <c r="N1591" t="s">
        <v>25</v>
      </c>
      <c r="O1591" t="s">
        <v>26</v>
      </c>
      <c r="P1591" t="s">
        <v>25</v>
      </c>
      <c r="Q1591" t="s">
        <v>27</v>
      </c>
      <c r="R1591" t="s">
        <v>28</v>
      </c>
    </row>
    <row r="1592" spans="1:20">
      <c r="A1592">
        <v>1598</v>
      </c>
      <c r="B1592" t="s">
        <v>1780</v>
      </c>
      <c r="C1592" t="s">
        <v>21</v>
      </c>
      <c r="D1592" t="s">
        <v>22</v>
      </c>
      <c r="E1592" t="s">
        <v>23</v>
      </c>
      <c r="F1592">
        <v>430000</v>
      </c>
      <c r="G1592">
        <v>19</v>
      </c>
      <c r="H1592">
        <v>511700</v>
      </c>
      <c r="I1592" t="s">
        <v>24</v>
      </c>
      <c r="J1592" t="s">
        <v>25</v>
      </c>
      <c r="K1592">
        <v>0</v>
      </c>
      <c r="L1592">
        <v>0</v>
      </c>
      <c r="M1592" t="s">
        <v>25</v>
      </c>
      <c r="N1592" t="s">
        <v>25</v>
      </c>
      <c r="O1592" t="s">
        <v>26</v>
      </c>
      <c r="P1592" t="s">
        <v>25</v>
      </c>
      <c r="Q1592" t="s">
        <v>27</v>
      </c>
      <c r="R1592" t="s">
        <v>28</v>
      </c>
    </row>
    <row r="1593" spans="1:20">
      <c r="A1593">
        <v>1599</v>
      </c>
      <c r="B1593" t="s">
        <v>1781</v>
      </c>
      <c r="C1593" t="s">
        <v>21</v>
      </c>
      <c r="D1593" t="s">
        <v>302</v>
      </c>
      <c r="E1593" t="s">
        <v>23</v>
      </c>
      <c r="F1593">
        <v>37188</v>
      </c>
      <c r="G1593">
        <v>19</v>
      </c>
      <c r="H1593">
        <v>44253.72</v>
      </c>
      <c r="I1593" t="s">
        <v>24</v>
      </c>
      <c r="J1593" t="s">
        <v>25</v>
      </c>
      <c r="K1593">
        <v>0</v>
      </c>
      <c r="L1593">
        <v>0</v>
      </c>
      <c r="M1593" t="s">
        <v>25</v>
      </c>
      <c r="N1593" t="s">
        <v>25</v>
      </c>
      <c r="O1593" t="s">
        <v>26</v>
      </c>
      <c r="P1593" t="s">
        <v>25</v>
      </c>
      <c r="Q1593" t="s">
        <v>27</v>
      </c>
      <c r="R1593" t="s">
        <v>28</v>
      </c>
      <c r="S1593" t="s">
        <v>51</v>
      </c>
      <c r="T1593" t="s">
        <v>303</v>
      </c>
    </row>
    <row r="1594" spans="1:20">
      <c r="A1594">
        <v>1600</v>
      </c>
      <c r="B1594" t="s">
        <v>1782</v>
      </c>
      <c r="C1594" t="s">
        <v>21</v>
      </c>
      <c r="D1594" t="s">
        <v>22</v>
      </c>
      <c r="E1594" t="s">
        <v>23</v>
      </c>
      <c r="F1594">
        <v>25630</v>
      </c>
      <c r="G1594">
        <v>19</v>
      </c>
      <c r="H1594">
        <v>30500</v>
      </c>
      <c r="I1594" t="s">
        <v>24</v>
      </c>
      <c r="J1594" t="s">
        <v>25</v>
      </c>
      <c r="K1594">
        <v>0</v>
      </c>
      <c r="L1594">
        <v>0</v>
      </c>
      <c r="M1594" t="s">
        <v>25</v>
      </c>
      <c r="N1594" t="s">
        <v>25</v>
      </c>
      <c r="O1594" t="s">
        <v>26</v>
      </c>
      <c r="P1594" t="s">
        <v>25</v>
      </c>
      <c r="Q1594" t="s">
        <v>27</v>
      </c>
      <c r="R1594" t="s">
        <v>28</v>
      </c>
    </row>
    <row r="1595" spans="1:20">
      <c r="A1595">
        <v>1601</v>
      </c>
      <c r="B1595" t="s">
        <v>1783</v>
      </c>
      <c r="C1595" t="s">
        <v>21</v>
      </c>
      <c r="D1595" t="s">
        <v>22</v>
      </c>
      <c r="E1595" t="s">
        <v>23</v>
      </c>
      <c r="F1595">
        <v>3000000</v>
      </c>
      <c r="G1595">
        <v>19</v>
      </c>
      <c r="H1595">
        <v>3570000</v>
      </c>
      <c r="I1595" t="s">
        <v>24</v>
      </c>
      <c r="J1595" t="s">
        <v>25</v>
      </c>
      <c r="K1595">
        <v>0</v>
      </c>
      <c r="L1595">
        <v>0</v>
      </c>
      <c r="M1595" t="s">
        <v>25</v>
      </c>
      <c r="N1595" t="s">
        <v>25</v>
      </c>
      <c r="O1595" t="s">
        <v>26</v>
      </c>
      <c r="P1595" t="s">
        <v>25</v>
      </c>
      <c r="Q1595" t="s">
        <v>27</v>
      </c>
      <c r="R1595" t="s">
        <v>28</v>
      </c>
    </row>
    <row r="1596" spans="1:20">
      <c r="A1596">
        <v>1602</v>
      </c>
      <c r="B1596" t="s">
        <v>1784</v>
      </c>
      <c r="C1596" t="s">
        <v>21</v>
      </c>
      <c r="D1596" t="s">
        <v>22</v>
      </c>
      <c r="E1596" t="s">
        <v>23</v>
      </c>
      <c r="F1596">
        <v>1338000</v>
      </c>
      <c r="G1596">
        <v>19</v>
      </c>
      <c r="H1596">
        <v>1592220</v>
      </c>
      <c r="I1596" t="s">
        <v>24</v>
      </c>
      <c r="J1596" t="s">
        <v>25</v>
      </c>
      <c r="K1596">
        <v>0</v>
      </c>
      <c r="L1596">
        <v>0</v>
      </c>
      <c r="M1596" t="s">
        <v>25</v>
      </c>
      <c r="N1596" t="s">
        <v>25</v>
      </c>
      <c r="O1596" t="s">
        <v>26</v>
      </c>
      <c r="P1596" t="s">
        <v>25</v>
      </c>
      <c r="Q1596" t="s">
        <v>27</v>
      </c>
      <c r="R1596" t="s">
        <v>28</v>
      </c>
    </row>
    <row r="1597" spans="1:20">
      <c r="A1597">
        <v>1603</v>
      </c>
      <c r="B1597" t="s">
        <v>1785</v>
      </c>
      <c r="C1597" t="s">
        <v>21</v>
      </c>
      <c r="D1597" t="s">
        <v>22</v>
      </c>
      <c r="E1597" t="s">
        <v>23</v>
      </c>
      <c r="F1597">
        <v>53600</v>
      </c>
      <c r="G1597">
        <v>19</v>
      </c>
      <c r="H1597">
        <v>63784</v>
      </c>
      <c r="I1597" t="s">
        <v>24</v>
      </c>
      <c r="J1597" t="s">
        <v>25</v>
      </c>
      <c r="K1597">
        <v>0</v>
      </c>
      <c r="L1597">
        <v>0</v>
      </c>
      <c r="M1597" t="s">
        <v>25</v>
      </c>
      <c r="N1597" t="s">
        <v>25</v>
      </c>
      <c r="O1597" t="s">
        <v>26</v>
      </c>
      <c r="P1597" t="s">
        <v>25</v>
      </c>
      <c r="Q1597" t="s">
        <v>27</v>
      </c>
      <c r="R1597" t="s">
        <v>28</v>
      </c>
    </row>
    <row r="1598" spans="1:20">
      <c r="A1598">
        <v>1604</v>
      </c>
      <c r="B1598" t="s">
        <v>1786</v>
      </c>
      <c r="C1598" t="s">
        <v>21</v>
      </c>
      <c r="D1598" t="s">
        <v>22</v>
      </c>
      <c r="E1598" t="s">
        <v>23</v>
      </c>
      <c r="F1598">
        <v>179500</v>
      </c>
      <c r="G1598">
        <v>19</v>
      </c>
      <c r="H1598">
        <v>213605</v>
      </c>
      <c r="I1598" t="s">
        <v>24</v>
      </c>
      <c r="J1598" t="s">
        <v>25</v>
      </c>
      <c r="K1598">
        <v>0</v>
      </c>
      <c r="L1598">
        <v>0</v>
      </c>
      <c r="M1598" t="s">
        <v>25</v>
      </c>
      <c r="N1598" t="s">
        <v>25</v>
      </c>
      <c r="O1598" t="s">
        <v>26</v>
      </c>
      <c r="P1598" t="s">
        <v>25</v>
      </c>
      <c r="Q1598" t="s">
        <v>27</v>
      </c>
      <c r="R1598" t="s">
        <v>28</v>
      </c>
    </row>
    <row r="1599" spans="1:20">
      <c r="A1599">
        <v>1605</v>
      </c>
      <c r="B1599" t="s">
        <v>1787</v>
      </c>
      <c r="C1599" t="s">
        <v>21</v>
      </c>
      <c r="D1599" t="s">
        <v>22</v>
      </c>
      <c r="E1599" t="s">
        <v>23</v>
      </c>
      <c r="F1599">
        <v>54150</v>
      </c>
      <c r="G1599">
        <v>19</v>
      </c>
      <c r="H1599">
        <v>64439</v>
      </c>
      <c r="I1599" t="s">
        <v>24</v>
      </c>
      <c r="J1599" t="s">
        <v>25</v>
      </c>
      <c r="K1599">
        <v>0</v>
      </c>
      <c r="L1599">
        <v>0</v>
      </c>
      <c r="M1599" t="s">
        <v>25</v>
      </c>
      <c r="N1599" t="s">
        <v>25</v>
      </c>
      <c r="O1599" t="s">
        <v>26</v>
      </c>
      <c r="P1599" t="s">
        <v>25</v>
      </c>
      <c r="Q1599" t="s">
        <v>27</v>
      </c>
      <c r="R1599" t="s">
        <v>28</v>
      </c>
    </row>
    <row r="1600" spans="1:20">
      <c r="A1600">
        <v>1606</v>
      </c>
      <c r="B1600" t="s">
        <v>1788</v>
      </c>
      <c r="C1600" t="s">
        <v>21</v>
      </c>
      <c r="D1600" t="s">
        <v>22</v>
      </c>
      <c r="E1600" t="s">
        <v>23</v>
      </c>
      <c r="F1600">
        <v>539126</v>
      </c>
      <c r="G1600">
        <v>19</v>
      </c>
      <c r="H1600">
        <v>641560</v>
      </c>
      <c r="I1600" t="s">
        <v>24</v>
      </c>
      <c r="J1600" t="s">
        <v>25</v>
      </c>
      <c r="K1600">
        <v>0</v>
      </c>
      <c r="L1600">
        <v>0</v>
      </c>
      <c r="M1600" t="s">
        <v>25</v>
      </c>
      <c r="N1600" t="s">
        <v>25</v>
      </c>
      <c r="O1600" t="s">
        <v>26</v>
      </c>
      <c r="P1600" t="s">
        <v>25</v>
      </c>
      <c r="Q1600" t="s">
        <v>27</v>
      </c>
      <c r="R1600" t="s">
        <v>28</v>
      </c>
    </row>
    <row r="1601" spans="1:20">
      <c r="A1601">
        <v>1607</v>
      </c>
      <c r="B1601" t="s">
        <v>1789</v>
      </c>
      <c r="C1601" t="s">
        <v>21</v>
      </c>
      <c r="D1601" t="s">
        <v>22</v>
      </c>
      <c r="E1601" t="s">
        <v>23</v>
      </c>
      <c r="F1601">
        <v>539126</v>
      </c>
      <c r="G1601">
        <v>19</v>
      </c>
      <c r="H1601">
        <v>641560</v>
      </c>
      <c r="I1601" t="s">
        <v>24</v>
      </c>
      <c r="J1601" t="s">
        <v>25</v>
      </c>
      <c r="K1601">
        <v>0</v>
      </c>
      <c r="L1601">
        <v>0</v>
      </c>
      <c r="M1601" t="s">
        <v>25</v>
      </c>
      <c r="N1601" t="s">
        <v>25</v>
      </c>
      <c r="O1601" t="s">
        <v>26</v>
      </c>
      <c r="P1601" t="s">
        <v>25</v>
      </c>
      <c r="Q1601" t="s">
        <v>27</v>
      </c>
      <c r="R1601" t="s">
        <v>28</v>
      </c>
    </row>
    <row r="1602" spans="1:20">
      <c r="A1602">
        <v>1608</v>
      </c>
      <c r="B1602" t="s">
        <v>1790</v>
      </c>
      <c r="C1602" t="s">
        <v>21</v>
      </c>
      <c r="D1602" t="s">
        <v>22</v>
      </c>
      <c r="E1602" t="s">
        <v>23</v>
      </c>
      <c r="F1602">
        <v>5000</v>
      </c>
      <c r="G1602">
        <v>19</v>
      </c>
      <c r="H1602">
        <v>5950</v>
      </c>
      <c r="I1602" t="s">
        <v>24</v>
      </c>
      <c r="J1602" t="s">
        <v>25</v>
      </c>
      <c r="K1602">
        <v>0</v>
      </c>
      <c r="L1602">
        <v>0</v>
      </c>
      <c r="M1602" t="s">
        <v>25</v>
      </c>
      <c r="N1602" t="s">
        <v>25</v>
      </c>
      <c r="O1602" t="s">
        <v>26</v>
      </c>
      <c r="P1602" t="s">
        <v>25</v>
      </c>
      <c r="Q1602" t="s">
        <v>27</v>
      </c>
      <c r="R1602" t="s">
        <v>28</v>
      </c>
    </row>
    <row r="1603" spans="1:20">
      <c r="A1603">
        <v>1609</v>
      </c>
      <c r="B1603" t="s">
        <v>1791</v>
      </c>
      <c r="C1603" t="s">
        <v>21</v>
      </c>
      <c r="D1603" t="s">
        <v>22</v>
      </c>
      <c r="E1603" t="s">
        <v>23</v>
      </c>
      <c r="F1603">
        <v>2000</v>
      </c>
      <c r="G1603">
        <v>19</v>
      </c>
      <c r="H1603">
        <v>2380</v>
      </c>
      <c r="I1603" t="s">
        <v>24</v>
      </c>
      <c r="J1603" t="s">
        <v>25</v>
      </c>
      <c r="K1603">
        <v>0</v>
      </c>
      <c r="L1603">
        <v>0</v>
      </c>
      <c r="M1603" t="s">
        <v>25</v>
      </c>
      <c r="N1603" t="s">
        <v>25</v>
      </c>
      <c r="O1603" t="s">
        <v>26</v>
      </c>
      <c r="P1603" t="s">
        <v>25</v>
      </c>
      <c r="Q1603" t="s">
        <v>27</v>
      </c>
      <c r="R1603" t="s">
        <v>28</v>
      </c>
    </row>
    <row r="1604" spans="1:20">
      <c r="A1604">
        <v>1610</v>
      </c>
      <c r="B1604" t="s">
        <v>1792</v>
      </c>
      <c r="C1604" t="s">
        <v>21</v>
      </c>
      <c r="D1604" t="s">
        <v>22</v>
      </c>
      <c r="E1604" t="s">
        <v>23</v>
      </c>
      <c r="F1604">
        <v>20000</v>
      </c>
      <c r="G1604">
        <v>19</v>
      </c>
      <c r="H1604">
        <v>23800</v>
      </c>
      <c r="I1604" t="s">
        <v>24</v>
      </c>
      <c r="J1604" t="s">
        <v>25</v>
      </c>
      <c r="K1604">
        <v>0</v>
      </c>
      <c r="L1604">
        <v>0</v>
      </c>
      <c r="M1604" t="s">
        <v>25</v>
      </c>
      <c r="N1604" t="s">
        <v>25</v>
      </c>
      <c r="O1604" t="s">
        <v>26</v>
      </c>
      <c r="P1604" t="s">
        <v>25</v>
      </c>
      <c r="Q1604" t="s">
        <v>27</v>
      </c>
      <c r="R1604" t="s">
        <v>28</v>
      </c>
    </row>
    <row r="1605" spans="1:20">
      <c r="A1605">
        <v>1611</v>
      </c>
      <c r="B1605" t="s">
        <v>1793</v>
      </c>
      <c r="C1605" t="s">
        <v>21</v>
      </c>
      <c r="D1605" t="s">
        <v>22</v>
      </c>
      <c r="E1605" t="s">
        <v>23</v>
      </c>
      <c r="F1605">
        <v>30000</v>
      </c>
      <c r="G1605">
        <v>19</v>
      </c>
      <c r="H1605">
        <v>35700</v>
      </c>
      <c r="I1605" t="s">
        <v>24</v>
      </c>
      <c r="J1605" t="s">
        <v>25</v>
      </c>
      <c r="K1605">
        <v>0</v>
      </c>
      <c r="L1605">
        <v>0</v>
      </c>
      <c r="M1605" t="s">
        <v>25</v>
      </c>
      <c r="N1605" t="s">
        <v>25</v>
      </c>
      <c r="O1605" t="s">
        <v>26</v>
      </c>
      <c r="P1605" t="s">
        <v>25</v>
      </c>
      <c r="Q1605" t="s">
        <v>27</v>
      </c>
      <c r="R1605" t="s">
        <v>28</v>
      </c>
    </row>
    <row r="1606" spans="1:20">
      <c r="A1606">
        <v>1612</v>
      </c>
      <c r="B1606" t="s">
        <v>1794</v>
      </c>
      <c r="C1606" t="s">
        <v>21</v>
      </c>
      <c r="D1606" t="s">
        <v>22</v>
      </c>
      <c r="E1606" t="s">
        <v>23</v>
      </c>
      <c r="F1606">
        <v>20000</v>
      </c>
      <c r="G1606">
        <v>19</v>
      </c>
      <c r="H1606">
        <v>23800</v>
      </c>
      <c r="I1606" t="s">
        <v>24</v>
      </c>
      <c r="J1606" t="s">
        <v>25</v>
      </c>
      <c r="K1606">
        <v>0</v>
      </c>
      <c r="L1606">
        <v>0</v>
      </c>
      <c r="M1606" t="s">
        <v>25</v>
      </c>
      <c r="N1606" t="s">
        <v>25</v>
      </c>
      <c r="O1606" t="s">
        <v>26</v>
      </c>
      <c r="P1606" t="s">
        <v>25</v>
      </c>
      <c r="Q1606" t="s">
        <v>27</v>
      </c>
      <c r="R1606" t="s">
        <v>28</v>
      </c>
    </row>
    <row r="1607" spans="1:20">
      <c r="A1607">
        <v>1613</v>
      </c>
      <c r="B1607" t="s">
        <v>1795</v>
      </c>
      <c r="C1607" t="s">
        <v>21</v>
      </c>
      <c r="D1607" t="s">
        <v>22</v>
      </c>
      <c r="E1607" t="s">
        <v>23</v>
      </c>
      <c r="F1607">
        <v>20000</v>
      </c>
      <c r="G1607">
        <v>19</v>
      </c>
      <c r="H1607">
        <v>23800</v>
      </c>
      <c r="I1607" t="s">
        <v>24</v>
      </c>
      <c r="J1607" t="s">
        <v>25</v>
      </c>
      <c r="K1607">
        <v>0</v>
      </c>
      <c r="L1607">
        <v>0</v>
      </c>
      <c r="M1607" t="s">
        <v>25</v>
      </c>
      <c r="N1607" t="s">
        <v>25</v>
      </c>
      <c r="O1607" t="s">
        <v>26</v>
      </c>
      <c r="P1607" t="s">
        <v>25</v>
      </c>
      <c r="Q1607" t="s">
        <v>27</v>
      </c>
      <c r="R1607" t="s">
        <v>28</v>
      </c>
    </row>
    <row r="1608" spans="1:20">
      <c r="A1608">
        <v>1614</v>
      </c>
      <c r="B1608" t="s">
        <v>1796</v>
      </c>
      <c r="C1608" t="s">
        <v>21</v>
      </c>
      <c r="D1608" t="s">
        <v>22</v>
      </c>
      <c r="E1608" t="s">
        <v>23</v>
      </c>
      <c r="F1608">
        <v>0</v>
      </c>
      <c r="G1608">
        <v>19</v>
      </c>
      <c r="H1608">
        <v>0</v>
      </c>
      <c r="I1608" t="s">
        <v>24</v>
      </c>
      <c r="J1608" t="s">
        <v>25</v>
      </c>
      <c r="K1608">
        <v>0</v>
      </c>
      <c r="L1608">
        <v>0</v>
      </c>
      <c r="M1608" t="s">
        <v>25</v>
      </c>
      <c r="N1608" t="s">
        <v>25</v>
      </c>
      <c r="O1608" t="s">
        <v>26</v>
      </c>
      <c r="P1608" t="s">
        <v>25</v>
      </c>
      <c r="Q1608" t="s">
        <v>27</v>
      </c>
      <c r="R1608" t="s">
        <v>28</v>
      </c>
    </row>
    <row r="1609" spans="1:20">
      <c r="A1609">
        <v>1615</v>
      </c>
      <c r="B1609" t="s">
        <v>1797</v>
      </c>
      <c r="C1609" t="s">
        <v>21</v>
      </c>
      <c r="D1609" t="s">
        <v>22</v>
      </c>
      <c r="E1609" t="s">
        <v>23</v>
      </c>
      <c r="F1609">
        <v>0</v>
      </c>
      <c r="G1609">
        <v>19</v>
      </c>
      <c r="H1609">
        <v>0</v>
      </c>
      <c r="I1609" t="s">
        <v>24</v>
      </c>
      <c r="J1609" t="s">
        <v>25</v>
      </c>
      <c r="K1609">
        <v>0</v>
      </c>
      <c r="L1609">
        <v>0</v>
      </c>
      <c r="M1609" t="s">
        <v>25</v>
      </c>
      <c r="N1609" t="s">
        <v>25</v>
      </c>
      <c r="O1609" t="s">
        <v>26</v>
      </c>
      <c r="P1609" t="s">
        <v>25</v>
      </c>
      <c r="Q1609" t="s">
        <v>27</v>
      </c>
      <c r="R1609" t="s">
        <v>28</v>
      </c>
    </row>
    <row r="1610" spans="1:20">
      <c r="A1610">
        <v>1616</v>
      </c>
      <c r="B1610" t="s">
        <v>1798</v>
      </c>
      <c r="C1610" t="s">
        <v>21</v>
      </c>
      <c r="D1610" t="s">
        <v>22</v>
      </c>
      <c r="E1610" t="s">
        <v>23</v>
      </c>
      <c r="F1610">
        <v>0</v>
      </c>
      <c r="G1610">
        <v>19</v>
      </c>
      <c r="H1610">
        <v>0</v>
      </c>
      <c r="I1610" t="s">
        <v>24</v>
      </c>
      <c r="J1610" t="s">
        <v>25</v>
      </c>
      <c r="K1610">
        <v>0</v>
      </c>
      <c r="L1610">
        <v>0</v>
      </c>
      <c r="M1610" t="s">
        <v>25</v>
      </c>
      <c r="N1610" t="s">
        <v>25</v>
      </c>
      <c r="O1610" t="s">
        <v>26</v>
      </c>
      <c r="P1610" t="s">
        <v>25</v>
      </c>
      <c r="Q1610" t="s">
        <v>27</v>
      </c>
      <c r="R1610" t="s">
        <v>28</v>
      </c>
    </row>
    <row r="1611" spans="1:20">
      <c r="A1611">
        <v>1617</v>
      </c>
      <c r="B1611" t="s">
        <v>1799</v>
      </c>
      <c r="C1611" t="s">
        <v>21</v>
      </c>
      <c r="D1611" t="s">
        <v>22</v>
      </c>
      <c r="E1611" t="s">
        <v>23</v>
      </c>
      <c r="F1611">
        <v>0</v>
      </c>
      <c r="G1611">
        <v>19</v>
      </c>
      <c r="H1611">
        <v>0</v>
      </c>
      <c r="I1611" t="s">
        <v>24</v>
      </c>
      <c r="J1611" t="s">
        <v>25</v>
      </c>
      <c r="K1611">
        <v>0</v>
      </c>
      <c r="L1611">
        <v>0</v>
      </c>
      <c r="M1611" t="s">
        <v>25</v>
      </c>
      <c r="N1611" t="s">
        <v>25</v>
      </c>
      <c r="O1611" t="s">
        <v>26</v>
      </c>
      <c r="P1611" t="s">
        <v>25</v>
      </c>
      <c r="Q1611" t="s">
        <v>27</v>
      </c>
      <c r="R1611" t="s">
        <v>28</v>
      </c>
    </row>
    <row r="1612" spans="1:20">
      <c r="A1612">
        <v>1618</v>
      </c>
      <c r="B1612" t="s">
        <v>1800</v>
      </c>
      <c r="C1612" t="s">
        <v>21</v>
      </c>
      <c r="D1612" t="s">
        <v>22</v>
      </c>
      <c r="E1612" t="s">
        <v>23</v>
      </c>
      <c r="F1612">
        <v>0</v>
      </c>
      <c r="G1612">
        <v>19</v>
      </c>
      <c r="H1612">
        <v>0</v>
      </c>
      <c r="I1612" t="s">
        <v>24</v>
      </c>
      <c r="J1612" t="s">
        <v>25</v>
      </c>
      <c r="K1612">
        <v>0</v>
      </c>
      <c r="L1612">
        <v>0</v>
      </c>
      <c r="M1612" t="s">
        <v>25</v>
      </c>
      <c r="N1612" t="s">
        <v>25</v>
      </c>
      <c r="O1612" t="s">
        <v>26</v>
      </c>
      <c r="P1612" t="s">
        <v>25</v>
      </c>
      <c r="Q1612" t="s">
        <v>27</v>
      </c>
      <c r="R1612" t="s">
        <v>28</v>
      </c>
    </row>
    <row r="1613" spans="1:20">
      <c r="A1613">
        <v>1619</v>
      </c>
      <c r="B1613" t="s">
        <v>1801</v>
      </c>
      <c r="C1613" t="s">
        <v>21</v>
      </c>
      <c r="D1613" t="s">
        <v>22</v>
      </c>
      <c r="E1613" t="s">
        <v>23</v>
      </c>
      <c r="F1613">
        <v>135000</v>
      </c>
      <c r="G1613">
        <v>19</v>
      </c>
      <c r="H1613">
        <v>160650</v>
      </c>
      <c r="I1613" t="s">
        <v>24</v>
      </c>
      <c r="J1613" t="s">
        <v>25</v>
      </c>
      <c r="K1613">
        <v>0</v>
      </c>
      <c r="L1613">
        <v>0</v>
      </c>
      <c r="M1613" t="s">
        <v>25</v>
      </c>
      <c r="N1613" t="s">
        <v>25</v>
      </c>
      <c r="O1613" t="s">
        <v>26</v>
      </c>
      <c r="P1613" t="s">
        <v>25</v>
      </c>
      <c r="Q1613" t="s">
        <v>27</v>
      </c>
      <c r="R1613" t="s">
        <v>28</v>
      </c>
      <c r="S1613" t="s">
        <v>51</v>
      </c>
      <c r="T1613" t="s">
        <v>1802</v>
      </c>
    </row>
    <row r="1614" spans="1:20">
      <c r="A1614">
        <v>1620</v>
      </c>
      <c r="B1614" t="s">
        <v>1803</v>
      </c>
      <c r="C1614" t="s">
        <v>21</v>
      </c>
      <c r="D1614" t="s">
        <v>22</v>
      </c>
      <c r="E1614" t="s">
        <v>23</v>
      </c>
      <c r="F1614">
        <v>0</v>
      </c>
      <c r="G1614">
        <v>19</v>
      </c>
      <c r="H1614">
        <v>0</v>
      </c>
      <c r="I1614" t="s">
        <v>24</v>
      </c>
      <c r="J1614" t="s">
        <v>25</v>
      </c>
      <c r="K1614">
        <v>0</v>
      </c>
      <c r="L1614">
        <v>0</v>
      </c>
      <c r="M1614" t="s">
        <v>25</v>
      </c>
      <c r="N1614" t="s">
        <v>25</v>
      </c>
      <c r="O1614" t="s">
        <v>26</v>
      </c>
      <c r="P1614" t="s">
        <v>25</v>
      </c>
      <c r="Q1614" t="s">
        <v>27</v>
      </c>
      <c r="R1614" t="s">
        <v>28</v>
      </c>
    </row>
    <row r="1615" spans="1:20">
      <c r="A1615">
        <v>1621</v>
      </c>
      <c r="B1615" t="s">
        <v>1804</v>
      </c>
      <c r="C1615" t="s">
        <v>21</v>
      </c>
      <c r="D1615" t="s">
        <v>22</v>
      </c>
      <c r="E1615" t="s">
        <v>23</v>
      </c>
      <c r="F1615">
        <v>0</v>
      </c>
      <c r="G1615">
        <v>19</v>
      </c>
      <c r="H1615">
        <v>0</v>
      </c>
      <c r="I1615" t="s">
        <v>24</v>
      </c>
      <c r="J1615" t="s">
        <v>25</v>
      </c>
      <c r="K1615">
        <v>0</v>
      </c>
      <c r="L1615">
        <v>0</v>
      </c>
      <c r="M1615" t="s">
        <v>25</v>
      </c>
      <c r="N1615" t="s">
        <v>25</v>
      </c>
      <c r="O1615" t="s">
        <v>26</v>
      </c>
      <c r="P1615" t="s">
        <v>25</v>
      </c>
      <c r="Q1615" t="s">
        <v>27</v>
      </c>
      <c r="R1615" t="s">
        <v>28</v>
      </c>
    </row>
    <row r="1616" spans="1:20">
      <c r="A1616">
        <v>1622</v>
      </c>
      <c r="B1616" t="s">
        <v>1805</v>
      </c>
      <c r="C1616" t="s">
        <v>21</v>
      </c>
      <c r="D1616" t="s">
        <v>22</v>
      </c>
      <c r="E1616" t="s">
        <v>23</v>
      </c>
      <c r="F1616">
        <v>0</v>
      </c>
      <c r="G1616">
        <v>19</v>
      </c>
      <c r="H1616">
        <v>0</v>
      </c>
      <c r="I1616" t="s">
        <v>24</v>
      </c>
      <c r="J1616" t="s">
        <v>25</v>
      </c>
      <c r="K1616">
        <v>0</v>
      </c>
      <c r="L1616">
        <v>0</v>
      </c>
      <c r="M1616" t="s">
        <v>25</v>
      </c>
      <c r="N1616" t="s">
        <v>25</v>
      </c>
      <c r="O1616" t="s">
        <v>26</v>
      </c>
      <c r="P1616" t="s">
        <v>25</v>
      </c>
      <c r="Q1616" t="s">
        <v>27</v>
      </c>
      <c r="R1616" t="s">
        <v>28</v>
      </c>
    </row>
    <row r="1617" spans="1:20">
      <c r="A1617">
        <v>1623</v>
      </c>
      <c r="B1617" t="s">
        <v>1806</v>
      </c>
      <c r="C1617" t="s">
        <v>21</v>
      </c>
      <c r="D1617" t="s">
        <v>22</v>
      </c>
      <c r="E1617" t="s">
        <v>23</v>
      </c>
      <c r="F1617">
        <v>0</v>
      </c>
      <c r="G1617">
        <v>19</v>
      </c>
      <c r="H1617">
        <v>0</v>
      </c>
      <c r="I1617" t="s">
        <v>24</v>
      </c>
      <c r="J1617" t="s">
        <v>25</v>
      </c>
      <c r="K1617">
        <v>0</v>
      </c>
      <c r="L1617">
        <v>0</v>
      </c>
      <c r="M1617" t="s">
        <v>25</v>
      </c>
      <c r="N1617" t="s">
        <v>25</v>
      </c>
      <c r="O1617" t="s">
        <v>26</v>
      </c>
      <c r="P1617" t="s">
        <v>25</v>
      </c>
      <c r="Q1617" t="s">
        <v>27</v>
      </c>
      <c r="R1617" t="s">
        <v>28</v>
      </c>
    </row>
    <row r="1618" spans="1:20">
      <c r="A1618">
        <v>1624</v>
      </c>
      <c r="B1618" t="s">
        <v>1807</v>
      </c>
      <c r="C1618" t="s">
        <v>21</v>
      </c>
      <c r="D1618" t="s">
        <v>22</v>
      </c>
      <c r="E1618" t="s">
        <v>23</v>
      </c>
      <c r="F1618">
        <v>1220000</v>
      </c>
      <c r="G1618">
        <v>19</v>
      </c>
      <c r="H1618">
        <v>1451800</v>
      </c>
      <c r="I1618" t="s">
        <v>24</v>
      </c>
      <c r="J1618" t="s">
        <v>25</v>
      </c>
      <c r="K1618">
        <v>0</v>
      </c>
      <c r="L1618">
        <v>0</v>
      </c>
      <c r="M1618" t="s">
        <v>25</v>
      </c>
      <c r="N1618" t="s">
        <v>25</v>
      </c>
      <c r="O1618" t="s">
        <v>26</v>
      </c>
      <c r="P1618" t="s">
        <v>25</v>
      </c>
      <c r="Q1618" t="s">
        <v>27</v>
      </c>
      <c r="R1618" t="s">
        <v>28</v>
      </c>
      <c r="S1618" t="s">
        <v>51</v>
      </c>
      <c r="T1618" t="s">
        <v>731</v>
      </c>
    </row>
    <row r="1619" spans="1:20">
      <c r="A1619">
        <v>1625</v>
      </c>
      <c r="B1619" t="s">
        <v>1808</v>
      </c>
      <c r="C1619" t="s">
        <v>21</v>
      </c>
      <c r="D1619" t="s">
        <v>22</v>
      </c>
      <c r="E1619" t="s">
        <v>23</v>
      </c>
      <c r="F1619">
        <v>0</v>
      </c>
      <c r="G1619">
        <v>19</v>
      </c>
      <c r="H1619">
        <v>0</v>
      </c>
      <c r="I1619" t="s">
        <v>24</v>
      </c>
      <c r="J1619" t="s">
        <v>25</v>
      </c>
      <c r="K1619">
        <v>0</v>
      </c>
      <c r="L1619">
        <v>0</v>
      </c>
      <c r="M1619" t="s">
        <v>25</v>
      </c>
      <c r="N1619" t="s">
        <v>25</v>
      </c>
      <c r="O1619" t="s">
        <v>26</v>
      </c>
      <c r="P1619" t="s">
        <v>25</v>
      </c>
      <c r="Q1619" t="s">
        <v>27</v>
      </c>
      <c r="R1619" t="s">
        <v>28</v>
      </c>
    </row>
    <row r="1620" spans="1:20">
      <c r="A1620">
        <v>1626</v>
      </c>
      <c r="B1620" t="s">
        <v>1809</v>
      </c>
      <c r="C1620" t="s">
        <v>21</v>
      </c>
      <c r="D1620" t="s">
        <v>22</v>
      </c>
      <c r="E1620" t="s">
        <v>23</v>
      </c>
      <c r="F1620">
        <v>0</v>
      </c>
      <c r="G1620">
        <v>19</v>
      </c>
      <c r="H1620">
        <v>0</v>
      </c>
      <c r="I1620" t="s">
        <v>24</v>
      </c>
      <c r="J1620" t="s">
        <v>25</v>
      </c>
      <c r="K1620">
        <v>0</v>
      </c>
      <c r="L1620">
        <v>0</v>
      </c>
      <c r="M1620" t="s">
        <v>25</v>
      </c>
      <c r="N1620" t="s">
        <v>25</v>
      </c>
      <c r="O1620" t="s">
        <v>26</v>
      </c>
      <c r="P1620" t="s">
        <v>25</v>
      </c>
      <c r="Q1620" t="s">
        <v>27</v>
      </c>
      <c r="R1620" t="s">
        <v>28</v>
      </c>
      <c r="S1620" t="s">
        <v>51</v>
      </c>
      <c r="T1620" t="s">
        <v>303</v>
      </c>
    </row>
    <row r="1621" spans="1:20">
      <c r="A1621">
        <v>1627</v>
      </c>
      <c r="B1621" t="s">
        <v>1810</v>
      </c>
      <c r="C1621" t="s">
        <v>21</v>
      </c>
      <c r="D1621" t="s">
        <v>22</v>
      </c>
      <c r="E1621" t="s">
        <v>23</v>
      </c>
      <c r="F1621">
        <v>0</v>
      </c>
      <c r="G1621">
        <v>19</v>
      </c>
      <c r="H1621">
        <v>0</v>
      </c>
      <c r="I1621" t="s">
        <v>24</v>
      </c>
      <c r="J1621" t="s">
        <v>25</v>
      </c>
      <c r="K1621">
        <v>0</v>
      </c>
      <c r="L1621">
        <v>0</v>
      </c>
      <c r="M1621" t="s">
        <v>25</v>
      </c>
      <c r="N1621" t="s">
        <v>25</v>
      </c>
      <c r="O1621" t="s">
        <v>26</v>
      </c>
      <c r="P1621" t="s">
        <v>25</v>
      </c>
      <c r="Q1621" t="s">
        <v>27</v>
      </c>
      <c r="R1621" t="s">
        <v>28</v>
      </c>
    </row>
    <row r="1622" spans="1:20">
      <c r="A1622">
        <v>1628</v>
      </c>
      <c r="B1622" t="s">
        <v>1811</v>
      </c>
      <c r="C1622" t="s">
        <v>21</v>
      </c>
      <c r="D1622" t="s">
        <v>22</v>
      </c>
      <c r="E1622" t="s">
        <v>23</v>
      </c>
      <c r="F1622">
        <v>0</v>
      </c>
      <c r="G1622">
        <v>19</v>
      </c>
      <c r="H1622">
        <v>0</v>
      </c>
      <c r="I1622" t="s">
        <v>24</v>
      </c>
      <c r="J1622" t="s">
        <v>25</v>
      </c>
      <c r="K1622">
        <v>0</v>
      </c>
      <c r="L1622">
        <v>0</v>
      </c>
      <c r="M1622" t="s">
        <v>25</v>
      </c>
      <c r="N1622" t="s">
        <v>25</v>
      </c>
      <c r="O1622" t="s">
        <v>26</v>
      </c>
      <c r="P1622" t="s">
        <v>25</v>
      </c>
      <c r="Q1622" t="s">
        <v>27</v>
      </c>
      <c r="R1622" t="s">
        <v>28</v>
      </c>
    </row>
    <row r="1623" spans="1:20">
      <c r="A1623">
        <v>1629</v>
      </c>
      <c r="B1623" t="s">
        <v>1812</v>
      </c>
      <c r="C1623" t="s">
        <v>21</v>
      </c>
      <c r="D1623" t="s">
        <v>22</v>
      </c>
      <c r="E1623" t="s">
        <v>23</v>
      </c>
      <c r="F1623">
        <v>0</v>
      </c>
      <c r="G1623">
        <v>19</v>
      </c>
      <c r="H1623">
        <v>0</v>
      </c>
      <c r="I1623" t="s">
        <v>24</v>
      </c>
      <c r="J1623" t="s">
        <v>25</v>
      </c>
      <c r="K1623">
        <v>0</v>
      </c>
      <c r="L1623">
        <v>0</v>
      </c>
      <c r="M1623" t="s">
        <v>25</v>
      </c>
      <c r="N1623" t="s">
        <v>25</v>
      </c>
      <c r="O1623" t="s">
        <v>26</v>
      </c>
      <c r="P1623" t="s">
        <v>25</v>
      </c>
      <c r="Q1623" t="s">
        <v>27</v>
      </c>
      <c r="R1623" t="s">
        <v>28</v>
      </c>
    </row>
    <row r="1624" spans="1:20">
      <c r="A1624">
        <v>1630</v>
      </c>
      <c r="B1624" t="s">
        <v>1813</v>
      </c>
      <c r="C1624" t="s">
        <v>21</v>
      </c>
      <c r="D1624" t="s">
        <v>22</v>
      </c>
      <c r="E1624" t="s">
        <v>23</v>
      </c>
      <c r="F1624">
        <v>0</v>
      </c>
      <c r="G1624">
        <v>19</v>
      </c>
      <c r="H1624">
        <v>0</v>
      </c>
      <c r="I1624" t="s">
        <v>24</v>
      </c>
      <c r="J1624" t="s">
        <v>25</v>
      </c>
      <c r="K1624">
        <v>0</v>
      </c>
      <c r="L1624">
        <v>0</v>
      </c>
      <c r="M1624" t="s">
        <v>25</v>
      </c>
      <c r="N1624" t="s">
        <v>25</v>
      </c>
      <c r="O1624" t="s">
        <v>26</v>
      </c>
      <c r="P1624" t="s">
        <v>25</v>
      </c>
      <c r="Q1624" t="s">
        <v>27</v>
      </c>
      <c r="R1624" t="s">
        <v>28</v>
      </c>
    </row>
    <row r="1625" spans="1:20">
      <c r="A1625">
        <v>1631</v>
      </c>
      <c r="B1625" t="s">
        <v>1814</v>
      </c>
      <c r="C1625" t="s">
        <v>21</v>
      </c>
      <c r="D1625" t="s">
        <v>22</v>
      </c>
      <c r="E1625" t="s">
        <v>23</v>
      </c>
      <c r="F1625">
        <v>0</v>
      </c>
      <c r="G1625">
        <v>19</v>
      </c>
      <c r="H1625">
        <v>0</v>
      </c>
      <c r="I1625" t="s">
        <v>24</v>
      </c>
      <c r="J1625" t="s">
        <v>25</v>
      </c>
      <c r="K1625">
        <v>0</v>
      </c>
      <c r="L1625">
        <v>0</v>
      </c>
      <c r="M1625" t="s">
        <v>25</v>
      </c>
      <c r="N1625" t="s">
        <v>25</v>
      </c>
      <c r="O1625" t="s">
        <v>26</v>
      </c>
      <c r="P1625" t="s">
        <v>25</v>
      </c>
      <c r="Q1625" t="s">
        <v>27</v>
      </c>
      <c r="R1625" t="s">
        <v>28</v>
      </c>
    </row>
    <row r="1626" spans="1:20">
      <c r="A1626">
        <v>1632</v>
      </c>
      <c r="B1626" t="s">
        <v>1815</v>
      </c>
      <c r="C1626" t="s">
        <v>21</v>
      </c>
      <c r="D1626" t="s">
        <v>22</v>
      </c>
      <c r="E1626" t="s">
        <v>23</v>
      </c>
      <c r="F1626">
        <v>300000</v>
      </c>
      <c r="G1626">
        <v>19</v>
      </c>
      <c r="H1626">
        <v>357000</v>
      </c>
      <c r="I1626" t="s">
        <v>24</v>
      </c>
      <c r="J1626" t="s">
        <v>25</v>
      </c>
      <c r="K1626">
        <v>0</v>
      </c>
      <c r="L1626">
        <v>0</v>
      </c>
      <c r="M1626" t="s">
        <v>25</v>
      </c>
      <c r="N1626" t="s">
        <v>25</v>
      </c>
      <c r="O1626" t="s">
        <v>26</v>
      </c>
      <c r="P1626" t="s">
        <v>25</v>
      </c>
      <c r="Q1626" t="s">
        <v>27</v>
      </c>
      <c r="R1626" t="s">
        <v>28</v>
      </c>
      <c r="S1626" t="s">
        <v>51</v>
      </c>
      <c r="T1626" t="s">
        <v>1816</v>
      </c>
    </row>
    <row r="1627" spans="1:20">
      <c r="A1627">
        <v>1633</v>
      </c>
      <c r="B1627" t="s">
        <v>1817</v>
      </c>
      <c r="C1627" t="s">
        <v>21</v>
      </c>
      <c r="D1627" t="s">
        <v>22</v>
      </c>
      <c r="E1627" t="s">
        <v>23</v>
      </c>
      <c r="F1627">
        <v>0</v>
      </c>
      <c r="G1627">
        <v>19</v>
      </c>
      <c r="H1627">
        <v>0</v>
      </c>
      <c r="I1627" t="s">
        <v>24</v>
      </c>
      <c r="J1627" t="s">
        <v>25</v>
      </c>
      <c r="K1627">
        <v>0</v>
      </c>
      <c r="L1627">
        <v>0</v>
      </c>
      <c r="M1627" t="s">
        <v>25</v>
      </c>
      <c r="N1627" t="s">
        <v>25</v>
      </c>
      <c r="O1627" t="s">
        <v>26</v>
      </c>
      <c r="P1627" t="s">
        <v>25</v>
      </c>
      <c r="Q1627" t="s">
        <v>27</v>
      </c>
      <c r="R1627" t="s">
        <v>28</v>
      </c>
    </row>
    <row r="1628" spans="1:20">
      <c r="A1628">
        <v>1634</v>
      </c>
      <c r="B1628" t="s">
        <v>1818</v>
      </c>
      <c r="C1628" t="s">
        <v>21</v>
      </c>
      <c r="D1628" t="s">
        <v>22</v>
      </c>
      <c r="E1628" t="s">
        <v>23</v>
      </c>
      <c r="F1628">
        <v>0</v>
      </c>
      <c r="G1628">
        <v>19</v>
      </c>
      <c r="H1628">
        <v>0</v>
      </c>
      <c r="I1628" t="s">
        <v>24</v>
      </c>
      <c r="J1628" t="s">
        <v>25</v>
      </c>
      <c r="K1628">
        <v>0</v>
      </c>
      <c r="L1628">
        <v>0</v>
      </c>
      <c r="M1628" t="s">
        <v>25</v>
      </c>
      <c r="N1628" t="s">
        <v>25</v>
      </c>
      <c r="O1628" t="s">
        <v>26</v>
      </c>
      <c r="P1628" t="s">
        <v>25</v>
      </c>
      <c r="Q1628" t="s">
        <v>27</v>
      </c>
      <c r="R1628" t="s">
        <v>28</v>
      </c>
    </row>
    <row r="1629" spans="1:20">
      <c r="A1629">
        <v>1635</v>
      </c>
      <c r="B1629" t="s">
        <v>1819</v>
      </c>
      <c r="C1629" t="s">
        <v>21</v>
      </c>
      <c r="D1629" t="s">
        <v>22</v>
      </c>
      <c r="E1629" t="s">
        <v>23</v>
      </c>
      <c r="F1629">
        <v>0</v>
      </c>
      <c r="G1629">
        <v>19</v>
      </c>
      <c r="H1629">
        <v>0</v>
      </c>
      <c r="I1629" t="s">
        <v>24</v>
      </c>
      <c r="J1629" t="s">
        <v>25</v>
      </c>
      <c r="K1629">
        <v>0</v>
      </c>
      <c r="L1629">
        <v>0</v>
      </c>
      <c r="M1629" t="s">
        <v>25</v>
      </c>
      <c r="N1629" t="s">
        <v>25</v>
      </c>
      <c r="O1629" t="s">
        <v>26</v>
      </c>
      <c r="P1629" t="s">
        <v>25</v>
      </c>
      <c r="Q1629" t="s">
        <v>27</v>
      </c>
      <c r="R1629" t="s">
        <v>28</v>
      </c>
    </row>
    <row r="1630" spans="1:20">
      <c r="A1630">
        <v>1636</v>
      </c>
      <c r="B1630" t="s">
        <v>1820</v>
      </c>
      <c r="C1630" t="s">
        <v>21</v>
      </c>
      <c r="D1630" t="s">
        <v>22</v>
      </c>
      <c r="E1630" t="s">
        <v>23</v>
      </c>
      <c r="F1630">
        <v>0</v>
      </c>
      <c r="G1630">
        <v>19</v>
      </c>
      <c r="H1630">
        <v>0</v>
      </c>
      <c r="I1630" t="s">
        <v>24</v>
      </c>
      <c r="J1630" t="s">
        <v>25</v>
      </c>
      <c r="K1630">
        <v>0</v>
      </c>
      <c r="L1630">
        <v>0</v>
      </c>
      <c r="M1630" t="s">
        <v>25</v>
      </c>
      <c r="N1630" t="s">
        <v>25</v>
      </c>
      <c r="O1630" t="s">
        <v>26</v>
      </c>
      <c r="P1630" t="s">
        <v>25</v>
      </c>
      <c r="Q1630" t="s">
        <v>27</v>
      </c>
      <c r="R1630" t="s">
        <v>28</v>
      </c>
    </row>
    <row r="1631" spans="1:20">
      <c r="A1631">
        <v>1637</v>
      </c>
      <c r="B1631" t="s">
        <v>1821</v>
      </c>
      <c r="C1631" t="s">
        <v>21</v>
      </c>
      <c r="D1631" t="s">
        <v>22</v>
      </c>
      <c r="E1631" t="s">
        <v>23</v>
      </c>
      <c r="F1631">
        <v>0</v>
      </c>
      <c r="G1631">
        <v>19</v>
      </c>
      <c r="H1631">
        <v>0</v>
      </c>
      <c r="I1631" t="s">
        <v>24</v>
      </c>
      <c r="J1631" t="s">
        <v>25</v>
      </c>
      <c r="K1631">
        <v>0</v>
      </c>
      <c r="L1631">
        <v>0</v>
      </c>
      <c r="M1631" t="s">
        <v>25</v>
      </c>
      <c r="N1631" t="s">
        <v>25</v>
      </c>
      <c r="O1631" t="s">
        <v>26</v>
      </c>
      <c r="P1631" t="s">
        <v>25</v>
      </c>
      <c r="Q1631" t="s">
        <v>27</v>
      </c>
      <c r="R1631" t="s">
        <v>28</v>
      </c>
    </row>
    <row r="1632" spans="1:20">
      <c r="A1632">
        <v>1638</v>
      </c>
      <c r="B1632" t="s">
        <v>1822</v>
      </c>
      <c r="C1632" t="s">
        <v>21</v>
      </c>
      <c r="D1632" t="s">
        <v>22</v>
      </c>
      <c r="E1632" t="s">
        <v>23</v>
      </c>
      <c r="F1632">
        <v>0</v>
      </c>
      <c r="G1632">
        <v>19</v>
      </c>
      <c r="H1632">
        <v>0</v>
      </c>
      <c r="I1632" t="s">
        <v>24</v>
      </c>
      <c r="J1632" t="s">
        <v>25</v>
      </c>
      <c r="K1632">
        <v>0</v>
      </c>
      <c r="L1632">
        <v>0</v>
      </c>
      <c r="M1632" t="s">
        <v>25</v>
      </c>
      <c r="N1632" t="s">
        <v>25</v>
      </c>
      <c r="O1632" t="s">
        <v>26</v>
      </c>
      <c r="P1632" t="s">
        <v>25</v>
      </c>
      <c r="Q1632" t="s">
        <v>27</v>
      </c>
      <c r="R1632" t="s">
        <v>28</v>
      </c>
    </row>
    <row r="1633" spans="1:20">
      <c r="A1633">
        <v>1639</v>
      </c>
      <c r="B1633" t="s">
        <v>1823</v>
      </c>
      <c r="C1633" t="s">
        <v>21</v>
      </c>
      <c r="D1633" t="s">
        <v>22</v>
      </c>
      <c r="E1633" t="s">
        <v>23</v>
      </c>
      <c r="F1633">
        <v>0</v>
      </c>
      <c r="G1633">
        <v>19</v>
      </c>
      <c r="H1633">
        <v>0</v>
      </c>
      <c r="I1633" t="s">
        <v>24</v>
      </c>
      <c r="J1633" t="s">
        <v>25</v>
      </c>
      <c r="K1633">
        <v>0</v>
      </c>
      <c r="L1633">
        <v>0</v>
      </c>
      <c r="M1633" t="s">
        <v>25</v>
      </c>
      <c r="N1633" t="s">
        <v>25</v>
      </c>
      <c r="O1633" t="s">
        <v>26</v>
      </c>
      <c r="P1633" t="s">
        <v>25</v>
      </c>
      <c r="Q1633" t="s">
        <v>27</v>
      </c>
      <c r="R1633" t="s">
        <v>28</v>
      </c>
    </row>
    <row r="1634" spans="1:20">
      <c r="A1634">
        <v>1640</v>
      </c>
      <c r="B1634" t="s">
        <v>1824</v>
      </c>
      <c r="C1634" t="s">
        <v>21</v>
      </c>
      <c r="D1634" t="s">
        <v>22</v>
      </c>
      <c r="E1634" t="s">
        <v>23</v>
      </c>
      <c r="F1634">
        <v>0</v>
      </c>
      <c r="G1634">
        <v>19</v>
      </c>
      <c r="H1634">
        <v>0</v>
      </c>
      <c r="I1634" t="s">
        <v>24</v>
      </c>
      <c r="J1634" t="s">
        <v>25</v>
      </c>
      <c r="K1634">
        <v>0</v>
      </c>
      <c r="L1634">
        <v>0</v>
      </c>
      <c r="M1634" t="s">
        <v>25</v>
      </c>
      <c r="N1634" t="s">
        <v>25</v>
      </c>
      <c r="O1634" t="s">
        <v>26</v>
      </c>
      <c r="P1634" t="s">
        <v>25</v>
      </c>
      <c r="Q1634" t="s">
        <v>27</v>
      </c>
      <c r="R1634" t="s">
        <v>28</v>
      </c>
    </row>
    <row r="1635" spans="1:20">
      <c r="A1635">
        <v>1641</v>
      </c>
      <c r="B1635" t="s">
        <v>1825</v>
      </c>
      <c r="C1635" t="s">
        <v>21</v>
      </c>
      <c r="D1635" t="s">
        <v>22</v>
      </c>
      <c r="E1635" t="s">
        <v>23</v>
      </c>
      <c r="F1635">
        <v>0</v>
      </c>
      <c r="G1635">
        <v>19</v>
      </c>
      <c r="H1635">
        <v>0</v>
      </c>
      <c r="I1635" t="s">
        <v>24</v>
      </c>
      <c r="J1635" t="s">
        <v>25</v>
      </c>
      <c r="K1635">
        <v>0</v>
      </c>
      <c r="L1635">
        <v>0</v>
      </c>
      <c r="M1635" t="s">
        <v>25</v>
      </c>
      <c r="N1635" t="s">
        <v>25</v>
      </c>
      <c r="O1635" t="s">
        <v>26</v>
      </c>
      <c r="P1635" t="s">
        <v>25</v>
      </c>
      <c r="Q1635" t="s">
        <v>27</v>
      </c>
      <c r="R1635" t="s">
        <v>28</v>
      </c>
    </row>
    <row r="1636" spans="1:20">
      <c r="A1636">
        <v>1642</v>
      </c>
      <c r="B1636" t="s">
        <v>1826</v>
      </c>
      <c r="C1636" t="s">
        <v>21</v>
      </c>
      <c r="D1636" t="s">
        <v>22</v>
      </c>
      <c r="E1636" t="s">
        <v>23</v>
      </c>
      <c r="F1636">
        <v>0</v>
      </c>
      <c r="G1636">
        <v>19</v>
      </c>
      <c r="H1636">
        <v>0</v>
      </c>
      <c r="I1636" t="s">
        <v>24</v>
      </c>
      <c r="J1636" t="s">
        <v>25</v>
      </c>
      <c r="K1636">
        <v>0</v>
      </c>
      <c r="L1636">
        <v>0</v>
      </c>
      <c r="M1636" t="s">
        <v>25</v>
      </c>
      <c r="N1636" t="s">
        <v>25</v>
      </c>
      <c r="O1636" t="s">
        <v>26</v>
      </c>
      <c r="P1636" t="s">
        <v>25</v>
      </c>
      <c r="Q1636" t="s">
        <v>27</v>
      </c>
      <c r="R1636" t="s">
        <v>28</v>
      </c>
      <c r="S1636" t="s">
        <v>51</v>
      </c>
      <c r="T1636" t="s">
        <v>1816</v>
      </c>
    </row>
    <row r="1637" spans="1:20">
      <c r="A1637">
        <v>1643</v>
      </c>
      <c r="B1637" t="s">
        <v>1827</v>
      </c>
      <c r="C1637" t="s">
        <v>21</v>
      </c>
      <c r="D1637" t="s">
        <v>22</v>
      </c>
      <c r="E1637" t="s">
        <v>23</v>
      </c>
      <c r="F1637">
        <v>0</v>
      </c>
      <c r="G1637">
        <v>19</v>
      </c>
      <c r="H1637">
        <v>0</v>
      </c>
      <c r="I1637" t="s">
        <v>24</v>
      </c>
      <c r="J1637" t="s">
        <v>25</v>
      </c>
      <c r="K1637">
        <v>0</v>
      </c>
      <c r="L1637">
        <v>0</v>
      </c>
      <c r="M1637" t="s">
        <v>25</v>
      </c>
      <c r="N1637" t="s">
        <v>25</v>
      </c>
      <c r="O1637" t="s">
        <v>26</v>
      </c>
      <c r="P1637" t="s">
        <v>25</v>
      </c>
      <c r="Q1637" t="s">
        <v>27</v>
      </c>
      <c r="R1637" t="s">
        <v>28</v>
      </c>
    </row>
    <row r="1638" spans="1:20">
      <c r="A1638">
        <v>1644</v>
      </c>
      <c r="B1638" t="s">
        <v>1828</v>
      </c>
      <c r="C1638" t="s">
        <v>21</v>
      </c>
      <c r="D1638" t="s">
        <v>22</v>
      </c>
      <c r="E1638" t="s">
        <v>23</v>
      </c>
      <c r="F1638">
        <v>0</v>
      </c>
      <c r="G1638">
        <v>19</v>
      </c>
      <c r="H1638">
        <v>0</v>
      </c>
      <c r="I1638" t="s">
        <v>24</v>
      </c>
      <c r="J1638" t="s">
        <v>25</v>
      </c>
      <c r="K1638">
        <v>0</v>
      </c>
      <c r="L1638">
        <v>0</v>
      </c>
      <c r="M1638" t="s">
        <v>25</v>
      </c>
      <c r="N1638" t="s">
        <v>25</v>
      </c>
      <c r="O1638" t="s">
        <v>26</v>
      </c>
      <c r="P1638" t="s">
        <v>25</v>
      </c>
      <c r="Q1638" t="s">
        <v>27</v>
      </c>
      <c r="R1638" t="s">
        <v>28</v>
      </c>
    </row>
    <row r="1639" spans="1:20">
      <c r="A1639">
        <v>1645</v>
      </c>
      <c r="B1639" t="s">
        <v>1829</v>
      </c>
      <c r="C1639" t="s">
        <v>21</v>
      </c>
      <c r="D1639" t="s">
        <v>22</v>
      </c>
      <c r="E1639" t="s">
        <v>23</v>
      </c>
      <c r="F1639">
        <v>0</v>
      </c>
      <c r="G1639">
        <v>19</v>
      </c>
      <c r="H1639">
        <v>0</v>
      </c>
      <c r="I1639" t="s">
        <v>24</v>
      </c>
      <c r="J1639" t="s">
        <v>25</v>
      </c>
      <c r="K1639">
        <v>0</v>
      </c>
      <c r="L1639">
        <v>0</v>
      </c>
      <c r="M1639" t="s">
        <v>25</v>
      </c>
      <c r="N1639" t="s">
        <v>25</v>
      </c>
      <c r="O1639" t="s">
        <v>26</v>
      </c>
      <c r="P1639" t="s">
        <v>25</v>
      </c>
      <c r="Q1639" t="s">
        <v>27</v>
      </c>
      <c r="R1639" t="s">
        <v>28</v>
      </c>
    </row>
    <row r="1640" spans="1:20">
      <c r="A1640">
        <v>1646</v>
      </c>
      <c r="B1640" t="s">
        <v>1830</v>
      </c>
      <c r="C1640" t="s">
        <v>21</v>
      </c>
      <c r="D1640" t="s">
        <v>22</v>
      </c>
      <c r="E1640" t="s">
        <v>23</v>
      </c>
      <c r="F1640">
        <v>0</v>
      </c>
      <c r="G1640">
        <v>19</v>
      </c>
      <c r="H1640">
        <v>0</v>
      </c>
      <c r="I1640" t="s">
        <v>24</v>
      </c>
      <c r="J1640" t="s">
        <v>25</v>
      </c>
      <c r="K1640">
        <v>0</v>
      </c>
      <c r="L1640">
        <v>0</v>
      </c>
      <c r="M1640" t="s">
        <v>25</v>
      </c>
      <c r="N1640" t="s">
        <v>25</v>
      </c>
      <c r="O1640" t="s">
        <v>26</v>
      </c>
      <c r="P1640" t="s">
        <v>25</v>
      </c>
      <c r="Q1640" t="s">
        <v>27</v>
      </c>
      <c r="R1640" t="s">
        <v>28</v>
      </c>
    </row>
    <row r="1641" spans="1:20">
      <c r="A1641">
        <v>1647</v>
      </c>
      <c r="B1641" t="s">
        <v>1831</v>
      </c>
      <c r="C1641" t="s">
        <v>21</v>
      </c>
      <c r="D1641" t="s">
        <v>22</v>
      </c>
      <c r="E1641" t="s">
        <v>23</v>
      </c>
      <c r="F1641">
        <v>0</v>
      </c>
      <c r="G1641">
        <v>19</v>
      </c>
      <c r="H1641">
        <v>0</v>
      </c>
      <c r="I1641" t="s">
        <v>24</v>
      </c>
      <c r="J1641" t="s">
        <v>25</v>
      </c>
      <c r="K1641">
        <v>0</v>
      </c>
      <c r="L1641">
        <v>0</v>
      </c>
      <c r="M1641" t="s">
        <v>25</v>
      </c>
      <c r="N1641" t="s">
        <v>25</v>
      </c>
      <c r="O1641" t="s">
        <v>26</v>
      </c>
      <c r="P1641" t="s">
        <v>25</v>
      </c>
      <c r="Q1641" t="s">
        <v>27</v>
      </c>
      <c r="R1641" t="s">
        <v>28</v>
      </c>
    </row>
    <row r="1642" spans="1:20">
      <c r="A1642">
        <v>1648</v>
      </c>
      <c r="B1642" t="s">
        <v>1832</v>
      </c>
      <c r="C1642" t="s">
        <v>21</v>
      </c>
      <c r="D1642" t="s">
        <v>22</v>
      </c>
      <c r="E1642" t="s">
        <v>23</v>
      </c>
      <c r="F1642">
        <v>0</v>
      </c>
      <c r="G1642">
        <v>19</v>
      </c>
      <c r="H1642">
        <v>0</v>
      </c>
      <c r="I1642" t="s">
        <v>24</v>
      </c>
      <c r="J1642" t="s">
        <v>25</v>
      </c>
      <c r="K1642">
        <v>0</v>
      </c>
      <c r="L1642">
        <v>0</v>
      </c>
      <c r="M1642" t="s">
        <v>25</v>
      </c>
      <c r="N1642" t="s">
        <v>25</v>
      </c>
      <c r="O1642" t="s">
        <v>26</v>
      </c>
      <c r="P1642" t="s">
        <v>25</v>
      </c>
      <c r="Q1642" t="s">
        <v>27</v>
      </c>
      <c r="R1642" t="s">
        <v>28</v>
      </c>
    </row>
    <row r="1643" spans="1:20">
      <c r="A1643">
        <v>1649</v>
      </c>
      <c r="B1643" t="s">
        <v>1833</v>
      </c>
      <c r="C1643" t="s">
        <v>21</v>
      </c>
      <c r="D1643" t="s">
        <v>22</v>
      </c>
      <c r="E1643" t="s">
        <v>23</v>
      </c>
      <c r="F1643">
        <v>0</v>
      </c>
      <c r="G1643">
        <v>19</v>
      </c>
      <c r="H1643">
        <v>0</v>
      </c>
      <c r="I1643" t="s">
        <v>24</v>
      </c>
      <c r="J1643" t="s">
        <v>25</v>
      </c>
      <c r="K1643">
        <v>0</v>
      </c>
      <c r="L1643">
        <v>0</v>
      </c>
      <c r="M1643" t="s">
        <v>25</v>
      </c>
      <c r="N1643" t="s">
        <v>25</v>
      </c>
      <c r="O1643" t="s">
        <v>26</v>
      </c>
      <c r="P1643" t="s">
        <v>25</v>
      </c>
      <c r="Q1643" t="s">
        <v>27</v>
      </c>
      <c r="R1643" t="s">
        <v>28</v>
      </c>
    </row>
    <row r="1644" spans="1:20">
      <c r="A1644">
        <v>1650</v>
      </c>
      <c r="B1644" t="s">
        <v>1834</v>
      </c>
      <c r="C1644" t="s">
        <v>21</v>
      </c>
      <c r="D1644" t="s">
        <v>22</v>
      </c>
      <c r="E1644" t="s">
        <v>23</v>
      </c>
      <c r="F1644">
        <v>0</v>
      </c>
      <c r="G1644">
        <v>19</v>
      </c>
      <c r="H1644">
        <v>0</v>
      </c>
      <c r="I1644" t="s">
        <v>24</v>
      </c>
      <c r="J1644" t="s">
        <v>25</v>
      </c>
      <c r="K1644">
        <v>0</v>
      </c>
      <c r="L1644">
        <v>0</v>
      </c>
      <c r="M1644" t="s">
        <v>25</v>
      </c>
      <c r="N1644" t="s">
        <v>25</v>
      </c>
      <c r="O1644" t="s">
        <v>26</v>
      </c>
      <c r="P1644" t="s">
        <v>25</v>
      </c>
      <c r="Q1644" t="s">
        <v>27</v>
      </c>
      <c r="R1644" t="s">
        <v>28</v>
      </c>
    </row>
    <row r="1645" spans="1:20">
      <c r="A1645">
        <v>1651</v>
      </c>
      <c r="B1645" t="s">
        <v>1835</v>
      </c>
      <c r="C1645" t="s">
        <v>21</v>
      </c>
      <c r="D1645" t="s">
        <v>22</v>
      </c>
      <c r="E1645" t="s">
        <v>23</v>
      </c>
      <c r="F1645">
        <v>159900</v>
      </c>
      <c r="G1645">
        <v>19</v>
      </c>
      <c r="H1645">
        <v>190281</v>
      </c>
      <c r="I1645" t="s">
        <v>24</v>
      </c>
      <c r="J1645" t="s">
        <v>25</v>
      </c>
      <c r="K1645">
        <v>0</v>
      </c>
      <c r="L1645">
        <v>0</v>
      </c>
      <c r="M1645" t="s">
        <v>25</v>
      </c>
      <c r="N1645" t="s">
        <v>25</v>
      </c>
      <c r="O1645" t="s">
        <v>26</v>
      </c>
      <c r="P1645" t="s">
        <v>25</v>
      </c>
      <c r="Q1645" t="s">
        <v>27</v>
      </c>
      <c r="R1645" t="s">
        <v>28</v>
      </c>
      <c r="S1645" t="s">
        <v>51</v>
      </c>
      <c r="T1645" t="s">
        <v>303</v>
      </c>
    </row>
    <row r="1646" spans="1:20">
      <c r="A1646">
        <v>1652</v>
      </c>
      <c r="B1646" t="s">
        <v>1836</v>
      </c>
      <c r="C1646" t="s">
        <v>21</v>
      </c>
      <c r="D1646" t="s">
        <v>22</v>
      </c>
      <c r="E1646" t="s">
        <v>23</v>
      </c>
      <c r="F1646">
        <v>0</v>
      </c>
      <c r="G1646">
        <v>19</v>
      </c>
      <c r="H1646">
        <v>0</v>
      </c>
      <c r="I1646" t="s">
        <v>24</v>
      </c>
      <c r="J1646" t="s">
        <v>25</v>
      </c>
      <c r="K1646">
        <v>0</v>
      </c>
      <c r="L1646">
        <v>0</v>
      </c>
      <c r="M1646" t="s">
        <v>25</v>
      </c>
      <c r="N1646" t="s">
        <v>25</v>
      </c>
      <c r="O1646" t="s">
        <v>26</v>
      </c>
      <c r="P1646" t="s">
        <v>25</v>
      </c>
      <c r="Q1646" t="s">
        <v>27</v>
      </c>
      <c r="R1646" t="s">
        <v>28</v>
      </c>
    </row>
    <row r="1647" spans="1:20">
      <c r="A1647">
        <v>1653</v>
      </c>
      <c r="B1647" t="s">
        <v>1837</v>
      </c>
      <c r="C1647" t="s">
        <v>21</v>
      </c>
      <c r="D1647" t="s">
        <v>22</v>
      </c>
      <c r="E1647" t="s">
        <v>23</v>
      </c>
      <c r="F1647">
        <v>0</v>
      </c>
      <c r="G1647">
        <v>19</v>
      </c>
      <c r="H1647">
        <v>0</v>
      </c>
      <c r="I1647" t="s">
        <v>24</v>
      </c>
      <c r="J1647" t="s">
        <v>25</v>
      </c>
      <c r="K1647">
        <v>0</v>
      </c>
      <c r="L1647">
        <v>0</v>
      </c>
      <c r="M1647" t="s">
        <v>25</v>
      </c>
      <c r="N1647" t="s">
        <v>25</v>
      </c>
      <c r="O1647" t="s">
        <v>26</v>
      </c>
      <c r="P1647" t="s">
        <v>25</v>
      </c>
      <c r="Q1647" t="s">
        <v>27</v>
      </c>
      <c r="R1647" t="s">
        <v>28</v>
      </c>
    </row>
    <row r="1648" spans="1:20">
      <c r="A1648">
        <v>1654</v>
      </c>
      <c r="B1648" t="s">
        <v>1838</v>
      </c>
      <c r="C1648" t="s">
        <v>21</v>
      </c>
      <c r="D1648" t="s">
        <v>22</v>
      </c>
      <c r="E1648" t="s">
        <v>23</v>
      </c>
      <c r="F1648">
        <v>0</v>
      </c>
      <c r="G1648">
        <v>19</v>
      </c>
      <c r="H1648">
        <v>0</v>
      </c>
      <c r="I1648" t="s">
        <v>24</v>
      </c>
      <c r="J1648" t="s">
        <v>25</v>
      </c>
      <c r="K1648">
        <v>0</v>
      </c>
      <c r="L1648">
        <v>0</v>
      </c>
      <c r="M1648" t="s">
        <v>25</v>
      </c>
      <c r="N1648" t="s">
        <v>25</v>
      </c>
      <c r="O1648" t="s">
        <v>26</v>
      </c>
      <c r="P1648" t="s">
        <v>25</v>
      </c>
      <c r="Q1648" t="s">
        <v>27</v>
      </c>
      <c r="R1648" t="s">
        <v>28</v>
      </c>
    </row>
    <row r="1649" spans="1:20">
      <c r="A1649">
        <v>1655</v>
      </c>
      <c r="B1649" t="s">
        <v>1839</v>
      </c>
      <c r="C1649" t="s">
        <v>21</v>
      </c>
      <c r="D1649" t="s">
        <v>22</v>
      </c>
      <c r="E1649" t="s">
        <v>23</v>
      </c>
      <c r="F1649">
        <v>0</v>
      </c>
      <c r="G1649">
        <v>19</v>
      </c>
      <c r="H1649">
        <v>0</v>
      </c>
      <c r="I1649" t="s">
        <v>24</v>
      </c>
      <c r="J1649" t="s">
        <v>25</v>
      </c>
      <c r="K1649">
        <v>0</v>
      </c>
      <c r="L1649">
        <v>0</v>
      </c>
      <c r="M1649" t="s">
        <v>25</v>
      </c>
      <c r="N1649" t="s">
        <v>25</v>
      </c>
      <c r="O1649" t="s">
        <v>26</v>
      </c>
      <c r="P1649" t="s">
        <v>25</v>
      </c>
      <c r="Q1649" t="s">
        <v>27</v>
      </c>
      <c r="R1649" t="s">
        <v>28</v>
      </c>
    </row>
    <row r="1650" spans="1:20">
      <c r="A1650">
        <v>1656</v>
      </c>
      <c r="B1650" t="s">
        <v>1840</v>
      </c>
      <c r="C1650" t="s">
        <v>21</v>
      </c>
      <c r="D1650" t="s">
        <v>22</v>
      </c>
      <c r="E1650" t="s">
        <v>23</v>
      </c>
      <c r="F1650">
        <v>0</v>
      </c>
      <c r="G1650">
        <v>19</v>
      </c>
      <c r="H1650">
        <v>0</v>
      </c>
      <c r="I1650" t="s">
        <v>24</v>
      </c>
      <c r="J1650" t="s">
        <v>25</v>
      </c>
      <c r="K1650">
        <v>0</v>
      </c>
      <c r="L1650">
        <v>0</v>
      </c>
      <c r="M1650" t="s">
        <v>25</v>
      </c>
      <c r="N1650" t="s">
        <v>25</v>
      </c>
      <c r="O1650" t="s">
        <v>26</v>
      </c>
      <c r="P1650" t="s">
        <v>25</v>
      </c>
      <c r="Q1650" t="s">
        <v>27</v>
      </c>
      <c r="R1650" t="s">
        <v>28</v>
      </c>
    </row>
    <row r="1651" spans="1:20">
      <c r="A1651">
        <v>1657</v>
      </c>
      <c r="B1651" t="s">
        <v>1841</v>
      </c>
      <c r="C1651" t="s">
        <v>21</v>
      </c>
      <c r="D1651" t="s">
        <v>22</v>
      </c>
      <c r="E1651" t="s">
        <v>23</v>
      </c>
      <c r="F1651">
        <v>0</v>
      </c>
      <c r="G1651">
        <v>19</v>
      </c>
      <c r="H1651">
        <v>0</v>
      </c>
      <c r="I1651" t="s">
        <v>24</v>
      </c>
      <c r="J1651" t="s">
        <v>25</v>
      </c>
      <c r="K1651">
        <v>0</v>
      </c>
      <c r="L1651">
        <v>0</v>
      </c>
      <c r="M1651" t="s">
        <v>25</v>
      </c>
      <c r="N1651" t="s">
        <v>25</v>
      </c>
      <c r="O1651" t="s">
        <v>26</v>
      </c>
      <c r="P1651" t="s">
        <v>25</v>
      </c>
      <c r="Q1651" t="s">
        <v>27</v>
      </c>
      <c r="R1651" t="s">
        <v>28</v>
      </c>
    </row>
    <row r="1652" spans="1:20">
      <c r="A1652">
        <v>1658</v>
      </c>
      <c r="B1652" t="s">
        <v>1842</v>
      </c>
      <c r="C1652" t="s">
        <v>21</v>
      </c>
      <c r="D1652" t="s">
        <v>22</v>
      </c>
      <c r="E1652" t="s">
        <v>23</v>
      </c>
      <c r="F1652">
        <v>327000</v>
      </c>
      <c r="G1652">
        <v>19</v>
      </c>
      <c r="H1652">
        <v>389130</v>
      </c>
      <c r="I1652" t="s">
        <v>24</v>
      </c>
      <c r="J1652" t="s">
        <v>25</v>
      </c>
      <c r="K1652">
        <v>0</v>
      </c>
      <c r="L1652">
        <v>0</v>
      </c>
      <c r="M1652" t="s">
        <v>25</v>
      </c>
      <c r="N1652" t="s">
        <v>25</v>
      </c>
      <c r="O1652" t="s">
        <v>26</v>
      </c>
      <c r="P1652" t="s">
        <v>25</v>
      </c>
      <c r="Q1652" t="s">
        <v>27</v>
      </c>
      <c r="R1652" t="s">
        <v>28</v>
      </c>
      <c r="S1652" t="s">
        <v>51</v>
      </c>
      <c r="T1652" t="s">
        <v>1843</v>
      </c>
    </row>
    <row r="1653" spans="1:20">
      <c r="A1653">
        <v>1659</v>
      </c>
      <c r="B1653" t="s">
        <v>1844</v>
      </c>
      <c r="C1653" t="s">
        <v>21</v>
      </c>
      <c r="D1653" t="s">
        <v>22</v>
      </c>
      <c r="E1653" t="s">
        <v>23</v>
      </c>
      <c r="F1653">
        <v>0</v>
      </c>
      <c r="G1653">
        <v>19</v>
      </c>
      <c r="H1653">
        <v>0</v>
      </c>
      <c r="I1653" t="s">
        <v>24</v>
      </c>
      <c r="J1653" t="s">
        <v>25</v>
      </c>
      <c r="K1653">
        <v>0</v>
      </c>
      <c r="L1653">
        <v>0</v>
      </c>
      <c r="M1653" t="s">
        <v>25</v>
      </c>
      <c r="N1653" t="s">
        <v>25</v>
      </c>
      <c r="O1653" t="s">
        <v>26</v>
      </c>
      <c r="P1653" t="s">
        <v>25</v>
      </c>
      <c r="Q1653" t="s">
        <v>27</v>
      </c>
      <c r="R1653" t="s">
        <v>28</v>
      </c>
    </row>
    <row r="1654" spans="1:20">
      <c r="A1654">
        <v>1660</v>
      </c>
      <c r="B1654" t="s">
        <v>1845</v>
      </c>
      <c r="C1654" t="s">
        <v>21</v>
      </c>
      <c r="D1654" t="s">
        <v>22</v>
      </c>
      <c r="E1654" t="s">
        <v>23</v>
      </c>
      <c r="F1654">
        <v>0</v>
      </c>
      <c r="G1654">
        <v>19</v>
      </c>
      <c r="H1654">
        <v>0</v>
      </c>
      <c r="I1654" t="s">
        <v>24</v>
      </c>
      <c r="J1654" t="s">
        <v>25</v>
      </c>
      <c r="K1654">
        <v>0</v>
      </c>
      <c r="L1654">
        <v>0</v>
      </c>
      <c r="M1654" t="s">
        <v>25</v>
      </c>
      <c r="N1654" t="s">
        <v>25</v>
      </c>
      <c r="O1654" t="s">
        <v>26</v>
      </c>
      <c r="P1654" t="s">
        <v>25</v>
      </c>
      <c r="Q1654" t="s">
        <v>27</v>
      </c>
      <c r="R1654" t="s">
        <v>28</v>
      </c>
    </row>
    <row r="1655" spans="1:20">
      <c r="A1655">
        <v>1661</v>
      </c>
      <c r="B1655" t="s">
        <v>1846</v>
      </c>
      <c r="C1655" t="s">
        <v>21</v>
      </c>
      <c r="D1655" t="s">
        <v>22</v>
      </c>
      <c r="E1655" t="s">
        <v>23</v>
      </c>
      <c r="F1655">
        <v>0</v>
      </c>
      <c r="G1655">
        <v>19</v>
      </c>
      <c r="H1655">
        <v>0</v>
      </c>
      <c r="I1655" t="s">
        <v>24</v>
      </c>
      <c r="J1655" t="s">
        <v>25</v>
      </c>
      <c r="K1655">
        <v>0</v>
      </c>
      <c r="L1655">
        <v>0</v>
      </c>
      <c r="M1655" t="s">
        <v>25</v>
      </c>
      <c r="N1655" t="s">
        <v>25</v>
      </c>
      <c r="O1655" t="s">
        <v>26</v>
      </c>
      <c r="P1655" t="s">
        <v>25</v>
      </c>
      <c r="Q1655" t="s">
        <v>27</v>
      </c>
      <c r="R1655" t="s">
        <v>28</v>
      </c>
    </row>
    <row r="1656" spans="1:20">
      <c r="A1656">
        <v>1662</v>
      </c>
      <c r="B1656" t="s">
        <v>1847</v>
      </c>
      <c r="C1656" t="s">
        <v>21</v>
      </c>
      <c r="D1656" t="s">
        <v>22</v>
      </c>
      <c r="E1656" t="s">
        <v>23</v>
      </c>
      <c r="F1656">
        <v>0</v>
      </c>
      <c r="G1656">
        <v>19</v>
      </c>
      <c r="H1656">
        <v>0</v>
      </c>
      <c r="I1656" t="s">
        <v>24</v>
      </c>
      <c r="J1656" t="s">
        <v>25</v>
      </c>
      <c r="K1656">
        <v>0</v>
      </c>
      <c r="L1656">
        <v>0</v>
      </c>
      <c r="M1656" t="s">
        <v>25</v>
      </c>
      <c r="N1656" t="s">
        <v>25</v>
      </c>
      <c r="O1656" t="s">
        <v>26</v>
      </c>
      <c r="P1656" t="s">
        <v>25</v>
      </c>
      <c r="Q1656" t="s">
        <v>27</v>
      </c>
      <c r="R1656" t="s">
        <v>28</v>
      </c>
    </row>
    <row r="1657" spans="1:20">
      <c r="A1657">
        <v>1663</v>
      </c>
      <c r="B1657" t="s">
        <v>1848</v>
      </c>
      <c r="C1657" t="s">
        <v>21</v>
      </c>
      <c r="D1657" t="s">
        <v>22</v>
      </c>
      <c r="E1657" t="s">
        <v>23</v>
      </c>
      <c r="F1657">
        <v>593965</v>
      </c>
      <c r="G1657">
        <v>19</v>
      </c>
      <c r="H1657">
        <v>706818.35</v>
      </c>
      <c r="I1657" t="s">
        <v>24</v>
      </c>
      <c r="J1657" t="s">
        <v>25</v>
      </c>
      <c r="K1657">
        <v>0</v>
      </c>
      <c r="L1657">
        <v>0</v>
      </c>
      <c r="M1657" t="s">
        <v>25</v>
      </c>
      <c r="N1657" t="s">
        <v>25</v>
      </c>
      <c r="O1657" t="s">
        <v>26</v>
      </c>
      <c r="P1657" t="s">
        <v>25</v>
      </c>
      <c r="Q1657" t="s">
        <v>27</v>
      </c>
      <c r="R1657" t="s">
        <v>28</v>
      </c>
      <c r="S1657" t="s">
        <v>51</v>
      </c>
      <c r="T1657" t="s">
        <v>1849</v>
      </c>
    </row>
    <row r="1658" spans="1:20">
      <c r="A1658">
        <v>1664</v>
      </c>
      <c r="B1658" t="s">
        <v>1850</v>
      </c>
      <c r="C1658" t="s">
        <v>21</v>
      </c>
      <c r="D1658" t="s">
        <v>22</v>
      </c>
      <c r="E1658" t="s">
        <v>23</v>
      </c>
      <c r="F1658">
        <v>0</v>
      </c>
      <c r="G1658">
        <v>19</v>
      </c>
      <c r="H1658">
        <v>0</v>
      </c>
      <c r="I1658" t="s">
        <v>24</v>
      </c>
      <c r="J1658" t="s">
        <v>25</v>
      </c>
      <c r="K1658">
        <v>0</v>
      </c>
      <c r="L1658">
        <v>0</v>
      </c>
      <c r="M1658" t="s">
        <v>25</v>
      </c>
      <c r="N1658" t="s">
        <v>25</v>
      </c>
      <c r="O1658" t="s">
        <v>26</v>
      </c>
      <c r="P1658" t="s">
        <v>25</v>
      </c>
      <c r="Q1658" t="s">
        <v>27</v>
      </c>
      <c r="R1658" t="s">
        <v>28</v>
      </c>
    </row>
    <row r="1659" spans="1:20">
      <c r="A1659">
        <v>1665</v>
      </c>
      <c r="B1659" t="s">
        <v>1851</v>
      </c>
      <c r="C1659" t="s">
        <v>21</v>
      </c>
      <c r="D1659" t="s">
        <v>22</v>
      </c>
      <c r="E1659" t="s">
        <v>23</v>
      </c>
      <c r="F1659">
        <v>0</v>
      </c>
      <c r="G1659">
        <v>19</v>
      </c>
      <c r="H1659">
        <v>0</v>
      </c>
      <c r="I1659" t="s">
        <v>24</v>
      </c>
      <c r="J1659" t="s">
        <v>25</v>
      </c>
      <c r="K1659">
        <v>0</v>
      </c>
      <c r="L1659">
        <v>0</v>
      </c>
      <c r="M1659" t="s">
        <v>25</v>
      </c>
      <c r="N1659" t="s">
        <v>25</v>
      </c>
      <c r="O1659" t="s">
        <v>26</v>
      </c>
      <c r="P1659" t="s">
        <v>25</v>
      </c>
      <c r="Q1659" t="s">
        <v>27</v>
      </c>
      <c r="R1659" t="s">
        <v>28</v>
      </c>
    </row>
    <row r="1660" spans="1:20">
      <c r="A1660">
        <v>1666</v>
      </c>
      <c r="B1660" t="s">
        <v>1852</v>
      </c>
      <c r="C1660" t="s">
        <v>21</v>
      </c>
      <c r="D1660" t="s">
        <v>22</v>
      </c>
      <c r="E1660" t="s">
        <v>23</v>
      </c>
      <c r="F1660">
        <v>0</v>
      </c>
      <c r="G1660">
        <v>19</v>
      </c>
      <c r="H1660">
        <v>0</v>
      </c>
      <c r="I1660" t="s">
        <v>24</v>
      </c>
      <c r="J1660" t="s">
        <v>25</v>
      </c>
      <c r="K1660">
        <v>0</v>
      </c>
      <c r="L1660">
        <v>0</v>
      </c>
      <c r="M1660" t="s">
        <v>25</v>
      </c>
      <c r="N1660" t="s">
        <v>25</v>
      </c>
      <c r="O1660" t="s">
        <v>26</v>
      </c>
      <c r="P1660" t="s">
        <v>25</v>
      </c>
      <c r="Q1660" t="s">
        <v>27</v>
      </c>
      <c r="R1660" t="s">
        <v>28</v>
      </c>
    </row>
    <row r="1661" spans="1:20">
      <c r="A1661">
        <v>1667</v>
      </c>
      <c r="B1661" t="s">
        <v>1853</v>
      </c>
      <c r="C1661" t="s">
        <v>21</v>
      </c>
      <c r="D1661" t="s">
        <v>22</v>
      </c>
      <c r="E1661" t="s">
        <v>23</v>
      </c>
      <c r="F1661">
        <v>0</v>
      </c>
      <c r="G1661">
        <v>19</v>
      </c>
      <c r="H1661">
        <v>0</v>
      </c>
      <c r="I1661" t="s">
        <v>24</v>
      </c>
      <c r="J1661" t="s">
        <v>25</v>
      </c>
      <c r="K1661">
        <v>0</v>
      </c>
      <c r="L1661">
        <v>0</v>
      </c>
      <c r="M1661" t="s">
        <v>25</v>
      </c>
      <c r="N1661" t="s">
        <v>25</v>
      </c>
      <c r="O1661" t="s">
        <v>26</v>
      </c>
      <c r="P1661" t="s">
        <v>25</v>
      </c>
      <c r="Q1661" t="s">
        <v>27</v>
      </c>
      <c r="R1661" t="s">
        <v>28</v>
      </c>
    </row>
    <row r="1662" spans="1:20">
      <c r="A1662">
        <v>1668</v>
      </c>
      <c r="B1662" t="s">
        <v>1854</v>
      </c>
      <c r="C1662" t="s">
        <v>21</v>
      </c>
      <c r="D1662" t="s">
        <v>22</v>
      </c>
      <c r="E1662" t="s">
        <v>23</v>
      </c>
      <c r="F1662">
        <v>0</v>
      </c>
      <c r="G1662">
        <v>19</v>
      </c>
      <c r="H1662">
        <v>0</v>
      </c>
      <c r="I1662" t="s">
        <v>24</v>
      </c>
      <c r="J1662" t="s">
        <v>25</v>
      </c>
      <c r="K1662">
        <v>0</v>
      </c>
      <c r="L1662">
        <v>0</v>
      </c>
      <c r="M1662" t="s">
        <v>25</v>
      </c>
      <c r="N1662" t="s">
        <v>25</v>
      </c>
      <c r="O1662" t="s">
        <v>26</v>
      </c>
      <c r="P1662" t="s">
        <v>25</v>
      </c>
      <c r="Q1662" t="s">
        <v>27</v>
      </c>
      <c r="R1662" t="s">
        <v>28</v>
      </c>
    </row>
    <row r="1663" spans="1:20">
      <c r="A1663">
        <v>1669</v>
      </c>
      <c r="B1663" t="s">
        <v>1855</v>
      </c>
      <c r="C1663" t="s">
        <v>21</v>
      </c>
      <c r="D1663" t="s">
        <v>22</v>
      </c>
      <c r="E1663" t="s">
        <v>23</v>
      </c>
      <c r="F1663">
        <v>0</v>
      </c>
      <c r="G1663">
        <v>19</v>
      </c>
      <c r="H1663">
        <v>0</v>
      </c>
      <c r="I1663" t="s">
        <v>24</v>
      </c>
      <c r="J1663" t="s">
        <v>25</v>
      </c>
      <c r="K1663">
        <v>0</v>
      </c>
      <c r="L1663">
        <v>0</v>
      </c>
      <c r="M1663" t="s">
        <v>25</v>
      </c>
      <c r="N1663" t="s">
        <v>25</v>
      </c>
      <c r="O1663" t="s">
        <v>26</v>
      </c>
      <c r="P1663" t="s">
        <v>25</v>
      </c>
      <c r="Q1663" t="s">
        <v>27</v>
      </c>
      <c r="R1663" t="s">
        <v>28</v>
      </c>
    </row>
    <row r="1664" spans="1:20">
      <c r="A1664">
        <v>1670</v>
      </c>
      <c r="B1664" t="s">
        <v>1856</v>
      </c>
      <c r="C1664" t="s">
        <v>21</v>
      </c>
      <c r="D1664" t="s">
        <v>22</v>
      </c>
      <c r="E1664" t="s">
        <v>23</v>
      </c>
      <c r="F1664">
        <v>0</v>
      </c>
      <c r="G1664">
        <v>19</v>
      </c>
      <c r="H1664">
        <v>0</v>
      </c>
      <c r="I1664" t="s">
        <v>24</v>
      </c>
      <c r="J1664" t="s">
        <v>25</v>
      </c>
      <c r="K1664">
        <v>0</v>
      </c>
      <c r="L1664">
        <v>0</v>
      </c>
      <c r="M1664" t="s">
        <v>25</v>
      </c>
      <c r="N1664" t="s">
        <v>25</v>
      </c>
      <c r="O1664" t="s">
        <v>26</v>
      </c>
      <c r="P1664" t="s">
        <v>25</v>
      </c>
      <c r="Q1664" t="s">
        <v>27</v>
      </c>
      <c r="R1664" t="s">
        <v>28</v>
      </c>
    </row>
    <row r="1665" spans="1:20">
      <c r="A1665">
        <v>1671</v>
      </c>
      <c r="B1665" t="s">
        <v>1857</v>
      </c>
      <c r="C1665" t="s">
        <v>21</v>
      </c>
      <c r="D1665" t="s">
        <v>22</v>
      </c>
      <c r="E1665" t="s">
        <v>23</v>
      </c>
      <c r="F1665">
        <v>0</v>
      </c>
      <c r="G1665">
        <v>19</v>
      </c>
      <c r="H1665">
        <v>0</v>
      </c>
      <c r="I1665" t="s">
        <v>24</v>
      </c>
      <c r="J1665" t="s">
        <v>25</v>
      </c>
      <c r="K1665">
        <v>0</v>
      </c>
      <c r="L1665">
        <v>0</v>
      </c>
      <c r="M1665" t="s">
        <v>25</v>
      </c>
      <c r="N1665" t="s">
        <v>25</v>
      </c>
      <c r="O1665" t="s">
        <v>26</v>
      </c>
      <c r="P1665" t="s">
        <v>25</v>
      </c>
      <c r="Q1665" t="s">
        <v>27</v>
      </c>
      <c r="R1665" t="s">
        <v>28</v>
      </c>
    </row>
    <row r="1666" spans="1:20">
      <c r="A1666">
        <v>1672</v>
      </c>
      <c r="B1666" t="s">
        <v>1858</v>
      </c>
      <c r="C1666" t="s">
        <v>21</v>
      </c>
      <c r="D1666" t="s">
        <v>22</v>
      </c>
      <c r="E1666" t="s">
        <v>23</v>
      </c>
      <c r="F1666">
        <v>0</v>
      </c>
      <c r="G1666">
        <v>19</v>
      </c>
      <c r="H1666">
        <v>0</v>
      </c>
      <c r="I1666" t="s">
        <v>24</v>
      </c>
      <c r="J1666" t="s">
        <v>25</v>
      </c>
      <c r="K1666">
        <v>0</v>
      </c>
      <c r="L1666">
        <v>0</v>
      </c>
      <c r="M1666" t="s">
        <v>25</v>
      </c>
      <c r="N1666" t="s">
        <v>25</v>
      </c>
      <c r="O1666" t="s">
        <v>26</v>
      </c>
      <c r="P1666" t="s">
        <v>25</v>
      </c>
      <c r="Q1666" t="s">
        <v>27</v>
      </c>
      <c r="R1666" t="s">
        <v>28</v>
      </c>
    </row>
    <row r="1667" spans="1:20">
      <c r="A1667">
        <v>1673</v>
      </c>
      <c r="B1667" t="s">
        <v>1859</v>
      </c>
      <c r="C1667" t="s">
        <v>21</v>
      </c>
      <c r="D1667" t="s">
        <v>22</v>
      </c>
      <c r="E1667" t="s">
        <v>23</v>
      </c>
      <c r="F1667">
        <v>38000</v>
      </c>
      <c r="G1667">
        <v>19</v>
      </c>
      <c r="H1667">
        <v>45220</v>
      </c>
      <c r="I1667" t="s">
        <v>24</v>
      </c>
      <c r="J1667" t="s">
        <v>25</v>
      </c>
      <c r="K1667">
        <v>0</v>
      </c>
      <c r="L1667">
        <v>0</v>
      </c>
      <c r="M1667" t="s">
        <v>25</v>
      </c>
      <c r="N1667" t="s">
        <v>25</v>
      </c>
      <c r="O1667" t="s">
        <v>26</v>
      </c>
      <c r="P1667" t="s">
        <v>25</v>
      </c>
      <c r="Q1667" t="s">
        <v>27</v>
      </c>
      <c r="R1667" t="s">
        <v>28</v>
      </c>
      <c r="S1667" t="s">
        <v>51</v>
      </c>
      <c r="T1667" t="s">
        <v>65</v>
      </c>
    </row>
    <row r="1668" spans="1:20">
      <c r="A1668">
        <v>1674</v>
      </c>
      <c r="B1668" t="s">
        <v>1860</v>
      </c>
      <c r="C1668" t="s">
        <v>21</v>
      </c>
      <c r="D1668" t="s">
        <v>22</v>
      </c>
      <c r="E1668" t="s">
        <v>23</v>
      </c>
      <c r="F1668">
        <v>9000</v>
      </c>
      <c r="G1668">
        <v>19</v>
      </c>
      <c r="H1668">
        <v>10710</v>
      </c>
      <c r="I1668" t="s">
        <v>24</v>
      </c>
      <c r="J1668" t="s">
        <v>25</v>
      </c>
      <c r="K1668">
        <v>0</v>
      </c>
      <c r="L1668">
        <v>0</v>
      </c>
      <c r="M1668" t="s">
        <v>25</v>
      </c>
      <c r="N1668" t="s">
        <v>25</v>
      </c>
      <c r="O1668" t="s">
        <v>26</v>
      </c>
      <c r="P1668" t="s">
        <v>25</v>
      </c>
      <c r="Q1668" t="s">
        <v>27</v>
      </c>
      <c r="R1668" t="s">
        <v>28</v>
      </c>
      <c r="S1668" t="s">
        <v>51</v>
      </c>
      <c r="T1668" t="s">
        <v>65</v>
      </c>
    </row>
    <row r="1669" spans="1:20">
      <c r="A1669">
        <v>1675</v>
      </c>
      <c r="B1669" t="s">
        <v>1861</v>
      </c>
      <c r="C1669" t="s">
        <v>21</v>
      </c>
      <c r="D1669" t="s">
        <v>22</v>
      </c>
      <c r="E1669" t="s">
        <v>23</v>
      </c>
      <c r="F1669">
        <v>0</v>
      </c>
      <c r="G1669">
        <v>19</v>
      </c>
      <c r="H1669">
        <v>0</v>
      </c>
      <c r="I1669" t="s">
        <v>24</v>
      </c>
      <c r="J1669" t="s">
        <v>25</v>
      </c>
      <c r="K1669">
        <v>0</v>
      </c>
      <c r="L1669">
        <v>0</v>
      </c>
      <c r="M1669" t="s">
        <v>25</v>
      </c>
      <c r="N1669" t="s">
        <v>25</v>
      </c>
      <c r="O1669" t="s">
        <v>26</v>
      </c>
      <c r="P1669" t="s">
        <v>25</v>
      </c>
      <c r="Q1669" t="s">
        <v>27</v>
      </c>
      <c r="R1669" t="s">
        <v>28</v>
      </c>
    </row>
    <row r="1670" spans="1:20">
      <c r="A1670">
        <v>1676</v>
      </c>
      <c r="B1670" t="s">
        <v>1862</v>
      </c>
      <c r="C1670" t="s">
        <v>21</v>
      </c>
      <c r="D1670" t="s">
        <v>22</v>
      </c>
      <c r="E1670" t="s">
        <v>23</v>
      </c>
      <c r="F1670">
        <v>0</v>
      </c>
      <c r="G1670">
        <v>19</v>
      </c>
      <c r="H1670">
        <v>0</v>
      </c>
      <c r="I1670" t="s">
        <v>24</v>
      </c>
      <c r="J1670" t="s">
        <v>25</v>
      </c>
      <c r="K1670">
        <v>0</v>
      </c>
      <c r="L1670">
        <v>0</v>
      </c>
      <c r="M1670" t="s">
        <v>25</v>
      </c>
      <c r="N1670" t="s">
        <v>25</v>
      </c>
      <c r="O1670" t="s">
        <v>26</v>
      </c>
      <c r="P1670" t="s">
        <v>25</v>
      </c>
      <c r="Q1670" t="s">
        <v>27</v>
      </c>
      <c r="R1670" t="s">
        <v>28</v>
      </c>
    </row>
    <row r="1671" spans="1:20">
      <c r="A1671">
        <v>1677</v>
      </c>
      <c r="B1671" t="s">
        <v>1863</v>
      </c>
      <c r="C1671" t="s">
        <v>21</v>
      </c>
      <c r="D1671" t="s">
        <v>22</v>
      </c>
      <c r="E1671" t="s">
        <v>23</v>
      </c>
      <c r="F1671">
        <v>0</v>
      </c>
      <c r="G1671">
        <v>19</v>
      </c>
      <c r="H1671">
        <v>0</v>
      </c>
      <c r="I1671" t="s">
        <v>24</v>
      </c>
      <c r="J1671" t="s">
        <v>25</v>
      </c>
      <c r="K1671">
        <v>0</v>
      </c>
      <c r="L1671">
        <v>0</v>
      </c>
      <c r="M1671" t="s">
        <v>25</v>
      </c>
      <c r="N1671" t="s">
        <v>25</v>
      </c>
      <c r="O1671" t="s">
        <v>26</v>
      </c>
      <c r="P1671" t="s">
        <v>25</v>
      </c>
      <c r="Q1671" t="s">
        <v>27</v>
      </c>
      <c r="R1671" t="s">
        <v>28</v>
      </c>
    </row>
    <row r="1672" spans="1:20">
      <c r="A1672">
        <v>1678</v>
      </c>
      <c r="B1672" t="s">
        <v>1864</v>
      </c>
      <c r="C1672" t="s">
        <v>21</v>
      </c>
      <c r="D1672" t="s">
        <v>22</v>
      </c>
      <c r="E1672" t="s">
        <v>23</v>
      </c>
      <c r="F1672">
        <v>0</v>
      </c>
      <c r="G1672">
        <v>19</v>
      </c>
      <c r="H1672">
        <v>0</v>
      </c>
      <c r="I1672" t="s">
        <v>24</v>
      </c>
      <c r="J1672" t="s">
        <v>25</v>
      </c>
      <c r="K1672">
        <v>0</v>
      </c>
      <c r="L1672">
        <v>0</v>
      </c>
      <c r="M1672" t="s">
        <v>25</v>
      </c>
      <c r="N1672" t="s">
        <v>25</v>
      </c>
      <c r="O1672" t="s">
        <v>26</v>
      </c>
      <c r="P1672" t="s">
        <v>25</v>
      </c>
      <c r="Q1672" t="s">
        <v>27</v>
      </c>
      <c r="R1672" t="s">
        <v>28</v>
      </c>
    </row>
    <row r="1673" spans="1:20">
      <c r="A1673">
        <v>1679</v>
      </c>
      <c r="B1673" t="s">
        <v>1865</v>
      </c>
      <c r="C1673" t="s">
        <v>21</v>
      </c>
      <c r="D1673" t="s">
        <v>343</v>
      </c>
      <c r="E1673" t="s">
        <v>23</v>
      </c>
      <c r="F1673">
        <v>539126</v>
      </c>
      <c r="G1673">
        <v>19</v>
      </c>
      <c r="H1673">
        <v>641559.93999999994</v>
      </c>
      <c r="I1673" t="s">
        <v>24</v>
      </c>
      <c r="J1673" t="s">
        <v>25</v>
      </c>
      <c r="K1673">
        <v>0</v>
      </c>
      <c r="L1673">
        <v>0</v>
      </c>
      <c r="M1673" t="s">
        <v>25</v>
      </c>
      <c r="N1673" t="s">
        <v>25</v>
      </c>
      <c r="O1673" t="s">
        <v>26</v>
      </c>
      <c r="P1673" t="s">
        <v>25</v>
      </c>
      <c r="Q1673" t="s">
        <v>27</v>
      </c>
      <c r="R1673" t="s">
        <v>28</v>
      </c>
      <c r="S1673" t="s">
        <v>51</v>
      </c>
      <c r="T1673" t="s">
        <v>334</v>
      </c>
    </row>
    <row r="1674" spans="1:20">
      <c r="A1674">
        <v>1680</v>
      </c>
      <c r="B1674" t="s">
        <v>1866</v>
      </c>
      <c r="C1674" t="s">
        <v>21</v>
      </c>
      <c r="D1674" t="s">
        <v>22</v>
      </c>
      <c r="E1674" t="s">
        <v>23</v>
      </c>
      <c r="F1674">
        <v>15800</v>
      </c>
      <c r="G1674">
        <v>19</v>
      </c>
      <c r="H1674">
        <v>18802</v>
      </c>
      <c r="I1674" t="s">
        <v>24</v>
      </c>
      <c r="J1674" t="s">
        <v>25</v>
      </c>
      <c r="K1674">
        <v>0</v>
      </c>
      <c r="L1674">
        <v>0</v>
      </c>
      <c r="M1674" t="s">
        <v>25</v>
      </c>
      <c r="N1674" t="s">
        <v>25</v>
      </c>
      <c r="O1674" t="s">
        <v>26</v>
      </c>
      <c r="P1674" t="s">
        <v>25</v>
      </c>
      <c r="Q1674" t="s">
        <v>27</v>
      </c>
      <c r="R1674" t="s">
        <v>28</v>
      </c>
      <c r="S1674" t="s">
        <v>51</v>
      </c>
      <c r="T1674" t="s">
        <v>334</v>
      </c>
    </row>
    <row r="1675" spans="1:20">
      <c r="A1675">
        <v>1681</v>
      </c>
      <c r="B1675" t="s">
        <v>1867</v>
      </c>
      <c r="C1675" t="s">
        <v>21</v>
      </c>
      <c r="D1675" t="s">
        <v>22</v>
      </c>
      <c r="E1675" t="s">
        <v>23</v>
      </c>
      <c r="F1675">
        <v>0</v>
      </c>
      <c r="G1675">
        <v>19</v>
      </c>
      <c r="H1675">
        <v>0</v>
      </c>
      <c r="I1675" t="s">
        <v>24</v>
      </c>
      <c r="J1675" t="s">
        <v>25</v>
      </c>
      <c r="K1675">
        <v>0</v>
      </c>
      <c r="L1675">
        <v>0</v>
      </c>
      <c r="M1675" t="s">
        <v>25</v>
      </c>
      <c r="N1675" t="s">
        <v>25</v>
      </c>
      <c r="O1675" t="s">
        <v>26</v>
      </c>
      <c r="P1675" t="s">
        <v>25</v>
      </c>
      <c r="Q1675" t="s">
        <v>27</v>
      </c>
      <c r="R1675" t="s">
        <v>28</v>
      </c>
    </row>
    <row r="1676" spans="1:20">
      <c r="A1676">
        <v>1682</v>
      </c>
      <c r="B1676" t="s">
        <v>1868</v>
      </c>
      <c r="C1676" t="s">
        <v>21</v>
      </c>
      <c r="D1676" t="s">
        <v>22</v>
      </c>
      <c r="E1676" t="s">
        <v>23</v>
      </c>
      <c r="F1676">
        <v>0</v>
      </c>
      <c r="G1676">
        <v>19</v>
      </c>
      <c r="H1676">
        <v>0</v>
      </c>
      <c r="I1676" t="s">
        <v>24</v>
      </c>
      <c r="J1676" t="s">
        <v>25</v>
      </c>
      <c r="K1676">
        <v>0</v>
      </c>
      <c r="L1676">
        <v>0</v>
      </c>
      <c r="M1676" t="s">
        <v>25</v>
      </c>
      <c r="N1676" t="s">
        <v>25</v>
      </c>
      <c r="O1676" t="s">
        <v>26</v>
      </c>
      <c r="P1676" t="s">
        <v>25</v>
      </c>
      <c r="Q1676" t="s">
        <v>27</v>
      </c>
      <c r="R1676" t="s">
        <v>28</v>
      </c>
    </row>
    <row r="1677" spans="1:20">
      <c r="A1677">
        <v>1683</v>
      </c>
      <c r="B1677" t="s">
        <v>1869</v>
      </c>
      <c r="C1677" t="s">
        <v>21</v>
      </c>
      <c r="D1677" t="s">
        <v>22</v>
      </c>
      <c r="E1677" t="s">
        <v>23</v>
      </c>
      <c r="F1677">
        <v>0</v>
      </c>
      <c r="G1677">
        <v>19</v>
      </c>
      <c r="H1677">
        <v>0</v>
      </c>
      <c r="I1677" t="s">
        <v>24</v>
      </c>
      <c r="J1677" t="s">
        <v>25</v>
      </c>
      <c r="K1677">
        <v>0</v>
      </c>
      <c r="L1677">
        <v>0</v>
      </c>
      <c r="M1677" t="s">
        <v>25</v>
      </c>
      <c r="N1677" t="s">
        <v>25</v>
      </c>
      <c r="O1677" t="s">
        <v>26</v>
      </c>
      <c r="P1677" t="s">
        <v>25</v>
      </c>
      <c r="Q1677" t="s">
        <v>27</v>
      </c>
      <c r="R1677" t="s">
        <v>28</v>
      </c>
    </row>
    <row r="1678" spans="1:20">
      <c r="A1678">
        <v>1684</v>
      </c>
      <c r="B1678" t="s">
        <v>1870</v>
      </c>
      <c r="C1678" t="s">
        <v>21</v>
      </c>
      <c r="D1678" t="s">
        <v>22</v>
      </c>
      <c r="E1678" t="s">
        <v>23</v>
      </c>
      <c r="F1678">
        <v>0</v>
      </c>
      <c r="G1678">
        <v>19</v>
      </c>
      <c r="H1678">
        <v>0</v>
      </c>
      <c r="I1678" t="s">
        <v>24</v>
      </c>
      <c r="J1678" t="s">
        <v>25</v>
      </c>
      <c r="K1678">
        <v>0</v>
      </c>
      <c r="L1678">
        <v>0</v>
      </c>
      <c r="M1678" t="s">
        <v>25</v>
      </c>
      <c r="N1678" t="s">
        <v>25</v>
      </c>
      <c r="O1678" t="s">
        <v>26</v>
      </c>
      <c r="P1678" t="s">
        <v>25</v>
      </c>
      <c r="Q1678" t="s">
        <v>27</v>
      </c>
      <c r="R1678" t="s">
        <v>28</v>
      </c>
    </row>
    <row r="1679" spans="1:20">
      <c r="A1679">
        <v>1685</v>
      </c>
      <c r="B1679" t="s">
        <v>1871</v>
      </c>
      <c r="C1679" t="s">
        <v>21</v>
      </c>
      <c r="D1679" t="s">
        <v>22</v>
      </c>
      <c r="E1679" t="s">
        <v>23</v>
      </c>
      <c r="F1679">
        <v>0</v>
      </c>
      <c r="G1679">
        <v>19</v>
      </c>
      <c r="H1679">
        <v>0</v>
      </c>
      <c r="I1679" t="s">
        <v>24</v>
      </c>
      <c r="J1679" t="s">
        <v>25</v>
      </c>
      <c r="K1679">
        <v>0</v>
      </c>
      <c r="L1679">
        <v>0</v>
      </c>
      <c r="M1679" t="s">
        <v>25</v>
      </c>
      <c r="N1679" t="s">
        <v>25</v>
      </c>
      <c r="O1679" t="s">
        <v>26</v>
      </c>
      <c r="P1679" t="s">
        <v>25</v>
      </c>
      <c r="Q1679" t="s">
        <v>27</v>
      </c>
      <c r="R1679" t="s">
        <v>28</v>
      </c>
    </row>
    <row r="1680" spans="1:20">
      <c r="A1680">
        <v>1686</v>
      </c>
      <c r="B1680" t="s">
        <v>1872</v>
      </c>
      <c r="C1680" t="s">
        <v>21</v>
      </c>
      <c r="D1680" t="s">
        <v>22</v>
      </c>
      <c r="E1680" t="s">
        <v>23</v>
      </c>
      <c r="F1680">
        <v>0</v>
      </c>
      <c r="G1680">
        <v>19</v>
      </c>
      <c r="H1680">
        <v>0</v>
      </c>
      <c r="I1680" t="s">
        <v>24</v>
      </c>
      <c r="J1680" t="s">
        <v>25</v>
      </c>
      <c r="K1680">
        <v>0</v>
      </c>
      <c r="L1680">
        <v>0</v>
      </c>
      <c r="M1680" t="s">
        <v>25</v>
      </c>
      <c r="N1680" t="s">
        <v>25</v>
      </c>
      <c r="O1680" t="s">
        <v>26</v>
      </c>
      <c r="P1680" t="s">
        <v>25</v>
      </c>
      <c r="Q1680" t="s">
        <v>27</v>
      </c>
      <c r="R1680" t="s">
        <v>28</v>
      </c>
    </row>
    <row r="1681" spans="1:20">
      <c r="A1681">
        <v>1687</v>
      </c>
      <c r="B1681" t="s">
        <v>1873</v>
      </c>
      <c r="C1681" t="s">
        <v>21</v>
      </c>
      <c r="D1681" t="s">
        <v>22</v>
      </c>
      <c r="E1681" t="s">
        <v>23</v>
      </c>
      <c r="F1681">
        <v>0</v>
      </c>
      <c r="G1681">
        <v>19</v>
      </c>
      <c r="H1681">
        <v>0</v>
      </c>
      <c r="I1681" t="s">
        <v>24</v>
      </c>
      <c r="J1681" t="s">
        <v>25</v>
      </c>
      <c r="K1681">
        <v>0</v>
      </c>
      <c r="L1681">
        <v>0</v>
      </c>
      <c r="M1681" t="s">
        <v>25</v>
      </c>
      <c r="N1681" t="s">
        <v>25</v>
      </c>
      <c r="O1681" t="s">
        <v>26</v>
      </c>
      <c r="P1681" t="s">
        <v>25</v>
      </c>
      <c r="Q1681" t="s">
        <v>27</v>
      </c>
      <c r="R1681" t="s">
        <v>28</v>
      </c>
    </row>
    <row r="1682" spans="1:20">
      <c r="A1682">
        <v>1688</v>
      </c>
      <c r="B1682" t="s">
        <v>1874</v>
      </c>
      <c r="C1682" t="s">
        <v>21</v>
      </c>
      <c r="D1682" t="s">
        <v>22</v>
      </c>
      <c r="E1682" t="s">
        <v>23</v>
      </c>
      <c r="F1682">
        <v>0</v>
      </c>
      <c r="G1682">
        <v>19</v>
      </c>
      <c r="H1682">
        <v>0</v>
      </c>
      <c r="I1682" t="s">
        <v>24</v>
      </c>
      <c r="J1682" t="s">
        <v>25</v>
      </c>
      <c r="K1682">
        <v>0</v>
      </c>
      <c r="L1682">
        <v>0</v>
      </c>
      <c r="M1682" t="s">
        <v>25</v>
      </c>
      <c r="N1682" t="s">
        <v>25</v>
      </c>
      <c r="O1682" t="s">
        <v>26</v>
      </c>
      <c r="P1682" t="s">
        <v>25</v>
      </c>
      <c r="Q1682" t="s">
        <v>27</v>
      </c>
      <c r="R1682" t="s">
        <v>28</v>
      </c>
    </row>
    <row r="1683" spans="1:20">
      <c r="A1683">
        <v>1689</v>
      </c>
      <c r="B1683" t="s">
        <v>1875</v>
      </c>
      <c r="C1683" t="s">
        <v>21</v>
      </c>
      <c r="D1683" t="s">
        <v>22</v>
      </c>
      <c r="E1683" t="s">
        <v>23</v>
      </c>
      <c r="F1683">
        <v>0</v>
      </c>
      <c r="G1683">
        <v>19</v>
      </c>
      <c r="H1683">
        <v>0</v>
      </c>
      <c r="I1683" t="s">
        <v>24</v>
      </c>
      <c r="J1683" t="s">
        <v>25</v>
      </c>
      <c r="K1683">
        <v>0</v>
      </c>
      <c r="L1683">
        <v>0</v>
      </c>
      <c r="M1683" t="s">
        <v>25</v>
      </c>
      <c r="N1683" t="s">
        <v>25</v>
      </c>
      <c r="O1683" t="s">
        <v>26</v>
      </c>
      <c r="P1683" t="s">
        <v>25</v>
      </c>
      <c r="Q1683" t="s">
        <v>27</v>
      </c>
      <c r="R1683" t="s">
        <v>28</v>
      </c>
    </row>
    <row r="1684" spans="1:20">
      <c r="A1684">
        <v>1690</v>
      </c>
      <c r="B1684" t="s">
        <v>1876</v>
      </c>
      <c r="C1684" t="s">
        <v>21</v>
      </c>
      <c r="D1684" t="s">
        <v>22</v>
      </c>
      <c r="E1684" t="s">
        <v>23</v>
      </c>
      <c r="F1684">
        <v>0</v>
      </c>
      <c r="G1684">
        <v>19</v>
      </c>
      <c r="H1684">
        <v>0</v>
      </c>
      <c r="I1684" t="s">
        <v>24</v>
      </c>
      <c r="J1684" t="s">
        <v>25</v>
      </c>
      <c r="K1684">
        <v>0</v>
      </c>
      <c r="L1684">
        <v>0</v>
      </c>
      <c r="M1684" t="s">
        <v>25</v>
      </c>
      <c r="N1684" t="s">
        <v>25</v>
      </c>
      <c r="O1684" t="s">
        <v>26</v>
      </c>
      <c r="P1684" t="s">
        <v>25</v>
      </c>
      <c r="Q1684" t="s">
        <v>27</v>
      </c>
      <c r="R1684" t="s">
        <v>28</v>
      </c>
    </row>
    <row r="1685" spans="1:20">
      <c r="A1685">
        <v>1691</v>
      </c>
      <c r="B1685" t="s">
        <v>1877</v>
      </c>
      <c r="C1685" t="s">
        <v>21</v>
      </c>
      <c r="D1685" t="s">
        <v>22</v>
      </c>
      <c r="E1685" t="s">
        <v>23</v>
      </c>
      <c r="F1685">
        <v>0</v>
      </c>
      <c r="G1685">
        <v>19</v>
      </c>
      <c r="H1685">
        <v>0</v>
      </c>
      <c r="I1685" t="s">
        <v>24</v>
      </c>
      <c r="J1685" t="s">
        <v>25</v>
      </c>
      <c r="K1685">
        <v>0</v>
      </c>
      <c r="L1685">
        <v>0</v>
      </c>
      <c r="M1685" t="s">
        <v>25</v>
      </c>
      <c r="N1685" t="s">
        <v>25</v>
      </c>
      <c r="O1685" t="s">
        <v>26</v>
      </c>
      <c r="P1685" t="s">
        <v>25</v>
      </c>
      <c r="Q1685" t="s">
        <v>27</v>
      </c>
      <c r="R1685" t="s">
        <v>28</v>
      </c>
    </row>
    <row r="1686" spans="1:20">
      <c r="A1686">
        <v>1692</v>
      </c>
      <c r="B1686" t="s">
        <v>1878</v>
      </c>
      <c r="C1686" t="s">
        <v>21</v>
      </c>
      <c r="D1686" t="s">
        <v>22</v>
      </c>
      <c r="E1686" t="s">
        <v>23</v>
      </c>
      <c r="F1686">
        <v>0</v>
      </c>
      <c r="G1686">
        <v>19</v>
      </c>
      <c r="H1686">
        <v>0</v>
      </c>
      <c r="I1686" t="s">
        <v>24</v>
      </c>
      <c r="J1686" t="s">
        <v>25</v>
      </c>
      <c r="K1686">
        <v>0</v>
      </c>
      <c r="L1686">
        <v>0</v>
      </c>
      <c r="M1686" t="s">
        <v>25</v>
      </c>
      <c r="N1686" t="s">
        <v>25</v>
      </c>
      <c r="O1686" t="s">
        <v>26</v>
      </c>
      <c r="P1686" t="s">
        <v>25</v>
      </c>
      <c r="Q1686" t="s">
        <v>27</v>
      </c>
      <c r="R1686" t="s">
        <v>28</v>
      </c>
    </row>
    <row r="1687" spans="1:20">
      <c r="A1687">
        <v>1693</v>
      </c>
      <c r="B1687" t="s">
        <v>1879</v>
      </c>
      <c r="C1687" t="s">
        <v>21</v>
      </c>
      <c r="D1687" t="s">
        <v>22</v>
      </c>
      <c r="E1687" t="s">
        <v>23</v>
      </c>
      <c r="F1687">
        <v>0</v>
      </c>
      <c r="G1687">
        <v>19</v>
      </c>
      <c r="H1687">
        <v>0</v>
      </c>
      <c r="I1687" t="s">
        <v>24</v>
      </c>
      <c r="J1687" t="s">
        <v>25</v>
      </c>
      <c r="K1687">
        <v>0</v>
      </c>
      <c r="L1687">
        <v>0</v>
      </c>
      <c r="M1687" t="s">
        <v>25</v>
      </c>
      <c r="N1687" t="s">
        <v>25</v>
      </c>
      <c r="O1687" t="s">
        <v>26</v>
      </c>
      <c r="P1687" t="s">
        <v>25</v>
      </c>
      <c r="Q1687" t="s">
        <v>27</v>
      </c>
      <c r="R1687" t="s">
        <v>28</v>
      </c>
    </row>
    <row r="1688" spans="1:20">
      <c r="A1688">
        <v>1694</v>
      </c>
      <c r="B1688" t="s">
        <v>1880</v>
      </c>
      <c r="C1688" t="s">
        <v>21</v>
      </c>
      <c r="D1688" t="s">
        <v>22</v>
      </c>
      <c r="E1688" t="s">
        <v>23</v>
      </c>
      <c r="F1688">
        <v>0</v>
      </c>
      <c r="G1688">
        <v>19</v>
      </c>
      <c r="H1688">
        <v>0</v>
      </c>
      <c r="I1688" t="s">
        <v>24</v>
      </c>
      <c r="J1688" t="s">
        <v>25</v>
      </c>
      <c r="K1688">
        <v>0</v>
      </c>
      <c r="L1688">
        <v>0</v>
      </c>
      <c r="M1688" t="s">
        <v>25</v>
      </c>
      <c r="N1688" t="s">
        <v>25</v>
      </c>
      <c r="O1688" t="s">
        <v>26</v>
      </c>
      <c r="P1688" t="s">
        <v>25</v>
      </c>
      <c r="Q1688" t="s">
        <v>27</v>
      </c>
      <c r="R1688" t="s">
        <v>28</v>
      </c>
    </row>
    <row r="1689" spans="1:20">
      <c r="A1689">
        <v>1695</v>
      </c>
      <c r="B1689" t="s">
        <v>1881</v>
      </c>
      <c r="C1689" t="s">
        <v>21</v>
      </c>
      <c r="D1689" t="s">
        <v>22</v>
      </c>
      <c r="E1689" t="s">
        <v>23</v>
      </c>
      <c r="F1689">
        <v>0</v>
      </c>
      <c r="G1689">
        <v>19</v>
      </c>
      <c r="H1689">
        <v>0</v>
      </c>
      <c r="I1689" t="s">
        <v>24</v>
      </c>
      <c r="J1689" t="s">
        <v>25</v>
      </c>
      <c r="K1689">
        <v>0</v>
      </c>
      <c r="L1689">
        <v>0</v>
      </c>
      <c r="M1689" t="s">
        <v>25</v>
      </c>
      <c r="N1689" t="s">
        <v>25</v>
      </c>
      <c r="O1689" t="s">
        <v>26</v>
      </c>
      <c r="P1689" t="s">
        <v>25</v>
      </c>
      <c r="Q1689" t="s">
        <v>27</v>
      </c>
      <c r="R1689" t="s">
        <v>28</v>
      </c>
    </row>
    <row r="1690" spans="1:20">
      <c r="A1690">
        <v>1696</v>
      </c>
      <c r="B1690" t="s">
        <v>1882</v>
      </c>
      <c r="C1690" t="s">
        <v>21</v>
      </c>
      <c r="D1690" t="s">
        <v>22</v>
      </c>
      <c r="E1690" t="s">
        <v>23</v>
      </c>
      <c r="F1690">
        <v>0</v>
      </c>
      <c r="G1690">
        <v>19</v>
      </c>
      <c r="H1690">
        <v>0</v>
      </c>
      <c r="I1690" t="s">
        <v>24</v>
      </c>
      <c r="J1690" t="s">
        <v>25</v>
      </c>
      <c r="K1690">
        <v>0</v>
      </c>
      <c r="L1690">
        <v>0</v>
      </c>
      <c r="M1690" t="s">
        <v>25</v>
      </c>
      <c r="N1690" t="s">
        <v>25</v>
      </c>
      <c r="O1690" t="s">
        <v>26</v>
      </c>
      <c r="P1690" t="s">
        <v>25</v>
      </c>
      <c r="Q1690" t="s">
        <v>27</v>
      </c>
      <c r="R1690" t="s">
        <v>28</v>
      </c>
    </row>
    <row r="1691" spans="1:20">
      <c r="A1691">
        <v>1697</v>
      </c>
      <c r="B1691" t="s">
        <v>1883</v>
      </c>
      <c r="C1691" t="s">
        <v>21</v>
      </c>
      <c r="D1691" t="s">
        <v>22</v>
      </c>
      <c r="E1691" t="s">
        <v>23</v>
      </c>
      <c r="F1691">
        <v>21200</v>
      </c>
      <c r="G1691">
        <v>19</v>
      </c>
      <c r="H1691">
        <v>25228</v>
      </c>
      <c r="I1691" t="s">
        <v>24</v>
      </c>
      <c r="J1691" t="s">
        <v>25</v>
      </c>
      <c r="K1691">
        <v>0</v>
      </c>
      <c r="L1691">
        <v>0</v>
      </c>
      <c r="M1691" t="s">
        <v>25</v>
      </c>
      <c r="N1691" t="s">
        <v>25</v>
      </c>
      <c r="O1691" t="s">
        <v>26</v>
      </c>
      <c r="P1691" t="s">
        <v>25</v>
      </c>
      <c r="Q1691" t="s">
        <v>27</v>
      </c>
      <c r="R1691" t="s">
        <v>28</v>
      </c>
      <c r="S1691" t="s">
        <v>51</v>
      </c>
      <c r="T1691" t="s">
        <v>656</v>
      </c>
    </row>
    <row r="1692" spans="1:20">
      <c r="A1692">
        <v>1698</v>
      </c>
      <c r="B1692" t="s">
        <v>1884</v>
      </c>
      <c r="C1692" t="s">
        <v>21</v>
      </c>
      <c r="D1692" t="s">
        <v>22</v>
      </c>
      <c r="E1692" t="s">
        <v>23</v>
      </c>
      <c r="F1692">
        <v>0</v>
      </c>
      <c r="G1692">
        <v>19</v>
      </c>
      <c r="H1692">
        <v>0</v>
      </c>
      <c r="I1692" t="s">
        <v>24</v>
      </c>
      <c r="J1692" t="s">
        <v>25</v>
      </c>
      <c r="K1692">
        <v>0</v>
      </c>
      <c r="L1692">
        <v>0</v>
      </c>
      <c r="M1692" t="s">
        <v>25</v>
      </c>
      <c r="N1692" t="s">
        <v>25</v>
      </c>
      <c r="O1692" t="s">
        <v>26</v>
      </c>
      <c r="P1692" t="s">
        <v>25</v>
      </c>
      <c r="Q1692" t="s">
        <v>27</v>
      </c>
      <c r="R1692" t="s">
        <v>28</v>
      </c>
    </row>
    <row r="1693" spans="1:20">
      <c r="A1693">
        <v>1699</v>
      </c>
      <c r="B1693" t="s">
        <v>1885</v>
      </c>
      <c r="C1693" t="s">
        <v>21</v>
      </c>
      <c r="D1693" t="s">
        <v>22</v>
      </c>
      <c r="E1693" t="s">
        <v>23</v>
      </c>
      <c r="F1693">
        <v>0</v>
      </c>
      <c r="G1693">
        <v>19</v>
      </c>
      <c r="H1693">
        <v>0</v>
      </c>
      <c r="I1693" t="s">
        <v>24</v>
      </c>
      <c r="J1693" t="s">
        <v>25</v>
      </c>
      <c r="K1693">
        <v>0</v>
      </c>
      <c r="L1693">
        <v>0</v>
      </c>
      <c r="M1693" t="s">
        <v>25</v>
      </c>
      <c r="N1693" t="s">
        <v>25</v>
      </c>
      <c r="O1693" t="s">
        <v>26</v>
      </c>
      <c r="P1693" t="s">
        <v>25</v>
      </c>
      <c r="Q1693" t="s">
        <v>27</v>
      </c>
      <c r="R1693" t="s">
        <v>28</v>
      </c>
    </row>
    <row r="1694" spans="1:20">
      <c r="A1694">
        <v>1700</v>
      </c>
      <c r="B1694" t="s">
        <v>1886</v>
      </c>
      <c r="C1694" t="s">
        <v>21</v>
      </c>
      <c r="D1694" t="s">
        <v>22</v>
      </c>
      <c r="E1694" t="s">
        <v>23</v>
      </c>
      <c r="F1694">
        <v>0</v>
      </c>
      <c r="G1694">
        <v>19</v>
      </c>
      <c r="H1694">
        <v>0</v>
      </c>
      <c r="I1694" t="s">
        <v>24</v>
      </c>
      <c r="J1694" t="s">
        <v>25</v>
      </c>
      <c r="K1694">
        <v>0</v>
      </c>
      <c r="L1694">
        <v>0</v>
      </c>
      <c r="M1694" t="s">
        <v>25</v>
      </c>
      <c r="N1694" t="s">
        <v>25</v>
      </c>
      <c r="O1694" t="s">
        <v>26</v>
      </c>
      <c r="P1694" t="s">
        <v>25</v>
      </c>
      <c r="Q1694" t="s">
        <v>27</v>
      </c>
      <c r="R1694" t="s">
        <v>28</v>
      </c>
    </row>
    <row r="1695" spans="1:20">
      <c r="A1695">
        <v>1701</v>
      </c>
      <c r="B1695" t="s">
        <v>1887</v>
      </c>
      <c r="C1695" t="s">
        <v>21</v>
      </c>
      <c r="D1695" t="s">
        <v>22</v>
      </c>
      <c r="E1695" t="s">
        <v>23</v>
      </c>
      <c r="F1695">
        <v>0</v>
      </c>
      <c r="G1695">
        <v>19</v>
      </c>
      <c r="H1695">
        <v>0</v>
      </c>
      <c r="I1695" t="s">
        <v>24</v>
      </c>
      <c r="J1695" t="s">
        <v>25</v>
      </c>
      <c r="K1695">
        <v>0</v>
      </c>
      <c r="L1695">
        <v>0</v>
      </c>
      <c r="M1695" t="s">
        <v>25</v>
      </c>
      <c r="N1695" t="s">
        <v>25</v>
      </c>
      <c r="O1695" t="s">
        <v>26</v>
      </c>
      <c r="P1695" t="s">
        <v>25</v>
      </c>
      <c r="Q1695" t="s">
        <v>27</v>
      </c>
      <c r="R1695" t="s">
        <v>28</v>
      </c>
    </row>
    <row r="1696" spans="1:20">
      <c r="A1696">
        <v>1702</v>
      </c>
      <c r="B1696" t="s">
        <v>1888</v>
      </c>
      <c r="C1696" t="s">
        <v>21</v>
      </c>
      <c r="D1696" t="s">
        <v>22</v>
      </c>
      <c r="E1696" t="s">
        <v>23</v>
      </c>
      <c r="F1696">
        <v>0</v>
      </c>
      <c r="G1696">
        <v>19</v>
      </c>
      <c r="H1696">
        <v>0</v>
      </c>
      <c r="I1696" t="s">
        <v>24</v>
      </c>
      <c r="J1696" t="s">
        <v>25</v>
      </c>
      <c r="K1696">
        <v>0</v>
      </c>
      <c r="L1696">
        <v>0</v>
      </c>
      <c r="M1696" t="s">
        <v>25</v>
      </c>
      <c r="N1696" t="s">
        <v>25</v>
      </c>
      <c r="O1696" t="s">
        <v>26</v>
      </c>
      <c r="P1696" t="s">
        <v>25</v>
      </c>
      <c r="Q1696" t="s">
        <v>27</v>
      </c>
      <c r="R1696" t="s">
        <v>28</v>
      </c>
    </row>
    <row r="1697" spans="1:20">
      <c r="A1697">
        <v>1703</v>
      </c>
      <c r="B1697" t="s">
        <v>1889</v>
      </c>
      <c r="C1697" t="s">
        <v>21</v>
      </c>
      <c r="D1697" t="s">
        <v>22</v>
      </c>
      <c r="E1697" t="s">
        <v>23</v>
      </c>
      <c r="F1697">
        <v>58054</v>
      </c>
      <c r="G1697">
        <v>19</v>
      </c>
      <c r="H1697">
        <v>69084.259999999995</v>
      </c>
      <c r="I1697" t="s">
        <v>24</v>
      </c>
      <c r="J1697" t="s">
        <v>25</v>
      </c>
      <c r="K1697">
        <v>0</v>
      </c>
      <c r="L1697">
        <v>0</v>
      </c>
      <c r="M1697" t="s">
        <v>25</v>
      </c>
      <c r="N1697" t="s">
        <v>25</v>
      </c>
      <c r="O1697" t="s">
        <v>26</v>
      </c>
      <c r="P1697" t="s">
        <v>25</v>
      </c>
      <c r="Q1697" t="s">
        <v>27</v>
      </c>
      <c r="R1697" t="s">
        <v>28</v>
      </c>
      <c r="S1697" t="s">
        <v>51</v>
      </c>
      <c r="T1697" t="s">
        <v>305</v>
      </c>
    </row>
    <row r="1698" spans="1:20">
      <c r="A1698">
        <v>1704</v>
      </c>
      <c r="B1698" t="s">
        <v>1890</v>
      </c>
      <c r="C1698" t="s">
        <v>21</v>
      </c>
      <c r="D1698" t="s">
        <v>22</v>
      </c>
      <c r="E1698" t="s">
        <v>23</v>
      </c>
      <c r="F1698">
        <v>0</v>
      </c>
      <c r="G1698">
        <v>19</v>
      </c>
      <c r="H1698">
        <v>0</v>
      </c>
      <c r="I1698" t="s">
        <v>24</v>
      </c>
      <c r="J1698" t="s">
        <v>25</v>
      </c>
      <c r="K1698">
        <v>0</v>
      </c>
      <c r="L1698">
        <v>0</v>
      </c>
      <c r="M1698" t="s">
        <v>25</v>
      </c>
      <c r="N1698" t="s">
        <v>25</v>
      </c>
      <c r="O1698" t="s">
        <v>26</v>
      </c>
      <c r="P1698" t="s">
        <v>25</v>
      </c>
      <c r="Q1698" t="s">
        <v>27</v>
      </c>
      <c r="R1698" t="s">
        <v>28</v>
      </c>
      <c r="S1698" t="s">
        <v>51</v>
      </c>
      <c r="T1698" t="s">
        <v>305</v>
      </c>
    </row>
    <row r="1699" spans="1:20">
      <c r="A1699">
        <v>1705</v>
      </c>
      <c r="B1699" t="s">
        <v>1891</v>
      </c>
      <c r="C1699" t="s">
        <v>21</v>
      </c>
      <c r="D1699" t="s">
        <v>22</v>
      </c>
      <c r="E1699" t="s">
        <v>23</v>
      </c>
      <c r="F1699">
        <v>0</v>
      </c>
      <c r="G1699">
        <v>19</v>
      </c>
      <c r="H1699">
        <v>0</v>
      </c>
      <c r="I1699" t="s">
        <v>24</v>
      </c>
      <c r="J1699" t="s">
        <v>25</v>
      </c>
      <c r="K1699">
        <v>0</v>
      </c>
      <c r="L1699">
        <v>0</v>
      </c>
      <c r="M1699" t="s">
        <v>25</v>
      </c>
      <c r="N1699" t="s">
        <v>25</v>
      </c>
      <c r="O1699" t="s">
        <v>26</v>
      </c>
      <c r="P1699" t="s">
        <v>25</v>
      </c>
      <c r="Q1699" t="s">
        <v>27</v>
      </c>
      <c r="R1699" t="s">
        <v>28</v>
      </c>
    </row>
    <row r="1700" spans="1:20">
      <c r="A1700">
        <v>1706</v>
      </c>
      <c r="B1700" t="s">
        <v>1892</v>
      </c>
      <c r="C1700" t="s">
        <v>102</v>
      </c>
      <c r="D1700" t="s">
        <v>22</v>
      </c>
      <c r="E1700" t="s">
        <v>163</v>
      </c>
      <c r="F1700">
        <v>0</v>
      </c>
      <c r="G1700">
        <v>19</v>
      </c>
      <c r="H1700">
        <v>0</v>
      </c>
      <c r="I1700" t="s">
        <v>24</v>
      </c>
      <c r="J1700" t="s">
        <v>25</v>
      </c>
      <c r="K1700">
        <v>0</v>
      </c>
      <c r="L1700">
        <v>0</v>
      </c>
      <c r="M1700" t="s">
        <v>25</v>
      </c>
      <c r="N1700" t="s">
        <v>25</v>
      </c>
      <c r="O1700" t="s">
        <v>26</v>
      </c>
      <c r="P1700" t="s">
        <v>25</v>
      </c>
      <c r="Q1700" t="s">
        <v>27</v>
      </c>
      <c r="R1700" t="s">
        <v>1893</v>
      </c>
      <c r="S1700" t="s">
        <v>231</v>
      </c>
      <c r="T1700" t="s">
        <v>588</v>
      </c>
    </row>
    <row r="1701" spans="1:20">
      <c r="A1701">
        <v>1707</v>
      </c>
      <c r="B1701" t="s">
        <v>1894</v>
      </c>
      <c r="C1701" t="s">
        <v>102</v>
      </c>
      <c r="D1701" t="s">
        <v>22</v>
      </c>
      <c r="E1701" t="s">
        <v>103</v>
      </c>
      <c r="F1701">
        <v>0</v>
      </c>
      <c r="G1701">
        <v>19</v>
      </c>
      <c r="H1701">
        <v>0</v>
      </c>
      <c r="I1701" t="s">
        <v>24</v>
      </c>
      <c r="J1701" t="s">
        <v>25</v>
      </c>
      <c r="K1701">
        <v>0</v>
      </c>
      <c r="L1701">
        <v>0</v>
      </c>
      <c r="M1701" t="s">
        <v>25</v>
      </c>
      <c r="N1701" t="s">
        <v>25</v>
      </c>
      <c r="O1701" t="s">
        <v>26</v>
      </c>
      <c r="P1701" t="s">
        <v>25</v>
      </c>
      <c r="Q1701" t="s">
        <v>27</v>
      </c>
      <c r="R1701" t="s">
        <v>1893</v>
      </c>
      <c r="S1701" t="s">
        <v>231</v>
      </c>
      <c r="T1701" t="s">
        <v>1501</v>
      </c>
    </row>
    <row r="1702" spans="1:20">
      <c r="A1702">
        <v>1708</v>
      </c>
      <c r="B1702" t="s">
        <v>1895</v>
      </c>
      <c r="C1702" t="s">
        <v>102</v>
      </c>
      <c r="D1702" t="s">
        <v>22</v>
      </c>
      <c r="E1702" t="s">
        <v>1174</v>
      </c>
      <c r="F1702">
        <v>0</v>
      </c>
      <c r="G1702">
        <v>19</v>
      </c>
      <c r="H1702">
        <v>0</v>
      </c>
      <c r="I1702" t="s">
        <v>24</v>
      </c>
      <c r="J1702" t="s">
        <v>25</v>
      </c>
      <c r="K1702">
        <v>0</v>
      </c>
      <c r="L1702">
        <v>0</v>
      </c>
      <c r="M1702" t="s">
        <v>25</v>
      </c>
      <c r="N1702" t="s">
        <v>25</v>
      </c>
      <c r="O1702" t="s">
        <v>26</v>
      </c>
      <c r="P1702" t="s">
        <v>25</v>
      </c>
      <c r="Q1702" t="s">
        <v>27</v>
      </c>
      <c r="R1702" t="s">
        <v>1893</v>
      </c>
      <c r="S1702" t="s">
        <v>231</v>
      </c>
      <c r="T1702" t="s">
        <v>1501</v>
      </c>
    </row>
    <row r="1703" spans="1:20">
      <c r="A1703">
        <v>1709</v>
      </c>
      <c r="B1703" t="s">
        <v>1896</v>
      </c>
      <c r="C1703" t="s">
        <v>36</v>
      </c>
      <c r="D1703" t="s">
        <v>217</v>
      </c>
      <c r="E1703" t="s">
        <v>37</v>
      </c>
      <c r="F1703">
        <v>0</v>
      </c>
      <c r="G1703">
        <v>19</v>
      </c>
      <c r="H1703">
        <v>0</v>
      </c>
      <c r="I1703" t="s">
        <v>24</v>
      </c>
      <c r="J1703" t="s">
        <v>25</v>
      </c>
      <c r="K1703">
        <v>0</v>
      </c>
      <c r="L1703">
        <v>0</v>
      </c>
      <c r="M1703" t="s">
        <v>25</v>
      </c>
      <c r="N1703" t="s">
        <v>25</v>
      </c>
      <c r="O1703" t="s">
        <v>26</v>
      </c>
      <c r="P1703" t="s">
        <v>25</v>
      </c>
      <c r="Q1703" t="s">
        <v>27</v>
      </c>
      <c r="R1703" t="s">
        <v>573</v>
      </c>
      <c r="S1703" t="s">
        <v>297</v>
      </c>
      <c r="T1703" t="s">
        <v>1897</v>
      </c>
    </row>
    <row r="1704" spans="1:20">
      <c r="A1704">
        <v>1710</v>
      </c>
      <c r="B1704" t="s">
        <v>1898</v>
      </c>
      <c r="C1704" t="s">
        <v>216</v>
      </c>
      <c r="D1704" t="s">
        <v>217</v>
      </c>
      <c r="E1704" t="s">
        <v>218</v>
      </c>
      <c r="F1704">
        <v>0</v>
      </c>
      <c r="G1704">
        <v>19</v>
      </c>
      <c r="H1704">
        <v>0</v>
      </c>
      <c r="I1704" t="s">
        <v>24</v>
      </c>
      <c r="J1704" t="s">
        <v>25</v>
      </c>
      <c r="K1704">
        <v>0</v>
      </c>
      <c r="L1704">
        <v>0</v>
      </c>
      <c r="M1704" t="s">
        <v>25</v>
      </c>
      <c r="N1704" t="s">
        <v>25</v>
      </c>
      <c r="O1704" t="s">
        <v>26</v>
      </c>
      <c r="P1704" t="s">
        <v>25</v>
      </c>
      <c r="Q1704" t="s">
        <v>27</v>
      </c>
      <c r="R1704" t="s">
        <v>573</v>
      </c>
    </row>
    <row r="1705" spans="1:20">
      <c r="A1705">
        <v>1711</v>
      </c>
      <c r="B1705" t="s">
        <v>1899</v>
      </c>
      <c r="C1705" t="s">
        <v>36</v>
      </c>
      <c r="D1705" t="s">
        <v>22</v>
      </c>
      <c r="E1705" t="s">
        <v>37</v>
      </c>
      <c r="F1705">
        <v>0</v>
      </c>
      <c r="G1705">
        <v>19</v>
      </c>
      <c r="H1705">
        <v>0</v>
      </c>
      <c r="I1705" t="s">
        <v>24</v>
      </c>
      <c r="J1705" t="s">
        <v>25</v>
      </c>
      <c r="K1705">
        <v>0</v>
      </c>
      <c r="L1705">
        <v>0</v>
      </c>
      <c r="M1705" t="s">
        <v>25</v>
      </c>
      <c r="N1705" t="s">
        <v>25</v>
      </c>
      <c r="O1705" t="s">
        <v>26</v>
      </c>
      <c r="P1705" t="s">
        <v>25</v>
      </c>
      <c r="Q1705" t="s">
        <v>27</v>
      </c>
      <c r="R1705" t="s">
        <v>573</v>
      </c>
    </row>
    <row r="1706" spans="1:20">
      <c r="A1706">
        <v>1712</v>
      </c>
      <c r="B1706" t="s">
        <v>1900</v>
      </c>
      <c r="C1706" t="s">
        <v>1130</v>
      </c>
      <c r="D1706" t="s">
        <v>217</v>
      </c>
      <c r="E1706" t="s">
        <v>37</v>
      </c>
      <c r="F1706">
        <v>0</v>
      </c>
      <c r="G1706">
        <v>19</v>
      </c>
      <c r="H1706">
        <v>0</v>
      </c>
      <c r="I1706" t="s">
        <v>24</v>
      </c>
      <c r="J1706" t="s">
        <v>25</v>
      </c>
      <c r="K1706">
        <v>0</v>
      </c>
      <c r="L1706">
        <v>0</v>
      </c>
      <c r="M1706" t="s">
        <v>25</v>
      </c>
      <c r="N1706" t="s">
        <v>25</v>
      </c>
      <c r="O1706" t="s">
        <v>26</v>
      </c>
      <c r="P1706" t="s">
        <v>25</v>
      </c>
      <c r="Q1706" t="s">
        <v>27</v>
      </c>
      <c r="R1706" t="s">
        <v>573</v>
      </c>
      <c r="S1706" t="s">
        <v>297</v>
      </c>
      <c r="T1706" t="s">
        <v>1897</v>
      </c>
    </row>
    <row r="1707" spans="1:20">
      <c r="A1707">
        <v>1713</v>
      </c>
      <c r="B1707" t="s">
        <v>1901</v>
      </c>
      <c r="C1707" t="s">
        <v>247</v>
      </c>
      <c r="D1707" t="s">
        <v>22</v>
      </c>
      <c r="E1707" t="s">
        <v>23</v>
      </c>
      <c r="F1707">
        <v>0</v>
      </c>
      <c r="G1707">
        <v>19</v>
      </c>
      <c r="H1707">
        <v>0</v>
      </c>
      <c r="I1707" t="s">
        <v>24</v>
      </c>
      <c r="J1707" t="s">
        <v>25</v>
      </c>
      <c r="K1707">
        <v>0</v>
      </c>
      <c r="L1707">
        <v>0</v>
      </c>
      <c r="M1707" t="s">
        <v>25</v>
      </c>
      <c r="N1707" t="s">
        <v>25</v>
      </c>
      <c r="O1707" t="s">
        <v>26</v>
      </c>
      <c r="P1707" t="s">
        <v>25</v>
      </c>
      <c r="Q1707" t="s">
        <v>27</v>
      </c>
      <c r="R1707" t="s">
        <v>573</v>
      </c>
    </row>
    <row r="1708" spans="1:20">
      <c r="A1708">
        <v>1714</v>
      </c>
      <c r="B1708" t="s">
        <v>1902</v>
      </c>
      <c r="C1708" t="s">
        <v>102</v>
      </c>
      <c r="D1708" t="s">
        <v>22</v>
      </c>
      <c r="E1708" t="s">
        <v>23</v>
      </c>
      <c r="F1708">
        <v>0</v>
      </c>
      <c r="G1708">
        <v>19</v>
      </c>
      <c r="H1708">
        <v>0</v>
      </c>
      <c r="I1708" t="s">
        <v>24</v>
      </c>
      <c r="J1708" t="s">
        <v>25</v>
      </c>
      <c r="K1708">
        <v>0</v>
      </c>
      <c r="L1708">
        <v>0</v>
      </c>
      <c r="M1708" t="s">
        <v>25</v>
      </c>
      <c r="N1708" t="s">
        <v>25</v>
      </c>
      <c r="O1708" t="s">
        <v>26</v>
      </c>
      <c r="P1708" t="s">
        <v>25</v>
      </c>
      <c r="Q1708" t="s">
        <v>27</v>
      </c>
      <c r="R1708" t="s">
        <v>573</v>
      </c>
    </row>
    <row r="1709" spans="1:20">
      <c r="A1709">
        <v>1715</v>
      </c>
      <c r="B1709" t="s">
        <v>1903</v>
      </c>
      <c r="C1709" t="s">
        <v>36</v>
      </c>
      <c r="D1709" t="s">
        <v>217</v>
      </c>
      <c r="E1709" t="s">
        <v>218</v>
      </c>
      <c r="F1709">
        <v>0</v>
      </c>
      <c r="G1709">
        <v>19</v>
      </c>
      <c r="H1709">
        <v>0</v>
      </c>
      <c r="I1709" t="s">
        <v>24</v>
      </c>
      <c r="J1709" t="s">
        <v>25</v>
      </c>
      <c r="K1709">
        <v>0</v>
      </c>
      <c r="L1709">
        <v>0</v>
      </c>
      <c r="M1709" t="s">
        <v>25</v>
      </c>
      <c r="N1709" t="s">
        <v>25</v>
      </c>
      <c r="O1709" t="s">
        <v>26</v>
      </c>
      <c r="P1709" t="s">
        <v>25</v>
      </c>
      <c r="Q1709" t="s">
        <v>27</v>
      </c>
      <c r="R1709" t="s">
        <v>573</v>
      </c>
    </row>
    <row r="1710" spans="1:20">
      <c r="A1710">
        <v>1716</v>
      </c>
      <c r="B1710" t="s">
        <v>1904</v>
      </c>
      <c r="C1710" t="s">
        <v>36</v>
      </c>
      <c r="D1710" t="s">
        <v>22</v>
      </c>
      <c r="E1710" t="s">
        <v>37</v>
      </c>
      <c r="F1710">
        <v>0</v>
      </c>
      <c r="G1710">
        <v>19</v>
      </c>
      <c r="H1710">
        <v>0</v>
      </c>
      <c r="I1710" t="s">
        <v>24</v>
      </c>
      <c r="J1710" t="s">
        <v>25</v>
      </c>
      <c r="K1710">
        <v>0</v>
      </c>
      <c r="L1710">
        <v>0</v>
      </c>
      <c r="M1710" t="s">
        <v>25</v>
      </c>
      <c r="N1710" t="s">
        <v>25</v>
      </c>
      <c r="O1710" t="s">
        <v>26</v>
      </c>
      <c r="P1710" t="s">
        <v>25</v>
      </c>
      <c r="Q1710" t="s">
        <v>27</v>
      </c>
      <c r="R1710" t="s">
        <v>573</v>
      </c>
      <c r="S1710" t="s">
        <v>27</v>
      </c>
      <c r="T1710" t="s">
        <v>1471</v>
      </c>
    </row>
    <row r="1711" spans="1:20">
      <c r="A1711">
        <v>1717</v>
      </c>
      <c r="B1711" t="s">
        <v>1905</v>
      </c>
      <c r="C1711" t="s">
        <v>36</v>
      </c>
      <c r="D1711" t="s">
        <v>22</v>
      </c>
      <c r="E1711" t="s">
        <v>1906</v>
      </c>
      <c r="F1711">
        <v>0</v>
      </c>
      <c r="G1711">
        <v>19</v>
      </c>
      <c r="H1711">
        <v>0</v>
      </c>
      <c r="I1711" t="s">
        <v>24</v>
      </c>
      <c r="J1711" t="s">
        <v>25</v>
      </c>
      <c r="K1711">
        <v>0</v>
      </c>
      <c r="L1711">
        <v>0</v>
      </c>
      <c r="M1711" t="s">
        <v>25</v>
      </c>
      <c r="N1711" t="s">
        <v>25</v>
      </c>
      <c r="O1711" t="s">
        <v>26</v>
      </c>
      <c r="P1711" t="s">
        <v>25</v>
      </c>
      <c r="Q1711" t="s">
        <v>27</v>
      </c>
      <c r="R1711" t="s">
        <v>573</v>
      </c>
    </row>
    <row r="1712" spans="1:20">
      <c r="A1712">
        <v>1718</v>
      </c>
      <c r="B1712" t="s">
        <v>1907</v>
      </c>
      <c r="C1712" t="s">
        <v>102</v>
      </c>
      <c r="D1712" t="s">
        <v>22</v>
      </c>
      <c r="E1712" t="s">
        <v>23</v>
      </c>
      <c r="F1712">
        <v>0</v>
      </c>
      <c r="G1712">
        <v>19</v>
      </c>
      <c r="H1712">
        <v>0</v>
      </c>
      <c r="I1712" t="s">
        <v>24</v>
      </c>
      <c r="J1712" t="s">
        <v>25</v>
      </c>
      <c r="K1712">
        <v>0</v>
      </c>
      <c r="L1712">
        <v>0</v>
      </c>
      <c r="M1712" t="s">
        <v>25</v>
      </c>
      <c r="N1712" t="s">
        <v>25</v>
      </c>
      <c r="O1712" t="s">
        <v>26</v>
      </c>
      <c r="P1712" t="s">
        <v>25</v>
      </c>
      <c r="Q1712" t="s">
        <v>27</v>
      </c>
      <c r="R1712" t="s">
        <v>573</v>
      </c>
    </row>
    <row r="1713" spans="1:20">
      <c r="A1713">
        <v>1719</v>
      </c>
      <c r="B1713" t="s">
        <v>1908</v>
      </c>
      <c r="C1713" t="s">
        <v>36</v>
      </c>
      <c r="D1713" t="s">
        <v>22</v>
      </c>
      <c r="E1713" t="s">
        <v>37</v>
      </c>
      <c r="F1713">
        <v>0</v>
      </c>
      <c r="G1713">
        <v>19</v>
      </c>
      <c r="H1713">
        <v>0</v>
      </c>
      <c r="I1713" t="s">
        <v>24</v>
      </c>
      <c r="J1713" t="s">
        <v>25</v>
      </c>
      <c r="K1713">
        <v>0</v>
      </c>
      <c r="L1713">
        <v>0</v>
      </c>
      <c r="M1713" t="s">
        <v>25</v>
      </c>
      <c r="N1713" t="s">
        <v>25</v>
      </c>
      <c r="O1713" t="s">
        <v>26</v>
      </c>
      <c r="P1713" t="s">
        <v>25</v>
      </c>
      <c r="Q1713" t="s">
        <v>27</v>
      </c>
      <c r="R1713" t="s">
        <v>573</v>
      </c>
    </row>
    <row r="1714" spans="1:20">
      <c r="A1714">
        <v>1720</v>
      </c>
      <c r="B1714" t="s">
        <v>1909</v>
      </c>
      <c r="C1714" t="s">
        <v>36</v>
      </c>
      <c r="D1714" t="s">
        <v>217</v>
      </c>
      <c r="E1714" t="s">
        <v>268</v>
      </c>
      <c r="F1714">
        <v>0</v>
      </c>
      <c r="G1714">
        <v>19</v>
      </c>
      <c r="H1714">
        <v>0</v>
      </c>
      <c r="I1714" t="s">
        <v>24</v>
      </c>
      <c r="J1714" t="s">
        <v>25</v>
      </c>
      <c r="K1714">
        <v>0</v>
      </c>
      <c r="L1714">
        <v>0</v>
      </c>
      <c r="M1714" t="s">
        <v>25</v>
      </c>
      <c r="N1714" t="s">
        <v>25</v>
      </c>
      <c r="O1714" t="s">
        <v>26</v>
      </c>
      <c r="P1714" t="s">
        <v>25</v>
      </c>
      <c r="Q1714" t="s">
        <v>27</v>
      </c>
      <c r="R1714" t="s">
        <v>573</v>
      </c>
    </row>
    <row r="1715" spans="1:20">
      <c r="A1715">
        <v>1721</v>
      </c>
      <c r="B1715" t="s">
        <v>1910</v>
      </c>
      <c r="C1715" t="s">
        <v>228</v>
      </c>
      <c r="D1715" t="s">
        <v>217</v>
      </c>
      <c r="E1715" t="s">
        <v>37</v>
      </c>
      <c r="F1715">
        <v>145229.76000000001</v>
      </c>
      <c r="G1715">
        <v>19</v>
      </c>
      <c r="H1715">
        <v>179296</v>
      </c>
      <c r="I1715" t="s">
        <v>24</v>
      </c>
      <c r="J1715" t="s">
        <v>25</v>
      </c>
      <c r="K1715">
        <v>0</v>
      </c>
      <c r="L1715">
        <v>0</v>
      </c>
      <c r="M1715" t="s">
        <v>25</v>
      </c>
      <c r="N1715" t="s">
        <v>25</v>
      </c>
      <c r="O1715" t="s">
        <v>26</v>
      </c>
      <c r="P1715" t="s">
        <v>25</v>
      </c>
      <c r="Q1715" t="s">
        <v>27</v>
      </c>
      <c r="R1715" t="s">
        <v>573</v>
      </c>
      <c r="S1715" t="s">
        <v>27</v>
      </c>
      <c r="T1715" t="s">
        <v>1471</v>
      </c>
    </row>
    <row r="1716" spans="1:20">
      <c r="A1716">
        <v>1722</v>
      </c>
      <c r="B1716" t="s">
        <v>1911</v>
      </c>
      <c r="C1716" t="s">
        <v>228</v>
      </c>
      <c r="D1716" t="s">
        <v>22</v>
      </c>
      <c r="E1716" t="s">
        <v>37</v>
      </c>
      <c r="F1716">
        <v>0</v>
      </c>
      <c r="G1716">
        <v>19</v>
      </c>
      <c r="H1716">
        <v>0</v>
      </c>
      <c r="I1716" t="s">
        <v>24</v>
      </c>
      <c r="J1716" t="s">
        <v>25</v>
      </c>
      <c r="K1716">
        <v>0</v>
      </c>
      <c r="L1716">
        <v>0</v>
      </c>
      <c r="M1716" t="s">
        <v>25</v>
      </c>
      <c r="N1716" t="s">
        <v>25</v>
      </c>
      <c r="O1716" t="s">
        <v>26</v>
      </c>
      <c r="P1716" t="s">
        <v>25</v>
      </c>
      <c r="Q1716" t="s">
        <v>27</v>
      </c>
      <c r="R1716" t="s">
        <v>573</v>
      </c>
    </row>
    <row r="1717" spans="1:20">
      <c r="A1717">
        <v>1723</v>
      </c>
      <c r="B1717" t="s">
        <v>1912</v>
      </c>
      <c r="C1717" t="s">
        <v>228</v>
      </c>
      <c r="D1717" t="s">
        <v>22</v>
      </c>
      <c r="E1717" t="s">
        <v>37</v>
      </c>
      <c r="F1717">
        <v>0</v>
      </c>
      <c r="G1717">
        <v>19</v>
      </c>
      <c r="H1717">
        <v>0</v>
      </c>
      <c r="I1717" t="s">
        <v>24</v>
      </c>
      <c r="J1717" t="s">
        <v>25</v>
      </c>
      <c r="K1717">
        <v>0</v>
      </c>
      <c r="L1717">
        <v>0</v>
      </c>
      <c r="M1717" t="s">
        <v>25</v>
      </c>
      <c r="N1717" t="s">
        <v>25</v>
      </c>
      <c r="O1717" t="s">
        <v>26</v>
      </c>
      <c r="P1717" t="s">
        <v>25</v>
      </c>
      <c r="Q1717" t="s">
        <v>27</v>
      </c>
      <c r="R1717" t="s">
        <v>573</v>
      </c>
    </row>
    <row r="1718" spans="1:20">
      <c r="A1718">
        <v>1724</v>
      </c>
      <c r="B1718" t="s">
        <v>1913</v>
      </c>
      <c r="C1718" t="s">
        <v>21</v>
      </c>
      <c r="D1718" t="s">
        <v>22</v>
      </c>
      <c r="E1718" t="s">
        <v>1914</v>
      </c>
      <c r="F1718">
        <v>0</v>
      </c>
      <c r="G1718">
        <v>19</v>
      </c>
      <c r="H1718">
        <v>0</v>
      </c>
      <c r="I1718" t="s">
        <v>24</v>
      </c>
      <c r="J1718" t="s">
        <v>25</v>
      </c>
      <c r="K1718">
        <v>0</v>
      </c>
      <c r="L1718">
        <v>0</v>
      </c>
      <c r="M1718" t="s">
        <v>25</v>
      </c>
      <c r="N1718" t="s">
        <v>25</v>
      </c>
      <c r="O1718" t="s">
        <v>26</v>
      </c>
      <c r="P1718" t="s">
        <v>25</v>
      </c>
      <c r="Q1718" t="s">
        <v>27</v>
      </c>
      <c r="R1718" t="s">
        <v>573</v>
      </c>
      <c r="S1718" t="s">
        <v>231</v>
      </c>
      <c r="T1718" t="s">
        <v>1915</v>
      </c>
    </row>
    <row r="1719" spans="1:20">
      <c r="A1719">
        <v>1725</v>
      </c>
      <c r="B1719" t="s">
        <v>1916</v>
      </c>
      <c r="C1719" t="s">
        <v>102</v>
      </c>
      <c r="D1719" t="s">
        <v>22</v>
      </c>
      <c r="E1719" t="s">
        <v>1917</v>
      </c>
      <c r="F1719">
        <v>648000</v>
      </c>
      <c r="G1719">
        <v>19</v>
      </c>
      <c r="H1719">
        <v>800000</v>
      </c>
      <c r="I1719" t="s">
        <v>24</v>
      </c>
      <c r="J1719" t="s">
        <v>25</v>
      </c>
      <c r="K1719">
        <v>0</v>
      </c>
      <c r="L1719">
        <v>0</v>
      </c>
      <c r="M1719" t="s">
        <v>25</v>
      </c>
      <c r="N1719" t="s">
        <v>25</v>
      </c>
      <c r="O1719" t="s">
        <v>26</v>
      </c>
      <c r="P1719" t="s">
        <v>25</v>
      </c>
      <c r="Q1719" t="s">
        <v>27</v>
      </c>
      <c r="R1719" t="s">
        <v>573</v>
      </c>
      <c r="S1719" t="s">
        <v>231</v>
      </c>
      <c r="T1719" t="s">
        <v>588</v>
      </c>
    </row>
    <row r="1720" spans="1:20">
      <c r="A1720">
        <v>1726</v>
      </c>
      <c r="B1720" t="s">
        <v>1918</v>
      </c>
      <c r="C1720" t="s">
        <v>36</v>
      </c>
      <c r="D1720" t="s">
        <v>217</v>
      </c>
      <c r="E1720" t="s">
        <v>37</v>
      </c>
      <c r="F1720">
        <v>0</v>
      </c>
      <c r="G1720">
        <v>19</v>
      </c>
      <c r="H1720">
        <v>0</v>
      </c>
      <c r="I1720" t="s">
        <v>24</v>
      </c>
      <c r="J1720" t="s">
        <v>25</v>
      </c>
      <c r="K1720">
        <v>0</v>
      </c>
      <c r="L1720">
        <v>0</v>
      </c>
      <c r="M1720" t="s">
        <v>25</v>
      </c>
      <c r="N1720" t="s">
        <v>25</v>
      </c>
      <c r="O1720" t="s">
        <v>26</v>
      </c>
      <c r="P1720" t="s">
        <v>25</v>
      </c>
      <c r="Q1720" t="s">
        <v>27</v>
      </c>
      <c r="R1720" t="s">
        <v>573</v>
      </c>
      <c r="S1720" t="s">
        <v>581</v>
      </c>
      <c r="T1720" t="s">
        <v>239</v>
      </c>
    </row>
    <row r="1721" spans="1:20">
      <c r="A1721">
        <v>1727</v>
      </c>
      <c r="B1721" t="s">
        <v>1919</v>
      </c>
      <c r="C1721" t="s">
        <v>1920</v>
      </c>
      <c r="D1721" t="s">
        <v>22</v>
      </c>
      <c r="E1721" t="s">
        <v>37</v>
      </c>
      <c r="F1721">
        <v>449550</v>
      </c>
      <c r="G1721">
        <v>19</v>
      </c>
      <c r="H1721">
        <v>555000</v>
      </c>
      <c r="I1721" t="s">
        <v>24</v>
      </c>
      <c r="J1721" t="s">
        <v>25</v>
      </c>
      <c r="K1721">
        <v>0</v>
      </c>
      <c r="L1721">
        <v>0</v>
      </c>
      <c r="M1721" t="s">
        <v>25</v>
      </c>
      <c r="N1721" t="s">
        <v>25</v>
      </c>
      <c r="O1721" t="s">
        <v>26</v>
      </c>
      <c r="P1721" t="s">
        <v>25</v>
      </c>
      <c r="Q1721" t="s">
        <v>27</v>
      </c>
      <c r="R1721" t="s">
        <v>573</v>
      </c>
      <c r="S1721" t="s">
        <v>27</v>
      </c>
    </row>
    <row r="1722" spans="1:20">
      <c r="A1722">
        <v>1728</v>
      </c>
      <c r="B1722" t="s">
        <v>1921</v>
      </c>
      <c r="C1722" t="s">
        <v>320</v>
      </c>
      <c r="D1722" t="s">
        <v>217</v>
      </c>
      <c r="E1722" t="s">
        <v>1922</v>
      </c>
      <c r="F1722">
        <v>0</v>
      </c>
      <c r="G1722">
        <v>19</v>
      </c>
      <c r="H1722">
        <v>0</v>
      </c>
      <c r="I1722" t="s">
        <v>24</v>
      </c>
      <c r="J1722" t="s">
        <v>25</v>
      </c>
      <c r="K1722">
        <v>0</v>
      </c>
      <c r="L1722">
        <v>0</v>
      </c>
      <c r="M1722" t="s">
        <v>25</v>
      </c>
      <c r="N1722" t="s">
        <v>25</v>
      </c>
      <c r="O1722" t="s">
        <v>26</v>
      </c>
      <c r="P1722" t="s">
        <v>25</v>
      </c>
      <c r="Q1722" t="s">
        <v>27</v>
      </c>
      <c r="R1722" t="s">
        <v>623</v>
      </c>
      <c r="S1722" t="s">
        <v>297</v>
      </c>
      <c r="T1722" t="s">
        <v>1923</v>
      </c>
    </row>
    <row r="1723" spans="1:20">
      <c r="A1723">
        <v>1729</v>
      </c>
      <c r="B1723" t="s">
        <v>1924</v>
      </c>
      <c r="C1723" t="s">
        <v>36</v>
      </c>
      <c r="D1723" t="s">
        <v>217</v>
      </c>
      <c r="E1723" t="s">
        <v>1925</v>
      </c>
      <c r="F1723">
        <v>19159313.940000001</v>
      </c>
      <c r="G1723">
        <v>19</v>
      </c>
      <c r="H1723">
        <v>23653474</v>
      </c>
      <c r="I1723" t="s">
        <v>24</v>
      </c>
      <c r="J1723" t="s">
        <v>25</v>
      </c>
      <c r="K1723">
        <v>0</v>
      </c>
      <c r="L1723">
        <v>0</v>
      </c>
      <c r="M1723" t="s">
        <v>25</v>
      </c>
      <c r="N1723" t="s">
        <v>25</v>
      </c>
      <c r="O1723" t="s">
        <v>26</v>
      </c>
      <c r="P1723" t="s">
        <v>25</v>
      </c>
      <c r="Q1723" t="s">
        <v>27</v>
      </c>
      <c r="R1723" t="s">
        <v>623</v>
      </c>
      <c r="S1723" t="s">
        <v>27</v>
      </c>
    </row>
    <row r="1724" spans="1:20">
      <c r="A1724">
        <v>1730</v>
      </c>
      <c r="B1724" t="s">
        <v>1926</v>
      </c>
      <c r="C1724" t="s">
        <v>102</v>
      </c>
      <c r="D1724" t="s">
        <v>22</v>
      </c>
      <c r="E1724" t="s">
        <v>23</v>
      </c>
      <c r="F1724">
        <v>0</v>
      </c>
      <c r="G1724">
        <v>19</v>
      </c>
      <c r="H1724">
        <v>0</v>
      </c>
      <c r="I1724" t="s">
        <v>24</v>
      </c>
      <c r="J1724" t="s">
        <v>25</v>
      </c>
      <c r="K1724">
        <v>0</v>
      </c>
      <c r="L1724">
        <v>0</v>
      </c>
      <c r="M1724" t="s">
        <v>25</v>
      </c>
      <c r="N1724" t="s">
        <v>25</v>
      </c>
      <c r="O1724" t="s">
        <v>26</v>
      </c>
      <c r="P1724" t="s">
        <v>25</v>
      </c>
      <c r="Q1724" t="s">
        <v>27</v>
      </c>
      <c r="R1724" t="s">
        <v>623</v>
      </c>
    </row>
    <row r="1725" spans="1:20">
      <c r="A1725">
        <v>1731</v>
      </c>
      <c r="B1725" t="s">
        <v>1927</v>
      </c>
      <c r="C1725" t="s">
        <v>102</v>
      </c>
      <c r="D1725" t="s">
        <v>22</v>
      </c>
      <c r="E1725" t="s">
        <v>23</v>
      </c>
      <c r="F1725">
        <v>0</v>
      </c>
      <c r="G1725">
        <v>0</v>
      </c>
      <c r="H1725">
        <v>0</v>
      </c>
      <c r="I1725" t="s">
        <v>24</v>
      </c>
      <c r="J1725" t="s">
        <v>25</v>
      </c>
      <c r="K1725">
        <v>0</v>
      </c>
      <c r="L1725">
        <v>0</v>
      </c>
      <c r="M1725" t="s">
        <v>25</v>
      </c>
      <c r="N1725" t="s">
        <v>25</v>
      </c>
      <c r="O1725" t="s">
        <v>26</v>
      </c>
      <c r="P1725" t="s">
        <v>25</v>
      </c>
      <c r="Q1725" t="s">
        <v>27</v>
      </c>
      <c r="R1725" t="s">
        <v>623</v>
      </c>
    </row>
    <row r="1726" spans="1:20">
      <c r="A1726">
        <v>1732</v>
      </c>
      <c r="B1726" t="s">
        <v>1928</v>
      </c>
      <c r="C1726" t="s">
        <v>102</v>
      </c>
      <c r="D1726" t="s">
        <v>22</v>
      </c>
      <c r="E1726" t="s">
        <v>23</v>
      </c>
      <c r="F1726">
        <v>0</v>
      </c>
      <c r="G1726">
        <v>19</v>
      </c>
      <c r="H1726">
        <v>0</v>
      </c>
      <c r="I1726" t="s">
        <v>24</v>
      </c>
      <c r="J1726" t="s">
        <v>25</v>
      </c>
      <c r="K1726">
        <v>0</v>
      </c>
      <c r="L1726">
        <v>0</v>
      </c>
      <c r="M1726" t="s">
        <v>25</v>
      </c>
      <c r="N1726" t="s">
        <v>25</v>
      </c>
      <c r="O1726" t="s">
        <v>26</v>
      </c>
      <c r="P1726" t="s">
        <v>25</v>
      </c>
      <c r="Q1726" t="s">
        <v>27</v>
      </c>
      <c r="R1726" t="s">
        <v>623</v>
      </c>
    </row>
    <row r="1727" spans="1:20">
      <c r="A1727">
        <v>1733</v>
      </c>
      <c r="B1727" t="s">
        <v>1929</v>
      </c>
      <c r="C1727" t="s">
        <v>36</v>
      </c>
      <c r="D1727" t="s">
        <v>217</v>
      </c>
      <c r="E1727" t="s">
        <v>37</v>
      </c>
      <c r="F1727">
        <v>891000</v>
      </c>
      <c r="G1727">
        <v>19</v>
      </c>
      <c r="H1727">
        <v>1100000</v>
      </c>
      <c r="I1727" t="s">
        <v>24</v>
      </c>
      <c r="J1727" t="s">
        <v>25</v>
      </c>
      <c r="K1727">
        <v>0</v>
      </c>
      <c r="L1727">
        <v>0</v>
      </c>
      <c r="M1727" t="s">
        <v>25</v>
      </c>
      <c r="N1727" t="s">
        <v>25</v>
      </c>
      <c r="O1727" t="s">
        <v>26</v>
      </c>
      <c r="P1727" t="s">
        <v>25</v>
      </c>
      <c r="Q1727" t="s">
        <v>27</v>
      </c>
      <c r="R1727" t="s">
        <v>623</v>
      </c>
      <c r="S1727" t="s">
        <v>27</v>
      </c>
    </row>
    <row r="1728" spans="1:20">
      <c r="A1728">
        <v>1734</v>
      </c>
      <c r="B1728" t="s">
        <v>1930</v>
      </c>
      <c r="C1728" t="s">
        <v>36</v>
      </c>
      <c r="D1728" t="s">
        <v>22</v>
      </c>
      <c r="E1728" t="s">
        <v>23</v>
      </c>
      <c r="F1728">
        <v>7764954.8399999999</v>
      </c>
      <c r="G1728">
        <v>19</v>
      </c>
      <c r="H1728">
        <v>9586364</v>
      </c>
      <c r="I1728" t="s">
        <v>24</v>
      </c>
      <c r="J1728" t="s">
        <v>25</v>
      </c>
      <c r="K1728">
        <v>0</v>
      </c>
      <c r="L1728">
        <v>0</v>
      </c>
      <c r="M1728" t="s">
        <v>25</v>
      </c>
      <c r="N1728" t="s">
        <v>25</v>
      </c>
      <c r="O1728" t="s">
        <v>26</v>
      </c>
      <c r="P1728" t="s">
        <v>25</v>
      </c>
      <c r="Q1728" t="s">
        <v>27</v>
      </c>
      <c r="R1728" t="s">
        <v>623</v>
      </c>
      <c r="S1728" t="s">
        <v>27</v>
      </c>
      <c r="T1728" t="s">
        <v>239</v>
      </c>
    </row>
    <row r="1729" spans="1:20">
      <c r="A1729">
        <v>1735</v>
      </c>
      <c r="B1729" t="s">
        <v>1931</v>
      </c>
      <c r="C1729" t="s">
        <v>102</v>
      </c>
      <c r="D1729" t="s">
        <v>22</v>
      </c>
      <c r="E1729" t="s">
        <v>23</v>
      </c>
      <c r="F1729">
        <v>0</v>
      </c>
      <c r="G1729">
        <v>19</v>
      </c>
      <c r="H1729">
        <v>0</v>
      </c>
      <c r="I1729" t="s">
        <v>24</v>
      </c>
      <c r="J1729" t="s">
        <v>25</v>
      </c>
      <c r="K1729">
        <v>0</v>
      </c>
      <c r="L1729">
        <v>0</v>
      </c>
      <c r="M1729" t="s">
        <v>25</v>
      </c>
      <c r="N1729" t="s">
        <v>25</v>
      </c>
      <c r="O1729" t="s">
        <v>26</v>
      </c>
      <c r="P1729" t="s">
        <v>25</v>
      </c>
      <c r="Q1729" t="s">
        <v>27</v>
      </c>
      <c r="R1729" t="s">
        <v>623</v>
      </c>
    </row>
    <row r="1730" spans="1:20">
      <c r="A1730">
        <v>1736</v>
      </c>
      <c r="B1730" t="s">
        <v>1932</v>
      </c>
      <c r="C1730" t="s">
        <v>36</v>
      </c>
      <c r="D1730" t="s">
        <v>22</v>
      </c>
      <c r="E1730" t="s">
        <v>1933</v>
      </c>
      <c r="F1730">
        <v>0</v>
      </c>
      <c r="G1730">
        <v>19</v>
      </c>
      <c r="H1730">
        <v>0</v>
      </c>
      <c r="I1730" t="s">
        <v>24</v>
      </c>
      <c r="J1730" t="s">
        <v>25</v>
      </c>
      <c r="K1730">
        <v>0</v>
      </c>
      <c r="L1730">
        <v>0</v>
      </c>
      <c r="M1730" t="s">
        <v>25</v>
      </c>
      <c r="N1730" t="s">
        <v>25</v>
      </c>
      <c r="O1730" t="s">
        <v>26</v>
      </c>
      <c r="P1730" t="s">
        <v>25</v>
      </c>
      <c r="Q1730" t="s">
        <v>27</v>
      </c>
      <c r="R1730" t="s">
        <v>239</v>
      </c>
    </row>
    <row r="1731" spans="1:20">
      <c r="A1731">
        <v>1737</v>
      </c>
      <c r="B1731" t="s">
        <v>1934</v>
      </c>
      <c r="C1731" t="s">
        <v>36</v>
      </c>
      <c r="D1731" t="s">
        <v>217</v>
      </c>
      <c r="E1731" t="s">
        <v>1933</v>
      </c>
      <c r="F1731">
        <v>0</v>
      </c>
      <c r="G1731">
        <v>19</v>
      </c>
      <c r="H1731">
        <v>0</v>
      </c>
      <c r="I1731" t="s">
        <v>24</v>
      </c>
      <c r="J1731" t="s">
        <v>25</v>
      </c>
      <c r="K1731">
        <v>0</v>
      </c>
      <c r="L1731">
        <v>0</v>
      </c>
      <c r="M1731" t="s">
        <v>25</v>
      </c>
      <c r="N1731" t="s">
        <v>25</v>
      </c>
      <c r="O1731" t="s">
        <v>26</v>
      </c>
      <c r="P1731" t="s">
        <v>25</v>
      </c>
      <c r="Q1731" t="s">
        <v>27</v>
      </c>
      <c r="R1731" t="s">
        <v>239</v>
      </c>
      <c r="S1731" t="s">
        <v>297</v>
      </c>
      <c r="T1731" t="s">
        <v>1935</v>
      </c>
    </row>
    <row r="1732" spans="1:20">
      <c r="A1732">
        <v>1738</v>
      </c>
      <c r="B1732" t="s">
        <v>1936</v>
      </c>
      <c r="C1732" t="s">
        <v>36</v>
      </c>
      <c r="D1732" t="s">
        <v>217</v>
      </c>
      <c r="E1732" t="s">
        <v>1933</v>
      </c>
      <c r="F1732">
        <v>0</v>
      </c>
      <c r="G1732">
        <v>19</v>
      </c>
      <c r="H1732">
        <v>0</v>
      </c>
      <c r="I1732" t="s">
        <v>24</v>
      </c>
      <c r="J1732" t="s">
        <v>25</v>
      </c>
      <c r="K1732">
        <v>0</v>
      </c>
      <c r="L1732">
        <v>0</v>
      </c>
      <c r="M1732" t="s">
        <v>25</v>
      </c>
      <c r="N1732" t="s">
        <v>25</v>
      </c>
      <c r="O1732" t="s">
        <v>26</v>
      </c>
      <c r="P1732" t="s">
        <v>25</v>
      </c>
      <c r="Q1732" t="s">
        <v>27</v>
      </c>
      <c r="R1732" t="s">
        <v>239</v>
      </c>
      <c r="S1732" t="s">
        <v>297</v>
      </c>
      <c r="T1732" t="s">
        <v>1935</v>
      </c>
    </row>
    <row r="1733" spans="1:20">
      <c r="A1733">
        <v>1739</v>
      </c>
      <c r="B1733" t="s">
        <v>1937</v>
      </c>
      <c r="C1733" t="s">
        <v>36</v>
      </c>
      <c r="D1733" t="s">
        <v>217</v>
      </c>
      <c r="E1733" t="s">
        <v>1933</v>
      </c>
      <c r="F1733">
        <v>0</v>
      </c>
      <c r="G1733">
        <v>19</v>
      </c>
      <c r="H1733">
        <v>0</v>
      </c>
      <c r="I1733" t="s">
        <v>24</v>
      </c>
      <c r="J1733" t="s">
        <v>25</v>
      </c>
      <c r="K1733">
        <v>0</v>
      </c>
      <c r="L1733">
        <v>0</v>
      </c>
      <c r="M1733" t="s">
        <v>25</v>
      </c>
      <c r="N1733" t="s">
        <v>25</v>
      </c>
      <c r="O1733" t="s">
        <v>26</v>
      </c>
      <c r="P1733" t="s">
        <v>25</v>
      </c>
      <c r="Q1733" t="s">
        <v>27</v>
      </c>
      <c r="R1733" t="s">
        <v>239</v>
      </c>
      <c r="S1733" t="s">
        <v>297</v>
      </c>
      <c r="T1733" t="s">
        <v>1935</v>
      </c>
    </row>
    <row r="1734" spans="1:20">
      <c r="A1734">
        <v>1740</v>
      </c>
      <c r="B1734" t="s">
        <v>1938</v>
      </c>
      <c r="C1734" t="s">
        <v>36</v>
      </c>
      <c r="D1734" t="s">
        <v>217</v>
      </c>
      <c r="E1734" t="s">
        <v>1933</v>
      </c>
      <c r="F1734">
        <v>0</v>
      </c>
      <c r="G1734">
        <v>19</v>
      </c>
      <c r="H1734">
        <v>0</v>
      </c>
      <c r="I1734" t="s">
        <v>24</v>
      </c>
      <c r="J1734" t="s">
        <v>25</v>
      </c>
      <c r="K1734">
        <v>0</v>
      </c>
      <c r="L1734">
        <v>0</v>
      </c>
      <c r="M1734" t="s">
        <v>25</v>
      </c>
      <c r="N1734" t="s">
        <v>25</v>
      </c>
      <c r="O1734" t="s">
        <v>26</v>
      </c>
      <c r="P1734" t="s">
        <v>25</v>
      </c>
      <c r="Q1734" t="s">
        <v>27</v>
      </c>
      <c r="R1734" t="s">
        <v>239</v>
      </c>
      <c r="S1734" t="s">
        <v>297</v>
      </c>
      <c r="T1734" t="s">
        <v>1897</v>
      </c>
    </row>
    <row r="1735" spans="1:20">
      <c r="A1735">
        <v>1741</v>
      </c>
      <c r="B1735" t="s">
        <v>1939</v>
      </c>
      <c r="C1735" t="s">
        <v>36</v>
      </c>
      <c r="D1735" t="s">
        <v>217</v>
      </c>
      <c r="E1735" t="s">
        <v>1933</v>
      </c>
      <c r="F1735">
        <v>0</v>
      </c>
      <c r="G1735">
        <v>19</v>
      </c>
      <c r="H1735">
        <v>0</v>
      </c>
      <c r="I1735" t="s">
        <v>24</v>
      </c>
      <c r="J1735" t="s">
        <v>25</v>
      </c>
      <c r="K1735">
        <v>0</v>
      </c>
      <c r="L1735">
        <v>0</v>
      </c>
      <c r="M1735" t="s">
        <v>25</v>
      </c>
      <c r="N1735" t="s">
        <v>25</v>
      </c>
      <c r="O1735" t="s">
        <v>26</v>
      </c>
      <c r="P1735" t="s">
        <v>25</v>
      </c>
      <c r="Q1735" t="s">
        <v>27</v>
      </c>
      <c r="R1735" t="s">
        <v>239</v>
      </c>
      <c r="S1735" t="s">
        <v>297</v>
      </c>
      <c r="T1735" t="s">
        <v>1897</v>
      </c>
    </row>
    <row r="1736" spans="1:20">
      <c r="A1736">
        <v>1742</v>
      </c>
      <c r="B1736" t="s">
        <v>1940</v>
      </c>
      <c r="C1736" t="s">
        <v>36</v>
      </c>
      <c r="D1736" t="s">
        <v>217</v>
      </c>
      <c r="E1736" t="s">
        <v>1933</v>
      </c>
      <c r="F1736">
        <v>0</v>
      </c>
      <c r="G1736">
        <v>19</v>
      </c>
      <c r="H1736">
        <v>0</v>
      </c>
      <c r="I1736" t="s">
        <v>24</v>
      </c>
      <c r="J1736" t="s">
        <v>25</v>
      </c>
      <c r="K1736">
        <v>0</v>
      </c>
      <c r="L1736">
        <v>0</v>
      </c>
      <c r="M1736" t="s">
        <v>25</v>
      </c>
      <c r="N1736" t="s">
        <v>25</v>
      </c>
      <c r="O1736" t="s">
        <v>26</v>
      </c>
      <c r="P1736" t="s">
        <v>25</v>
      </c>
      <c r="Q1736" t="s">
        <v>27</v>
      </c>
      <c r="R1736" t="s">
        <v>239</v>
      </c>
      <c r="S1736" t="s">
        <v>297</v>
      </c>
      <c r="T1736" t="s">
        <v>1897</v>
      </c>
    </row>
    <row r="1737" spans="1:20">
      <c r="A1737">
        <v>1744</v>
      </c>
      <c r="B1737" t="s">
        <v>1941</v>
      </c>
      <c r="C1737" t="s">
        <v>36</v>
      </c>
      <c r="D1737" t="s">
        <v>217</v>
      </c>
      <c r="E1737" t="s">
        <v>1933</v>
      </c>
      <c r="F1737">
        <v>0</v>
      </c>
      <c r="G1737">
        <v>19</v>
      </c>
      <c r="H1737">
        <v>0</v>
      </c>
      <c r="I1737" t="s">
        <v>24</v>
      </c>
      <c r="J1737" t="s">
        <v>25</v>
      </c>
      <c r="K1737">
        <v>0</v>
      </c>
      <c r="L1737">
        <v>0</v>
      </c>
      <c r="M1737" t="s">
        <v>25</v>
      </c>
      <c r="N1737" t="s">
        <v>25</v>
      </c>
      <c r="O1737" t="s">
        <v>26</v>
      </c>
      <c r="P1737" t="s">
        <v>25</v>
      </c>
      <c r="Q1737" t="s">
        <v>27</v>
      </c>
      <c r="R1737" t="s">
        <v>239</v>
      </c>
      <c r="S1737" t="s">
        <v>297</v>
      </c>
      <c r="T1737" t="s">
        <v>1897</v>
      </c>
    </row>
    <row r="1738" spans="1:20">
      <c r="A1738">
        <v>1745</v>
      </c>
      <c r="B1738" t="s">
        <v>1942</v>
      </c>
      <c r="C1738" t="s">
        <v>36</v>
      </c>
      <c r="D1738" t="s">
        <v>22</v>
      </c>
      <c r="E1738" t="s">
        <v>1943</v>
      </c>
      <c r="F1738">
        <v>0</v>
      </c>
      <c r="G1738">
        <v>19</v>
      </c>
      <c r="H1738">
        <v>0</v>
      </c>
      <c r="I1738" t="s">
        <v>24</v>
      </c>
      <c r="J1738" t="s">
        <v>25</v>
      </c>
      <c r="K1738">
        <v>0</v>
      </c>
      <c r="L1738">
        <v>0</v>
      </c>
      <c r="M1738" t="s">
        <v>25</v>
      </c>
      <c r="N1738" t="s">
        <v>25</v>
      </c>
      <c r="O1738" t="s">
        <v>26</v>
      </c>
      <c r="P1738" t="s">
        <v>25</v>
      </c>
      <c r="Q1738" t="s">
        <v>27</v>
      </c>
      <c r="R1738" t="s">
        <v>239</v>
      </c>
    </row>
    <row r="1739" spans="1:20">
      <c r="A1739">
        <v>1746</v>
      </c>
      <c r="B1739" t="s">
        <v>1944</v>
      </c>
      <c r="C1739" t="s">
        <v>36</v>
      </c>
      <c r="D1739" t="s">
        <v>22</v>
      </c>
      <c r="E1739" t="s">
        <v>1943</v>
      </c>
      <c r="F1739">
        <v>0</v>
      </c>
      <c r="G1739">
        <v>19</v>
      </c>
      <c r="H1739">
        <v>0</v>
      </c>
      <c r="I1739" t="s">
        <v>24</v>
      </c>
      <c r="J1739" t="s">
        <v>25</v>
      </c>
      <c r="K1739">
        <v>0</v>
      </c>
      <c r="L1739">
        <v>0</v>
      </c>
      <c r="M1739" t="s">
        <v>25</v>
      </c>
      <c r="N1739" t="s">
        <v>25</v>
      </c>
      <c r="O1739" t="s">
        <v>26</v>
      </c>
      <c r="P1739" t="s">
        <v>25</v>
      </c>
      <c r="Q1739" t="s">
        <v>27</v>
      </c>
      <c r="R1739" t="s">
        <v>239</v>
      </c>
    </row>
    <row r="1740" spans="1:20">
      <c r="A1740">
        <v>1747</v>
      </c>
      <c r="B1740" t="s">
        <v>1945</v>
      </c>
      <c r="C1740" t="s">
        <v>36</v>
      </c>
      <c r="D1740" t="s">
        <v>22</v>
      </c>
      <c r="E1740" t="s">
        <v>1943</v>
      </c>
      <c r="F1740">
        <v>0</v>
      </c>
      <c r="G1740">
        <v>19</v>
      </c>
      <c r="H1740">
        <v>0</v>
      </c>
      <c r="I1740" t="s">
        <v>24</v>
      </c>
      <c r="J1740" t="s">
        <v>25</v>
      </c>
      <c r="K1740">
        <v>0</v>
      </c>
      <c r="L1740">
        <v>0</v>
      </c>
      <c r="M1740" t="s">
        <v>25</v>
      </c>
      <c r="N1740" t="s">
        <v>25</v>
      </c>
      <c r="O1740" t="s">
        <v>26</v>
      </c>
      <c r="P1740" t="s">
        <v>25</v>
      </c>
      <c r="Q1740" t="s">
        <v>27</v>
      </c>
      <c r="R1740" t="s">
        <v>239</v>
      </c>
    </row>
    <row r="1741" spans="1:20">
      <c r="A1741">
        <v>1748</v>
      </c>
      <c r="B1741" t="s">
        <v>1946</v>
      </c>
      <c r="C1741" t="s">
        <v>36</v>
      </c>
      <c r="D1741" t="s">
        <v>22</v>
      </c>
      <c r="E1741" t="s">
        <v>1943</v>
      </c>
      <c r="F1741">
        <v>0</v>
      </c>
      <c r="G1741">
        <v>19</v>
      </c>
      <c r="H1741">
        <v>0</v>
      </c>
      <c r="I1741" t="s">
        <v>24</v>
      </c>
      <c r="J1741" t="s">
        <v>25</v>
      </c>
      <c r="K1741">
        <v>0</v>
      </c>
      <c r="L1741">
        <v>0</v>
      </c>
      <c r="M1741" t="s">
        <v>25</v>
      </c>
      <c r="N1741" t="s">
        <v>25</v>
      </c>
      <c r="O1741" t="s">
        <v>26</v>
      </c>
      <c r="P1741" t="s">
        <v>25</v>
      </c>
      <c r="Q1741" t="s">
        <v>27</v>
      </c>
      <c r="R1741" t="s">
        <v>239</v>
      </c>
    </row>
    <row r="1742" spans="1:20">
      <c r="A1742">
        <v>1749</v>
      </c>
      <c r="B1742" t="s">
        <v>1947</v>
      </c>
      <c r="C1742" t="s">
        <v>36</v>
      </c>
      <c r="D1742" t="s">
        <v>22</v>
      </c>
      <c r="E1742" t="s">
        <v>1943</v>
      </c>
      <c r="F1742">
        <v>0</v>
      </c>
      <c r="G1742">
        <v>19</v>
      </c>
      <c r="H1742">
        <v>0</v>
      </c>
      <c r="I1742" t="s">
        <v>24</v>
      </c>
      <c r="J1742" t="s">
        <v>25</v>
      </c>
      <c r="K1742">
        <v>0</v>
      </c>
      <c r="L1742">
        <v>0</v>
      </c>
      <c r="M1742" t="s">
        <v>25</v>
      </c>
      <c r="N1742" t="s">
        <v>25</v>
      </c>
      <c r="O1742" t="s">
        <v>26</v>
      </c>
      <c r="P1742" t="s">
        <v>25</v>
      </c>
      <c r="Q1742" t="s">
        <v>27</v>
      </c>
      <c r="R1742" t="s">
        <v>239</v>
      </c>
    </row>
    <row r="1743" spans="1:20">
      <c r="A1743">
        <v>1750</v>
      </c>
      <c r="B1743" t="s">
        <v>1948</v>
      </c>
      <c r="C1743" t="s">
        <v>36</v>
      </c>
      <c r="D1743" t="s">
        <v>22</v>
      </c>
      <c r="E1743" t="s">
        <v>1943</v>
      </c>
      <c r="F1743">
        <v>0</v>
      </c>
      <c r="G1743">
        <v>19</v>
      </c>
      <c r="H1743">
        <v>0</v>
      </c>
      <c r="I1743" t="s">
        <v>24</v>
      </c>
      <c r="J1743" t="s">
        <v>25</v>
      </c>
      <c r="K1743">
        <v>0</v>
      </c>
      <c r="L1743">
        <v>0</v>
      </c>
      <c r="M1743" t="s">
        <v>25</v>
      </c>
      <c r="N1743" t="s">
        <v>25</v>
      </c>
      <c r="O1743" t="s">
        <v>26</v>
      </c>
      <c r="P1743" t="s">
        <v>25</v>
      </c>
      <c r="Q1743" t="s">
        <v>27</v>
      </c>
      <c r="R1743" t="s">
        <v>239</v>
      </c>
    </row>
    <row r="1744" spans="1:20">
      <c r="A1744">
        <v>1751</v>
      </c>
      <c r="B1744" t="s">
        <v>1949</v>
      </c>
      <c r="C1744" t="s">
        <v>36</v>
      </c>
      <c r="D1744" t="s">
        <v>22</v>
      </c>
      <c r="E1744" t="s">
        <v>356</v>
      </c>
      <c r="F1744">
        <v>0</v>
      </c>
      <c r="G1744">
        <v>19</v>
      </c>
      <c r="H1744">
        <v>0</v>
      </c>
      <c r="I1744" t="s">
        <v>24</v>
      </c>
      <c r="J1744" t="s">
        <v>25</v>
      </c>
      <c r="K1744">
        <v>0</v>
      </c>
      <c r="L1744">
        <v>0</v>
      </c>
      <c r="M1744" t="s">
        <v>25</v>
      </c>
      <c r="N1744" t="s">
        <v>25</v>
      </c>
      <c r="O1744" t="s">
        <v>26</v>
      </c>
      <c r="P1744" t="s">
        <v>25</v>
      </c>
      <c r="Q1744" t="s">
        <v>27</v>
      </c>
      <c r="R1744" t="s">
        <v>239</v>
      </c>
      <c r="S1744" t="s">
        <v>231</v>
      </c>
      <c r="T1744" t="s">
        <v>1501</v>
      </c>
    </row>
    <row r="1745" spans="1:20">
      <c r="A1745">
        <v>1752</v>
      </c>
      <c r="B1745" t="s">
        <v>1950</v>
      </c>
      <c r="C1745" t="s">
        <v>36</v>
      </c>
      <c r="D1745" t="s">
        <v>22</v>
      </c>
      <c r="E1745" t="s">
        <v>1951</v>
      </c>
      <c r="F1745">
        <v>0</v>
      </c>
      <c r="G1745">
        <v>19</v>
      </c>
      <c r="H1745">
        <v>0</v>
      </c>
      <c r="I1745" t="s">
        <v>24</v>
      </c>
      <c r="J1745" t="s">
        <v>25</v>
      </c>
      <c r="K1745">
        <v>0</v>
      </c>
      <c r="L1745">
        <v>0</v>
      </c>
      <c r="M1745" t="s">
        <v>25</v>
      </c>
      <c r="N1745" t="s">
        <v>25</v>
      </c>
      <c r="O1745" t="s">
        <v>26</v>
      </c>
      <c r="P1745" t="s">
        <v>25</v>
      </c>
      <c r="Q1745" t="s">
        <v>27</v>
      </c>
      <c r="R1745" t="s">
        <v>239</v>
      </c>
    </row>
    <row r="1746" spans="1:20">
      <c r="A1746">
        <v>1753</v>
      </c>
      <c r="B1746" t="s">
        <v>1952</v>
      </c>
      <c r="C1746" t="s">
        <v>36</v>
      </c>
      <c r="D1746" t="s">
        <v>22</v>
      </c>
      <c r="E1746" t="s">
        <v>1951</v>
      </c>
      <c r="F1746">
        <v>0</v>
      </c>
      <c r="G1746">
        <v>19</v>
      </c>
      <c r="H1746">
        <v>0</v>
      </c>
      <c r="I1746" t="s">
        <v>24</v>
      </c>
      <c r="J1746" t="s">
        <v>25</v>
      </c>
      <c r="K1746">
        <v>0</v>
      </c>
      <c r="L1746">
        <v>0</v>
      </c>
      <c r="M1746" t="s">
        <v>25</v>
      </c>
      <c r="N1746" t="s">
        <v>25</v>
      </c>
      <c r="O1746" t="s">
        <v>26</v>
      </c>
      <c r="P1746" t="s">
        <v>25</v>
      </c>
      <c r="Q1746" t="s">
        <v>27</v>
      </c>
      <c r="R1746" t="s">
        <v>239</v>
      </c>
    </row>
    <row r="1747" spans="1:20">
      <c r="A1747">
        <v>1754</v>
      </c>
      <c r="B1747" t="s">
        <v>1953</v>
      </c>
      <c r="C1747" t="s">
        <v>36</v>
      </c>
      <c r="D1747" t="s">
        <v>22</v>
      </c>
      <c r="E1747" t="s">
        <v>1951</v>
      </c>
      <c r="F1747">
        <v>0</v>
      </c>
      <c r="G1747">
        <v>19</v>
      </c>
      <c r="H1747">
        <v>0</v>
      </c>
      <c r="I1747" t="s">
        <v>24</v>
      </c>
      <c r="J1747" t="s">
        <v>25</v>
      </c>
      <c r="K1747">
        <v>0</v>
      </c>
      <c r="L1747">
        <v>0</v>
      </c>
      <c r="M1747" t="s">
        <v>25</v>
      </c>
      <c r="N1747" t="s">
        <v>25</v>
      </c>
      <c r="O1747" t="s">
        <v>26</v>
      </c>
      <c r="P1747" t="s">
        <v>25</v>
      </c>
      <c r="Q1747" t="s">
        <v>27</v>
      </c>
      <c r="R1747" t="s">
        <v>239</v>
      </c>
    </row>
    <row r="1748" spans="1:20">
      <c r="A1748">
        <v>1755</v>
      </c>
      <c r="B1748" t="s">
        <v>1954</v>
      </c>
      <c r="C1748" t="s">
        <v>36</v>
      </c>
      <c r="D1748" t="s">
        <v>22</v>
      </c>
      <c r="E1748" t="s">
        <v>1951</v>
      </c>
      <c r="F1748">
        <v>0</v>
      </c>
      <c r="G1748">
        <v>19</v>
      </c>
      <c r="H1748">
        <v>0</v>
      </c>
      <c r="I1748" t="s">
        <v>24</v>
      </c>
      <c r="J1748" t="s">
        <v>25</v>
      </c>
      <c r="K1748">
        <v>0</v>
      </c>
      <c r="L1748">
        <v>0</v>
      </c>
      <c r="M1748" t="s">
        <v>25</v>
      </c>
      <c r="N1748" t="s">
        <v>25</v>
      </c>
      <c r="O1748" t="s">
        <v>26</v>
      </c>
      <c r="P1748" t="s">
        <v>25</v>
      </c>
      <c r="Q1748" t="s">
        <v>27</v>
      </c>
      <c r="R1748" t="s">
        <v>239</v>
      </c>
    </row>
    <row r="1749" spans="1:20">
      <c r="A1749">
        <v>1756</v>
      </c>
      <c r="B1749" t="s">
        <v>1955</v>
      </c>
      <c r="C1749" t="s">
        <v>36</v>
      </c>
      <c r="D1749" t="s">
        <v>22</v>
      </c>
      <c r="E1749" t="s">
        <v>1951</v>
      </c>
      <c r="F1749">
        <v>0</v>
      </c>
      <c r="G1749">
        <v>19</v>
      </c>
      <c r="H1749">
        <v>0</v>
      </c>
      <c r="I1749" t="s">
        <v>24</v>
      </c>
      <c r="J1749" t="s">
        <v>25</v>
      </c>
      <c r="K1749">
        <v>0</v>
      </c>
      <c r="L1749">
        <v>0</v>
      </c>
      <c r="M1749" t="s">
        <v>25</v>
      </c>
      <c r="N1749" t="s">
        <v>25</v>
      </c>
      <c r="O1749" t="s">
        <v>26</v>
      </c>
      <c r="P1749" t="s">
        <v>25</v>
      </c>
      <c r="Q1749" t="s">
        <v>27</v>
      </c>
      <c r="R1749" t="s">
        <v>239</v>
      </c>
    </row>
    <row r="1750" spans="1:20">
      <c r="A1750">
        <v>1757</v>
      </c>
      <c r="B1750" t="s">
        <v>1956</v>
      </c>
      <c r="C1750" t="s">
        <v>36</v>
      </c>
      <c r="D1750" t="s">
        <v>22</v>
      </c>
      <c r="E1750" t="s">
        <v>1951</v>
      </c>
      <c r="F1750">
        <v>0</v>
      </c>
      <c r="G1750">
        <v>19</v>
      </c>
      <c r="H1750">
        <v>0</v>
      </c>
      <c r="I1750" t="s">
        <v>24</v>
      </c>
      <c r="J1750" t="s">
        <v>25</v>
      </c>
      <c r="K1750">
        <v>0</v>
      </c>
      <c r="L1750">
        <v>0</v>
      </c>
      <c r="M1750" t="s">
        <v>25</v>
      </c>
      <c r="N1750" t="s">
        <v>25</v>
      </c>
      <c r="O1750" t="s">
        <v>26</v>
      </c>
      <c r="P1750" t="s">
        <v>25</v>
      </c>
      <c r="Q1750" t="s">
        <v>27</v>
      </c>
      <c r="R1750" t="s">
        <v>239</v>
      </c>
    </row>
    <row r="1751" spans="1:20">
      <c r="A1751">
        <v>1758</v>
      </c>
      <c r="B1751" t="s">
        <v>1957</v>
      </c>
      <c r="C1751" t="s">
        <v>36</v>
      </c>
      <c r="D1751" t="s">
        <v>22</v>
      </c>
      <c r="E1751" t="s">
        <v>1951</v>
      </c>
      <c r="F1751">
        <v>0</v>
      </c>
      <c r="G1751">
        <v>19</v>
      </c>
      <c r="H1751">
        <v>0</v>
      </c>
      <c r="I1751" t="s">
        <v>24</v>
      </c>
      <c r="J1751" t="s">
        <v>25</v>
      </c>
      <c r="K1751">
        <v>0</v>
      </c>
      <c r="L1751">
        <v>0</v>
      </c>
      <c r="M1751" t="s">
        <v>25</v>
      </c>
      <c r="N1751" t="s">
        <v>25</v>
      </c>
      <c r="O1751" t="s">
        <v>26</v>
      </c>
      <c r="P1751" t="s">
        <v>25</v>
      </c>
      <c r="Q1751" t="s">
        <v>27</v>
      </c>
      <c r="R1751" t="s">
        <v>239</v>
      </c>
    </row>
    <row r="1752" spans="1:20">
      <c r="A1752">
        <v>1759</v>
      </c>
      <c r="B1752" t="s">
        <v>1958</v>
      </c>
      <c r="C1752" t="s">
        <v>36</v>
      </c>
      <c r="D1752" t="s">
        <v>22</v>
      </c>
      <c r="E1752" t="s">
        <v>1951</v>
      </c>
      <c r="F1752">
        <v>0</v>
      </c>
      <c r="G1752">
        <v>19</v>
      </c>
      <c r="H1752">
        <v>0</v>
      </c>
      <c r="I1752" t="s">
        <v>24</v>
      </c>
      <c r="J1752" t="s">
        <v>25</v>
      </c>
      <c r="K1752">
        <v>0</v>
      </c>
      <c r="L1752">
        <v>0</v>
      </c>
      <c r="M1752" t="s">
        <v>25</v>
      </c>
      <c r="N1752" t="s">
        <v>25</v>
      </c>
      <c r="O1752" t="s">
        <v>26</v>
      </c>
      <c r="P1752" t="s">
        <v>25</v>
      </c>
      <c r="Q1752" t="s">
        <v>27</v>
      </c>
      <c r="R1752" t="s">
        <v>239</v>
      </c>
    </row>
    <row r="1753" spans="1:20">
      <c r="A1753">
        <v>1760</v>
      </c>
      <c r="B1753" t="s">
        <v>1959</v>
      </c>
      <c r="C1753" t="s">
        <v>36</v>
      </c>
      <c r="D1753" t="s">
        <v>22</v>
      </c>
      <c r="E1753" t="s">
        <v>1951</v>
      </c>
      <c r="F1753">
        <v>0</v>
      </c>
      <c r="G1753">
        <v>19</v>
      </c>
      <c r="H1753">
        <v>0</v>
      </c>
      <c r="I1753" t="s">
        <v>24</v>
      </c>
      <c r="J1753" t="s">
        <v>25</v>
      </c>
      <c r="K1753">
        <v>0</v>
      </c>
      <c r="L1753">
        <v>0</v>
      </c>
      <c r="M1753" t="s">
        <v>25</v>
      </c>
      <c r="N1753" t="s">
        <v>25</v>
      </c>
      <c r="O1753" t="s">
        <v>26</v>
      </c>
      <c r="P1753" t="s">
        <v>25</v>
      </c>
      <c r="Q1753" t="s">
        <v>27</v>
      </c>
      <c r="R1753" t="s">
        <v>239</v>
      </c>
    </row>
    <row r="1754" spans="1:20">
      <c r="A1754">
        <v>1761</v>
      </c>
      <c r="B1754" t="s">
        <v>1960</v>
      </c>
      <c r="C1754" t="s">
        <v>36</v>
      </c>
      <c r="D1754" t="s">
        <v>22</v>
      </c>
      <c r="E1754" t="s">
        <v>1951</v>
      </c>
      <c r="F1754">
        <v>0</v>
      </c>
      <c r="G1754">
        <v>19</v>
      </c>
      <c r="H1754">
        <v>0</v>
      </c>
      <c r="I1754" t="s">
        <v>24</v>
      </c>
      <c r="J1754" t="s">
        <v>25</v>
      </c>
      <c r="K1754">
        <v>0</v>
      </c>
      <c r="L1754">
        <v>0</v>
      </c>
      <c r="M1754" t="s">
        <v>25</v>
      </c>
      <c r="N1754" t="s">
        <v>25</v>
      </c>
      <c r="O1754" t="s">
        <v>26</v>
      </c>
      <c r="P1754" t="s">
        <v>25</v>
      </c>
      <c r="Q1754" t="s">
        <v>27</v>
      </c>
      <c r="R1754" t="s">
        <v>239</v>
      </c>
    </row>
    <row r="1755" spans="1:20">
      <c r="A1755">
        <v>1762</v>
      </c>
      <c r="B1755" t="s">
        <v>1961</v>
      </c>
      <c r="C1755" t="s">
        <v>36</v>
      </c>
      <c r="D1755" t="s">
        <v>22</v>
      </c>
      <c r="E1755" t="s">
        <v>827</v>
      </c>
      <c r="F1755">
        <v>0</v>
      </c>
      <c r="G1755">
        <v>19</v>
      </c>
      <c r="H1755">
        <v>0</v>
      </c>
      <c r="I1755" t="s">
        <v>24</v>
      </c>
      <c r="J1755" t="s">
        <v>25</v>
      </c>
      <c r="K1755">
        <v>0</v>
      </c>
      <c r="L1755">
        <v>0</v>
      </c>
      <c r="M1755" t="s">
        <v>25</v>
      </c>
      <c r="N1755" t="s">
        <v>25</v>
      </c>
      <c r="O1755" t="s">
        <v>26</v>
      </c>
      <c r="P1755" t="s">
        <v>25</v>
      </c>
      <c r="Q1755" t="s">
        <v>27</v>
      </c>
      <c r="R1755" t="s">
        <v>239</v>
      </c>
    </row>
    <row r="1756" spans="1:20">
      <c r="A1756">
        <v>1763</v>
      </c>
      <c r="B1756" t="s">
        <v>1962</v>
      </c>
      <c r="C1756" t="s">
        <v>36</v>
      </c>
      <c r="D1756" t="s">
        <v>22</v>
      </c>
      <c r="E1756" t="s">
        <v>827</v>
      </c>
      <c r="F1756">
        <v>0</v>
      </c>
      <c r="G1756">
        <v>19</v>
      </c>
      <c r="H1756">
        <v>0</v>
      </c>
      <c r="I1756" t="s">
        <v>24</v>
      </c>
      <c r="J1756" t="s">
        <v>25</v>
      </c>
      <c r="K1756">
        <v>0</v>
      </c>
      <c r="L1756">
        <v>0</v>
      </c>
      <c r="M1756" t="s">
        <v>25</v>
      </c>
      <c r="N1756" t="s">
        <v>25</v>
      </c>
      <c r="O1756" t="s">
        <v>26</v>
      </c>
      <c r="P1756" t="s">
        <v>25</v>
      </c>
      <c r="Q1756" t="s">
        <v>27</v>
      </c>
      <c r="R1756" t="s">
        <v>239</v>
      </c>
    </row>
    <row r="1757" spans="1:20">
      <c r="A1757">
        <v>1764</v>
      </c>
      <c r="B1757" t="s">
        <v>1963</v>
      </c>
      <c r="C1757" t="s">
        <v>36</v>
      </c>
      <c r="D1757" t="s">
        <v>22</v>
      </c>
      <c r="E1757" t="s">
        <v>827</v>
      </c>
      <c r="F1757">
        <v>0</v>
      </c>
      <c r="G1757">
        <v>19</v>
      </c>
      <c r="H1757">
        <v>0</v>
      </c>
      <c r="I1757" t="s">
        <v>24</v>
      </c>
      <c r="J1757" t="s">
        <v>25</v>
      </c>
      <c r="K1757">
        <v>0</v>
      </c>
      <c r="L1757">
        <v>0</v>
      </c>
      <c r="M1757" t="s">
        <v>25</v>
      </c>
      <c r="N1757" t="s">
        <v>25</v>
      </c>
      <c r="O1757" t="s">
        <v>26</v>
      </c>
      <c r="P1757" t="s">
        <v>25</v>
      </c>
      <c r="Q1757" t="s">
        <v>27</v>
      </c>
      <c r="R1757" t="s">
        <v>239</v>
      </c>
    </row>
    <row r="1758" spans="1:20">
      <c r="A1758">
        <v>1765</v>
      </c>
      <c r="B1758" t="s">
        <v>1964</v>
      </c>
      <c r="C1758" t="s">
        <v>36</v>
      </c>
      <c r="D1758" t="s">
        <v>22</v>
      </c>
      <c r="E1758" t="s">
        <v>827</v>
      </c>
      <c r="F1758">
        <v>0</v>
      </c>
      <c r="G1758">
        <v>19</v>
      </c>
      <c r="H1758">
        <v>0</v>
      </c>
      <c r="I1758" t="s">
        <v>24</v>
      </c>
      <c r="J1758" t="s">
        <v>25</v>
      </c>
      <c r="K1758">
        <v>0</v>
      </c>
      <c r="L1758">
        <v>0</v>
      </c>
      <c r="M1758" t="s">
        <v>25</v>
      </c>
      <c r="N1758" t="s">
        <v>25</v>
      </c>
      <c r="O1758" t="s">
        <v>26</v>
      </c>
      <c r="P1758" t="s">
        <v>25</v>
      </c>
      <c r="Q1758" t="s">
        <v>27</v>
      </c>
      <c r="R1758" t="s">
        <v>239</v>
      </c>
    </row>
    <row r="1759" spans="1:20">
      <c r="A1759">
        <v>1766</v>
      </c>
      <c r="B1759" t="s">
        <v>1965</v>
      </c>
      <c r="C1759" t="s">
        <v>36</v>
      </c>
      <c r="D1759" t="s">
        <v>22</v>
      </c>
      <c r="E1759" t="s">
        <v>827</v>
      </c>
      <c r="F1759">
        <v>0</v>
      </c>
      <c r="G1759">
        <v>19</v>
      </c>
      <c r="H1759">
        <v>0</v>
      </c>
      <c r="I1759" t="s">
        <v>24</v>
      </c>
      <c r="J1759" t="s">
        <v>25</v>
      </c>
      <c r="K1759">
        <v>0</v>
      </c>
      <c r="L1759">
        <v>0</v>
      </c>
      <c r="M1759" t="s">
        <v>25</v>
      </c>
      <c r="N1759" t="s">
        <v>25</v>
      </c>
      <c r="O1759" t="s">
        <v>26</v>
      </c>
      <c r="P1759" t="s">
        <v>25</v>
      </c>
      <c r="Q1759" t="s">
        <v>27</v>
      </c>
      <c r="R1759" t="s">
        <v>239</v>
      </c>
    </row>
    <row r="1760" spans="1:20">
      <c r="A1760">
        <v>1767</v>
      </c>
      <c r="B1760" t="s">
        <v>1966</v>
      </c>
      <c r="C1760" t="s">
        <v>21</v>
      </c>
      <c r="D1760" t="s">
        <v>22</v>
      </c>
      <c r="E1760" t="s">
        <v>23</v>
      </c>
      <c r="F1760">
        <v>125460</v>
      </c>
      <c r="G1760">
        <v>19</v>
      </c>
      <c r="H1760">
        <v>149297.4</v>
      </c>
      <c r="I1760" t="s">
        <v>24</v>
      </c>
      <c r="J1760" t="s">
        <v>25</v>
      </c>
      <c r="K1760">
        <v>0</v>
      </c>
      <c r="L1760">
        <v>0</v>
      </c>
      <c r="M1760" t="s">
        <v>25</v>
      </c>
      <c r="N1760" t="s">
        <v>25</v>
      </c>
      <c r="O1760" t="s">
        <v>26</v>
      </c>
      <c r="P1760" t="s">
        <v>25</v>
      </c>
      <c r="Q1760" t="s">
        <v>27</v>
      </c>
      <c r="R1760" t="s">
        <v>239</v>
      </c>
      <c r="S1760" t="s">
        <v>51</v>
      </c>
      <c r="T1760" t="s">
        <v>676</v>
      </c>
    </row>
    <row r="1761" spans="1:20">
      <c r="A1761">
        <v>1768</v>
      </c>
      <c r="B1761" t="s">
        <v>1967</v>
      </c>
      <c r="C1761" t="s">
        <v>36</v>
      </c>
      <c r="D1761" t="s">
        <v>22</v>
      </c>
      <c r="E1761" t="s">
        <v>827</v>
      </c>
      <c r="F1761">
        <v>0</v>
      </c>
      <c r="G1761">
        <v>19</v>
      </c>
      <c r="H1761">
        <v>0</v>
      </c>
      <c r="I1761" t="s">
        <v>24</v>
      </c>
      <c r="J1761" t="s">
        <v>25</v>
      </c>
      <c r="K1761">
        <v>0</v>
      </c>
      <c r="L1761">
        <v>0</v>
      </c>
      <c r="M1761" t="s">
        <v>25</v>
      </c>
      <c r="N1761" t="s">
        <v>25</v>
      </c>
      <c r="O1761" t="s">
        <v>26</v>
      </c>
      <c r="P1761" t="s">
        <v>25</v>
      </c>
      <c r="Q1761" t="s">
        <v>27</v>
      </c>
      <c r="R1761" t="s">
        <v>239</v>
      </c>
    </row>
    <row r="1762" spans="1:20">
      <c r="A1762">
        <v>1769</v>
      </c>
      <c r="B1762" t="s">
        <v>1968</v>
      </c>
      <c r="C1762" t="s">
        <v>36</v>
      </c>
      <c r="D1762" t="s">
        <v>22</v>
      </c>
      <c r="E1762" t="s">
        <v>827</v>
      </c>
      <c r="F1762">
        <v>0</v>
      </c>
      <c r="G1762">
        <v>19</v>
      </c>
      <c r="H1762">
        <v>0</v>
      </c>
      <c r="I1762" t="s">
        <v>24</v>
      </c>
      <c r="J1762" t="s">
        <v>25</v>
      </c>
      <c r="K1762">
        <v>0</v>
      </c>
      <c r="L1762">
        <v>0</v>
      </c>
      <c r="M1762" t="s">
        <v>25</v>
      </c>
      <c r="N1762" t="s">
        <v>25</v>
      </c>
      <c r="O1762" t="s">
        <v>26</v>
      </c>
      <c r="P1762" t="s">
        <v>25</v>
      </c>
      <c r="Q1762" t="s">
        <v>27</v>
      </c>
      <c r="R1762" t="s">
        <v>239</v>
      </c>
    </row>
    <row r="1763" spans="1:20">
      <c r="A1763">
        <v>1770</v>
      </c>
      <c r="B1763" t="s">
        <v>1969</v>
      </c>
      <c r="C1763" t="s">
        <v>36</v>
      </c>
      <c r="D1763" t="s">
        <v>22</v>
      </c>
      <c r="E1763" t="s">
        <v>827</v>
      </c>
      <c r="F1763">
        <v>0</v>
      </c>
      <c r="G1763">
        <v>19</v>
      </c>
      <c r="H1763">
        <v>0</v>
      </c>
      <c r="I1763" t="s">
        <v>24</v>
      </c>
      <c r="J1763" t="s">
        <v>25</v>
      </c>
      <c r="K1763">
        <v>0</v>
      </c>
      <c r="L1763">
        <v>0</v>
      </c>
      <c r="M1763" t="s">
        <v>25</v>
      </c>
      <c r="N1763" t="s">
        <v>25</v>
      </c>
      <c r="O1763" t="s">
        <v>26</v>
      </c>
      <c r="P1763" t="s">
        <v>25</v>
      </c>
      <c r="Q1763" t="s">
        <v>27</v>
      </c>
      <c r="R1763" t="s">
        <v>239</v>
      </c>
    </row>
    <row r="1764" spans="1:20">
      <c r="A1764">
        <v>1771</v>
      </c>
      <c r="B1764" t="s">
        <v>1970</v>
      </c>
      <c r="C1764" t="s">
        <v>36</v>
      </c>
      <c r="D1764" t="s">
        <v>22</v>
      </c>
      <c r="E1764" t="s">
        <v>1971</v>
      </c>
      <c r="F1764">
        <v>0</v>
      </c>
      <c r="G1764">
        <v>19</v>
      </c>
      <c r="H1764">
        <v>0</v>
      </c>
      <c r="I1764" t="s">
        <v>24</v>
      </c>
      <c r="J1764" t="s">
        <v>25</v>
      </c>
      <c r="K1764">
        <v>0</v>
      </c>
      <c r="L1764">
        <v>0</v>
      </c>
      <c r="M1764" t="s">
        <v>25</v>
      </c>
      <c r="N1764" t="s">
        <v>25</v>
      </c>
      <c r="O1764" t="s">
        <v>26</v>
      </c>
      <c r="P1764" t="s">
        <v>25</v>
      </c>
      <c r="Q1764" t="s">
        <v>27</v>
      </c>
      <c r="R1764" t="s">
        <v>239</v>
      </c>
    </row>
    <row r="1765" spans="1:20">
      <c r="A1765">
        <v>1772</v>
      </c>
      <c r="B1765" t="s">
        <v>1972</v>
      </c>
      <c r="C1765" t="s">
        <v>36</v>
      </c>
      <c r="D1765" t="s">
        <v>22</v>
      </c>
      <c r="E1765" t="s">
        <v>1971</v>
      </c>
      <c r="F1765">
        <v>0</v>
      </c>
      <c r="G1765">
        <v>19</v>
      </c>
      <c r="H1765">
        <v>0</v>
      </c>
      <c r="I1765" t="s">
        <v>24</v>
      </c>
      <c r="J1765" t="s">
        <v>25</v>
      </c>
      <c r="K1765">
        <v>0</v>
      </c>
      <c r="L1765">
        <v>0</v>
      </c>
      <c r="M1765" t="s">
        <v>25</v>
      </c>
      <c r="N1765" t="s">
        <v>25</v>
      </c>
      <c r="O1765" t="s">
        <v>26</v>
      </c>
      <c r="P1765" t="s">
        <v>25</v>
      </c>
      <c r="Q1765" t="s">
        <v>27</v>
      </c>
      <c r="R1765" t="s">
        <v>239</v>
      </c>
    </row>
    <row r="1766" spans="1:20">
      <c r="A1766">
        <v>1773</v>
      </c>
      <c r="B1766" t="s">
        <v>1973</v>
      </c>
      <c r="C1766" t="s">
        <v>36</v>
      </c>
      <c r="D1766" t="s">
        <v>22</v>
      </c>
      <c r="E1766" t="s">
        <v>1971</v>
      </c>
      <c r="F1766">
        <v>0</v>
      </c>
      <c r="G1766">
        <v>19</v>
      </c>
      <c r="H1766">
        <v>0</v>
      </c>
      <c r="I1766" t="s">
        <v>24</v>
      </c>
      <c r="J1766" t="s">
        <v>25</v>
      </c>
      <c r="K1766">
        <v>0</v>
      </c>
      <c r="L1766">
        <v>0</v>
      </c>
      <c r="M1766" t="s">
        <v>25</v>
      </c>
      <c r="N1766" t="s">
        <v>25</v>
      </c>
      <c r="O1766" t="s">
        <v>26</v>
      </c>
      <c r="P1766" t="s">
        <v>25</v>
      </c>
      <c r="Q1766" t="s">
        <v>27</v>
      </c>
      <c r="R1766" t="s">
        <v>239</v>
      </c>
    </row>
    <row r="1767" spans="1:20">
      <c r="A1767">
        <v>1774</v>
      </c>
      <c r="B1767" t="s">
        <v>1974</v>
      </c>
      <c r="C1767" t="s">
        <v>36</v>
      </c>
      <c r="D1767" t="s">
        <v>217</v>
      </c>
      <c r="E1767" t="s">
        <v>1975</v>
      </c>
      <c r="F1767">
        <v>0</v>
      </c>
      <c r="G1767">
        <v>19</v>
      </c>
      <c r="H1767">
        <v>0</v>
      </c>
      <c r="I1767" t="s">
        <v>24</v>
      </c>
      <c r="J1767" t="s">
        <v>25</v>
      </c>
      <c r="K1767">
        <v>0</v>
      </c>
      <c r="L1767">
        <v>0</v>
      </c>
      <c r="M1767" t="s">
        <v>25</v>
      </c>
      <c r="N1767" t="s">
        <v>25</v>
      </c>
      <c r="O1767" t="s">
        <v>26</v>
      </c>
      <c r="P1767" t="s">
        <v>25</v>
      </c>
      <c r="Q1767" t="s">
        <v>27</v>
      </c>
      <c r="R1767" t="s">
        <v>239</v>
      </c>
      <c r="S1767" t="s">
        <v>297</v>
      </c>
      <c r="T1767" t="s">
        <v>1976</v>
      </c>
    </row>
    <row r="1768" spans="1:20">
      <c r="A1768">
        <v>1775</v>
      </c>
      <c r="B1768" t="s">
        <v>1977</v>
      </c>
      <c r="C1768" t="s">
        <v>36</v>
      </c>
      <c r="D1768" t="s">
        <v>217</v>
      </c>
      <c r="E1768" t="s">
        <v>1975</v>
      </c>
      <c r="F1768">
        <v>0</v>
      </c>
      <c r="G1768">
        <v>19</v>
      </c>
      <c r="H1768">
        <v>0</v>
      </c>
      <c r="I1768" t="s">
        <v>24</v>
      </c>
      <c r="J1768" t="s">
        <v>25</v>
      </c>
      <c r="K1768">
        <v>0</v>
      </c>
      <c r="L1768">
        <v>0</v>
      </c>
      <c r="M1768" t="s">
        <v>25</v>
      </c>
      <c r="N1768" t="s">
        <v>25</v>
      </c>
      <c r="O1768" t="s">
        <v>26</v>
      </c>
      <c r="P1768" t="s">
        <v>25</v>
      </c>
      <c r="Q1768" t="s">
        <v>27</v>
      </c>
      <c r="R1768" t="s">
        <v>239</v>
      </c>
      <c r="S1768" t="s">
        <v>297</v>
      </c>
      <c r="T1768" t="s">
        <v>1976</v>
      </c>
    </row>
    <row r="1769" spans="1:20">
      <c r="A1769">
        <v>1776</v>
      </c>
      <c r="B1769" t="s">
        <v>1978</v>
      </c>
      <c r="C1769" t="s">
        <v>36</v>
      </c>
      <c r="D1769" t="s">
        <v>22</v>
      </c>
      <c r="E1769" t="s">
        <v>1975</v>
      </c>
      <c r="F1769">
        <v>0</v>
      </c>
      <c r="G1769">
        <v>19</v>
      </c>
      <c r="H1769">
        <v>0</v>
      </c>
      <c r="I1769" t="s">
        <v>24</v>
      </c>
      <c r="J1769" t="s">
        <v>25</v>
      </c>
      <c r="K1769">
        <v>0</v>
      </c>
      <c r="L1769">
        <v>0</v>
      </c>
      <c r="M1769" t="s">
        <v>25</v>
      </c>
      <c r="N1769" t="s">
        <v>25</v>
      </c>
      <c r="O1769" t="s">
        <v>26</v>
      </c>
      <c r="P1769" t="s">
        <v>25</v>
      </c>
      <c r="Q1769" t="s">
        <v>27</v>
      </c>
      <c r="R1769" t="s">
        <v>239</v>
      </c>
    </row>
    <row r="1770" spans="1:20">
      <c r="A1770">
        <v>1777</v>
      </c>
      <c r="B1770" t="s">
        <v>1979</v>
      </c>
      <c r="C1770" t="s">
        <v>36</v>
      </c>
      <c r="D1770" t="s">
        <v>22</v>
      </c>
      <c r="E1770" t="s">
        <v>1975</v>
      </c>
      <c r="F1770">
        <v>0</v>
      </c>
      <c r="G1770">
        <v>19</v>
      </c>
      <c r="H1770">
        <v>0</v>
      </c>
      <c r="I1770" t="s">
        <v>24</v>
      </c>
      <c r="J1770" t="s">
        <v>25</v>
      </c>
      <c r="K1770">
        <v>0</v>
      </c>
      <c r="L1770">
        <v>0</v>
      </c>
      <c r="M1770" t="s">
        <v>25</v>
      </c>
      <c r="N1770" t="s">
        <v>25</v>
      </c>
      <c r="O1770" t="s">
        <v>26</v>
      </c>
      <c r="P1770" t="s">
        <v>25</v>
      </c>
      <c r="Q1770" t="s">
        <v>27</v>
      </c>
      <c r="R1770" t="s">
        <v>239</v>
      </c>
    </row>
    <row r="1771" spans="1:20">
      <c r="A1771">
        <v>1778</v>
      </c>
      <c r="B1771" t="s">
        <v>1980</v>
      </c>
      <c r="C1771" t="s">
        <v>36</v>
      </c>
      <c r="D1771" t="s">
        <v>22</v>
      </c>
      <c r="E1771" t="s">
        <v>1981</v>
      </c>
      <c r="F1771">
        <v>0</v>
      </c>
      <c r="G1771">
        <v>19</v>
      </c>
      <c r="H1771">
        <v>0</v>
      </c>
      <c r="I1771" t="s">
        <v>24</v>
      </c>
      <c r="J1771" t="s">
        <v>25</v>
      </c>
      <c r="K1771">
        <v>0</v>
      </c>
      <c r="L1771">
        <v>0</v>
      </c>
      <c r="M1771" t="s">
        <v>25</v>
      </c>
      <c r="N1771" t="s">
        <v>25</v>
      </c>
      <c r="O1771" t="s">
        <v>26</v>
      </c>
      <c r="P1771" t="s">
        <v>25</v>
      </c>
      <c r="Q1771" t="s">
        <v>27</v>
      </c>
      <c r="R1771" t="s">
        <v>239</v>
      </c>
    </row>
    <row r="1772" spans="1:20">
      <c r="A1772">
        <v>1779</v>
      </c>
      <c r="B1772" t="s">
        <v>1982</v>
      </c>
      <c r="C1772" t="s">
        <v>36</v>
      </c>
      <c r="D1772" t="s">
        <v>22</v>
      </c>
      <c r="E1772" t="s">
        <v>1981</v>
      </c>
      <c r="F1772">
        <v>0</v>
      </c>
      <c r="G1772">
        <v>19</v>
      </c>
      <c r="H1772">
        <v>0</v>
      </c>
      <c r="I1772" t="s">
        <v>24</v>
      </c>
      <c r="J1772" t="s">
        <v>25</v>
      </c>
      <c r="K1772">
        <v>0</v>
      </c>
      <c r="L1772">
        <v>0</v>
      </c>
      <c r="M1772" t="s">
        <v>25</v>
      </c>
      <c r="N1772" t="s">
        <v>25</v>
      </c>
      <c r="O1772" t="s">
        <v>26</v>
      </c>
      <c r="P1772" t="s">
        <v>25</v>
      </c>
      <c r="Q1772" t="s">
        <v>27</v>
      </c>
      <c r="R1772" t="s">
        <v>239</v>
      </c>
    </row>
    <row r="1773" spans="1:20">
      <c r="A1773">
        <v>1780</v>
      </c>
      <c r="B1773" t="s">
        <v>1983</v>
      </c>
      <c r="C1773" t="s">
        <v>36</v>
      </c>
      <c r="D1773" t="s">
        <v>22</v>
      </c>
      <c r="E1773" t="s">
        <v>1981</v>
      </c>
      <c r="F1773">
        <v>0</v>
      </c>
      <c r="G1773">
        <v>19</v>
      </c>
      <c r="H1773">
        <v>0</v>
      </c>
      <c r="I1773" t="s">
        <v>24</v>
      </c>
      <c r="J1773" t="s">
        <v>25</v>
      </c>
      <c r="K1773">
        <v>0</v>
      </c>
      <c r="L1773">
        <v>0</v>
      </c>
      <c r="M1773" t="s">
        <v>25</v>
      </c>
      <c r="N1773" t="s">
        <v>25</v>
      </c>
      <c r="O1773" t="s">
        <v>26</v>
      </c>
      <c r="P1773" t="s">
        <v>25</v>
      </c>
      <c r="Q1773" t="s">
        <v>27</v>
      </c>
      <c r="R1773" t="s">
        <v>239</v>
      </c>
    </row>
    <row r="1774" spans="1:20">
      <c r="A1774">
        <v>1781</v>
      </c>
      <c r="B1774" t="s">
        <v>1984</v>
      </c>
      <c r="C1774" t="s">
        <v>36</v>
      </c>
      <c r="D1774" t="s">
        <v>22</v>
      </c>
      <c r="E1774" t="s">
        <v>1981</v>
      </c>
      <c r="F1774">
        <v>0</v>
      </c>
      <c r="G1774">
        <v>19</v>
      </c>
      <c r="H1774">
        <v>0</v>
      </c>
      <c r="I1774" t="s">
        <v>24</v>
      </c>
      <c r="J1774" t="s">
        <v>25</v>
      </c>
      <c r="K1774">
        <v>0</v>
      </c>
      <c r="L1774">
        <v>0</v>
      </c>
      <c r="M1774" t="s">
        <v>25</v>
      </c>
      <c r="N1774" t="s">
        <v>25</v>
      </c>
      <c r="O1774" t="s">
        <v>26</v>
      </c>
      <c r="P1774" t="s">
        <v>25</v>
      </c>
      <c r="Q1774" t="s">
        <v>27</v>
      </c>
      <c r="R1774" t="s">
        <v>239</v>
      </c>
    </row>
    <row r="1775" spans="1:20">
      <c r="A1775">
        <v>1782</v>
      </c>
      <c r="B1775" t="s">
        <v>1985</v>
      </c>
      <c r="C1775" t="s">
        <v>36</v>
      </c>
      <c r="D1775" t="s">
        <v>22</v>
      </c>
      <c r="E1775" t="s">
        <v>1981</v>
      </c>
      <c r="F1775">
        <v>0</v>
      </c>
      <c r="G1775">
        <v>19</v>
      </c>
      <c r="H1775">
        <v>0</v>
      </c>
      <c r="I1775" t="s">
        <v>24</v>
      </c>
      <c r="J1775" t="s">
        <v>25</v>
      </c>
      <c r="K1775">
        <v>0</v>
      </c>
      <c r="L1775">
        <v>0</v>
      </c>
      <c r="M1775" t="s">
        <v>25</v>
      </c>
      <c r="N1775" t="s">
        <v>25</v>
      </c>
      <c r="O1775" t="s">
        <v>26</v>
      </c>
      <c r="P1775" t="s">
        <v>25</v>
      </c>
      <c r="Q1775" t="s">
        <v>27</v>
      </c>
      <c r="R1775" t="s">
        <v>239</v>
      </c>
    </row>
    <row r="1776" spans="1:20">
      <c r="A1776">
        <v>1783</v>
      </c>
      <c r="B1776" t="s">
        <v>1986</v>
      </c>
      <c r="C1776" t="s">
        <v>36</v>
      </c>
      <c r="D1776" t="s">
        <v>22</v>
      </c>
      <c r="E1776" t="s">
        <v>1981</v>
      </c>
      <c r="F1776">
        <v>0</v>
      </c>
      <c r="G1776">
        <v>19</v>
      </c>
      <c r="H1776">
        <v>0</v>
      </c>
      <c r="I1776" t="s">
        <v>24</v>
      </c>
      <c r="J1776" t="s">
        <v>25</v>
      </c>
      <c r="K1776">
        <v>0</v>
      </c>
      <c r="L1776">
        <v>0</v>
      </c>
      <c r="M1776" t="s">
        <v>25</v>
      </c>
      <c r="N1776" t="s">
        <v>25</v>
      </c>
      <c r="O1776" t="s">
        <v>26</v>
      </c>
      <c r="P1776" t="s">
        <v>25</v>
      </c>
      <c r="Q1776" t="s">
        <v>27</v>
      </c>
      <c r="R1776" t="s">
        <v>239</v>
      </c>
    </row>
    <row r="1777" spans="1:20">
      <c r="A1777">
        <v>1784</v>
      </c>
      <c r="B1777" t="s">
        <v>1987</v>
      </c>
      <c r="C1777" t="s">
        <v>36</v>
      </c>
      <c r="D1777" t="s">
        <v>22</v>
      </c>
      <c r="E1777" t="s">
        <v>1988</v>
      </c>
      <c r="F1777">
        <v>0</v>
      </c>
      <c r="G1777">
        <v>19</v>
      </c>
      <c r="H1777">
        <v>0</v>
      </c>
      <c r="I1777" t="s">
        <v>24</v>
      </c>
      <c r="J1777" t="s">
        <v>25</v>
      </c>
      <c r="K1777">
        <v>0</v>
      </c>
      <c r="L1777">
        <v>0</v>
      </c>
      <c r="M1777" t="s">
        <v>25</v>
      </c>
      <c r="N1777" t="s">
        <v>25</v>
      </c>
      <c r="O1777" t="s">
        <v>26</v>
      </c>
      <c r="P1777" t="s">
        <v>25</v>
      </c>
      <c r="Q1777" t="s">
        <v>27</v>
      </c>
      <c r="R1777" t="s">
        <v>239</v>
      </c>
    </row>
    <row r="1778" spans="1:20">
      <c r="A1778">
        <v>1785</v>
      </c>
      <c r="B1778" t="s">
        <v>1989</v>
      </c>
      <c r="C1778" t="s">
        <v>36</v>
      </c>
      <c r="D1778" t="s">
        <v>22</v>
      </c>
      <c r="E1778" t="s">
        <v>1990</v>
      </c>
      <c r="F1778">
        <v>0</v>
      </c>
      <c r="G1778">
        <v>19</v>
      </c>
      <c r="H1778">
        <v>0</v>
      </c>
      <c r="I1778" t="s">
        <v>24</v>
      </c>
      <c r="J1778" t="s">
        <v>25</v>
      </c>
      <c r="K1778">
        <v>0</v>
      </c>
      <c r="L1778">
        <v>0</v>
      </c>
      <c r="M1778" t="s">
        <v>25</v>
      </c>
      <c r="N1778" t="s">
        <v>25</v>
      </c>
      <c r="O1778" t="s">
        <v>26</v>
      </c>
      <c r="P1778" t="s">
        <v>25</v>
      </c>
      <c r="Q1778" t="s">
        <v>27</v>
      </c>
      <c r="R1778" t="s">
        <v>239</v>
      </c>
    </row>
    <row r="1779" spans="1:20">
      <c r="A1779">
        <v>1786</v>
      </c>
      <c r="B1779" t="s">
        <v>1991</v>
      </c>
      <c r="C1779" t="s">
        <v>36</v>
      </c>
      <c r="D1779" t="s">
        <v>22</v>
      </c>
      <c r="E1779" t="s">
        <v>1992</v>
      </c>
      <c r="F1779">
        <v>0</v>
      </c>
      <c r="G1779">
        <v>19</v>
      </c>
      <c r="H1779">
        <v>0</v>
      </c>
      <c r="I1779" t="s">
        <v>24</v>
      </c>
      <c r="J1779" t="s">
        <v>25</v>
      </c>
      <c r="K1779">
        <v>0</v>
      </c>
      <c r="L1779">
        <v>0</v>
      </c>
      <c r="M1779" t="s">
        <v>25</v>
      </c>
      <c r="N1779" t="s">
        <v>25</v>
      </c>
      <c r="O1779" t="s">
        <v>26</v>
      </c>
      <c r="P1779" t="s">
        <v>25</v>
      </c>
      <c r="Q1779" t="s">
        <v>27</v>
      </c>
      <c r="R1779" t="s">
        <v>239</v>
      </c>
      <c r="S1779" t="s">
        <v>231</v>
      </c>
      <c r="T1779" t="s">
        <v>828</v>
      </c>
    </row>
    <row r="1780" spans="1:20">
      <c r="A1780">
        <v>1787</v>
      </c>
      <c r="B1780" t="s">
        <v>1993</v>
      </c>
      <c r="C1780" t="s">
        <v>36</v>
      </c>
      <c r="D1780" t="s">
        <v>22</v>
      </c>
      <c r="E1780" t="s">
        <v>1990</v>
      </c>
      <c r="F1780">
        <v>0</v>
      </c>
      <c r="G1780">
        <v>19</v>
      </c>
      <c r="H1780">
        <v>0</v>
      </c>
      <c r="I1780" t="s">
        <v>24</v>
      </c>
      <c r="J1780" t="s">
        <v>25</v>
      </c>
      <c r="K1780">
        <v>0</v>
      </c>
      <c r="L1780">
        <v>0</v>
      </c>
      <c r="M1780" t="s">
        <v>25</v>
      </c>
      <c r="N1780" t="s">
        <v>25</v>
      </c>
      <c r="O1780" t="s">
        <v>26</v>
      </c>
      <c r="P1780" t="s">
        <v>25</v>
      </c>
      <c r="Q1780" t="s">
        <v>27</v>
      </c>
      <c r="R1780" t="s">
        <v>239</v>
      </c>
      <c r="S1780" t="s">
        <v>297</v>
      </c>
      <c r="T1780" t="s">
        <v>1897</v>
      </c>
    </row>
    <row r="1781" spans="1:20">
      <c r="A1781">
        <v>1788</v>
      </c>
      <c r="B1781" t="s">
        <v>1994</v>
      </c>
      <c r="C1781" t="s">
        <v>36</v>
      </c>
      <c r="D1781" t="s">
        <v>22</v>
      </c>
      <c r="E1781" t="s">
        <v>1990</v>
      </c>
      <c r="F1781">
        <v>0</v>
      </c>
      <c r="G1781">
        <v>19</v>
      </c>
      <c r="H1781">
        <v>0</v>
      </c>
      <c r="I1781" t="s">
        <v>24</v>
      </c>
      <c r="J1781" t="s">
        <v>25</v>
      </c>
      <c r="K1781">
        <v>0</v>
      </c>
      <c r="L1781">
        <v>0</v>
      </c>
      <c r="M1781" t="s">
        <v>25</v>
      </c>
      <c r="N1781" t="s">
        <v>25</v>
      </c>
      <c r="O1781" t="s">
        <v>26</v>
      </c>
      <c r="P1781" t="s">
        <v>25</v>
      </c>
      <c r="Q1781" t="s">
        <v>27</v>
      </c>
      <c r="R1781" t="s">
        <v>239</v>
      </c>
    </row>
    <row r="1782" spans="1:20">
      <c r="A1782">
        <v>1789</v>
      </c>
      <c r="B1782" t="s">
        <v>1995</v>
      </c>
      <c r="C1782" t="s">
        <v>36</v>
      </c>
      <c r="D1782" t="s">
        <v>22</v>
      </c>
      <c r="E1782" t="s">
        <v>1990</v>
      </c>
      <c r="F1782">
        <v>0</v>
      </c>
      <c r="G1782">
        <v>19</v>
      </c>
      <c r="H1782">
        <v>0</v>
      </c>
      <c r="I1782" t="s">
        <v>24</v>
      </c>
      <c r="J1782" t="s">
        <v>25</v>
      </c>
      <c r="K1782">
        <v>0</v>
      </c>
      <c r="L1782">
        <v>0</v>
      </c>
      <c r="M1782" t="s">
        <v>25</v>
      </c>
      <c r="N1782" t="s">
        <v>25</v>
      </c>
      <c r="O1782" t="s">
        <v>26</v>
      </c>
      <c r="P1782" t="s">
        <v>25</v>
      </c>
      <c r="Q1782" t="s">
        <v>27</v>
      </c>
      <c r="R1782" t="s">
        <v>239</v>
      </c>
    </row>
    <row r="1783" spans="1:20">
      <c r="A1783">
        <v>1790</v>
      </c>
      <c r="B1783" t="s">
        <v>1996</v>
      </c>
      <c r="C1783" t="s">
        <v>36</v>
      </c>
      <c r="D1783" t="s">
        <v>22</v>
      </c>
      <c r="E1783" t="s">
        <v>1990</v>
      </c>
      <c r="F1783">
        <v>0</v>
      </c>
      <c r="G1783">
        <v>19</v>
      </c>
      <c r="H1783">
        <v>0</v>
      </c>
      <c r="I1783" t="s">
        <v>24</v>
      </c>
      <c r="J1783" t="s">
        <v>25</v>
      </c>
      <c r="K1783">
        <v>0</v>
      </c>
      <c r="L1783">
        <v>0</v>
      </c>
      <c r="M1783" t="s">
        <v>25</v>
      </c>
      <c r="N1783" t="s">
        <v>25</v>
      </c>
      <c r="O1783" t="s">
        <v>26</v>
      </c>
      <c r="P1783" t="s">
        <v>25</v>
      </c>
      <c r="Q1783" t="s">
        <v>27</v>
      </c>
      <c r="R1783" t="s">
        <v>239</v>
      </c>
    </row>
    <row r="1784" spans="1:20">
      <c r="A1784">
        <v>1791</v>
      </c>
      <c r="B1784" t="s">
        <v>1997</v>
      </c>
      <c r="C1784" t="s">
        <v>36</v>
      </c>
      <c r="D1784" t="s">
        <v>22</v>
      </c>
      <c r="E1784" t="s">
        <v>1990</v>
      </c>
      <c r="F1784">
        <v>0</v>
      </c>
      <c r="G1784">
        <v>19</v>
      </c>
      <c r="H1784">
        <v>0</v>
      </c>
      <c r="I1784" t="s">
        <v>24</v>
      </c>
      <c r="J1784" t="s">
        <v>25</v>
      </c>
      <c r="K1784">
        <v>0</v>
      </c>
      <c r="L1784">
        <v>0</v>
      </c>
      <c r="M1784" t="s">
        <v>25</v>
      </c>
      <c r="N1784" t="s">
        <v>25</v>
      </c>
      <c r="O1784" t="s">
        <v>26</v>
      </c>
      <c r="P1784" t="s">
        <v>25</v>
      </c>
      <c r="Q1784" t="s">
        <v>27</v>
      </c>
      <c r="R1784" t="s">
        <v>239</v>
      </c>
    </row>
    <row r="1785" spans="1:20">
      <c r="A1785">
        <v>1792</v>
      </c>
      <c r="B1785" t="s">
        <v>1998</v>
      </c>
      <c r="C1785" t="s">
        <v>36</v>
      </c>
      <c r="D1785" t="s">
        <v>22</v>
      </c>
      <c r="E1785" t="s">
        <v>1990</v>
      </c>
      <c r="F1785">
        <v>0</v>
      </c>
      <c r="G1785">
        <v>19</v>
      </c>
      <c r="H1785">
        <v>0</v>
      </c>
      <c r="I1785" t="s">
        <v>24</v>
      </c>
      <c r="J1785" t="s">
        <v>25</v>
      </c>
      <c r="K1785">
        <v>0</v>
      </c>
      <c r="L1785">
        <v>0</v>
      </c>
      <c r="M1785" t="s">
        <v>25</v>
      </c>
      <c r="N1785" t="s">
        <v>25</v>
      </c>
      <c r="O1785" t="s">
        <v>26</v>
      </c>
      <c r="P1785" t="s">
        <v>25</v>
      </c>
      <c r="Q1785" t="s">
        <v>27</v>
      </c>
      <c r="R1785" t="s">
        <v>239</v>
      </c>
    </row>
    <row r="1786" spans="1:20">
      <c r="A1786">
        <v>1793</v>
      </c>
      <c r="B1786" t="s">
        <v>1999</v>
      </c>
      <c r="C1786" t="s">
        <v>36</v>
      </c>
      <c r="D1786" t="s">
        <v>22</v>
      </c>
      <c r="E1786" t="s">
        <v>1990</v>
      </c>
      <c r="F1786">
        <v>0</v>
      </c>
      <c r="G1786">
        <v>19</v>
      </c>
      <c r="H1786">
        <v>0</v>
      </c>
      <c r="I1786" t="s">
        <v>24</v>
      </c>
      <c r="J1786" t="s">
        <v>25</v>
      </c>
      <c r="K1786">
        <v>0</v>
      </c>
      <c r="L1786">
        <v>0</v>
      </c>
      <c r="M1786" t="s">
        <v>25</v>
      </c>
      <c r="N1786" t="s">
        <v>25</v>
      </c>
      <c r="O1786" t="s">
        <v>26</v>
      </c>
      <c r="P1786" t="s">
        <v>25</v>
      </c>
      <c r="Q1786" t="s">
        <v>27</v>
      </c>
      <c r="R1786" t="s">
        <v>239</v>
      </c>
    </row>
    <row r="1787" spans="1:20">
      <c r="A1787">
        <v>1794</v>
      </c>
      <c r="B1787" t="s">
        <v>2000</v>
      </c>
      <c r="C1787" t="s">
        <v>36</v>
      </c>
      <c r="D1787" t="s">
        <v>22</v>
      </c>
      <c r="E1787" t="s">
        <v>1990</v>
      </c>
      <c r="F1787">
        <v>0</v>
      </c>
      <c r="G1787">
        <v>19</v>
      </c>
      <c r="H1787">
        <v>0</v>
      </c>
      <c r="I1787" t="s">
        <v>24</v>
      </c>
      <c r="J1787" t="s">
        <v>25</v>
      </c>
      <c r="K1787">
        <v>0</v>
      </c>
      <c r="L1787">
        <v>0</v>
      </c>
      <c r="M1787" t="s">
        <v>25</v>
      </c>
      <c r="N1787" t="s">
        <v>25</v>
      </c>
      <c r="O1787" t="s">
        <v>26</v>
      </c>
      <c r="P1787" t="s">
        <v>25</v>
      </c>
      <c r="Q1787" t="s">
        <v>27</v>
      </c>
      <c r="R1787" t="s">
        <v>239</v>
      </c>
    </row>
    <row r="1788" spans="1:20">
      <c r="A1788">
        <v>1795</v>
      </c>
      <c r="B1788" t="s">
        <v>2001</v>
      </c>
      <c r="C1788" t="s">
        <v>36</v>
      </c>
      <c r="D1788" t="s">
        <v>22</v>
      </c>
      <c r="E1788" t="s">
        <v>1990</v>
      </c>
      <c r="F1788">
        <v>0</v>
      </c>
      <c r="G1788">
        <v>19</v>
      </c>
      <c r="H1788">
        <v>0</v>
      </c>
      <c r="I1788" t="s">
        <v>24</v>
      </c>
      <c r="J1788" t="s">
        <v>25</v>
      </c>
      <c r="K1788">
        <v>0</v>
      </c>
      <c r="L1788">
        <v>0</v>
      </c>
      <c r="M1788" t="s">
        <v>25</v>
      </c>
      <c r="N1788" t="s">
        <v>25</v>
      </c>
      <c r="O1788" t="s">
        <v>26</v>
      </c>
      <c r="P1788" t="s">
        <v>25</v>
      </c>
      <c r="Q1788" t="s">
        <v>27</v>
      </c>
      <c r="R1788" t="s">
        <v>239</v>
      </c>
    </row>
    <row r="1789" spans="1:20">
      <c r="A1789">
        <v>1796</v>
      </c>
      <c r="B1789" t="s">
        <v>2002</v>
      </c>
      <c r="C1789" t="s">
        <v>36</v>
      </c>
      <c r="D1789" t="s">
        <v>22</v>
      </c>
      <c r="E1789" t="s">
        <v>1990</v>
      </c>
      <c r="F1789">
        <v>0</v>
      </c>
      <c r="G1789">
        <v>19</v>
      </c>
      <c r="H1789">
        <v>0</v>
      </c>
      <c r="I1789" t="s">
        <v>24</v>
      </c>
      <c r="J1789" t="s">
        <v>25</v>
      </c>
      <c r="K1789">
        <v>0</v>
      </c>
      <c r="L1789">
        <v>0</v>
      </c>
      <c r="M1789" t="s">
        <v>25</v>
      </c>
      <c r="N1789" t="s">
        <v>25</v>
      </c>
      <c r="O1789" t="s">
        <v>26</v>
      </c>
      <c r="P1789" t="s">
        <v>25</v>
      </c>
      <c r="Q1789" t="s">
        <v>27</v>
      </c>
      <c r="R1789" t="s">
        <v>239</v>
      </c>
    </row>
    <row r="1790" spans="1:20">
      <c r="A1790">
        <v>1797</v>
      </c>
      <c r="B1790" t="s">
        <v>2003</v>
      </c>
      <c r="C1790" t="s">
        <v>36</v>
      </c>
      <c r="D1790" t="s">
        <v>22</v>
      </c>
      <c r="E1790" t="s">
        <v>2004</v>
      </c>
      <c r="F1790">
        <v>0</v>
      </c>
      <c r="G1790">
        <v>19</v>
      </c>
      <c r="H1790">
        <v>0</v>
      </c>
      <c r="I1790" t="s">
        <v>24</v>
      </c>
      <c r="J1790" t="s">
        <v>25</v>
      </c>
      <c r="K1790">
        <v>0</v>
      </c>
      <c r="L1790">
        <v>0</v>
      </c>
      <c r="M1790" t="s">
        <v>25</v>
      </c>
      <c r="N1790" t="s">
        <v>25</v>
      </c>
      <c r="O1790" t="s">
        <v>26</v>
      </c>
      <c r="P1790" t="s">
        <v>25</v>
      </c>
      <c r="Q1790" t="s">
        <v>27</v>
      </c>
      <c r="R1790" t="s">
        <v>239</v>
      </c>
      <c r="S1790" t="s">
        <v>581</v>
      </c>
      <c r="T1790" t="s">
        <v>2005</v>
      </c>
    </row>
    <row r="1791" spans="1:20">
      <c r="A1791">
        <v>1799</v>
      </c>
      <c r="B1791" t="s">
        <v>2006</v>
      </c>
      <c r="C1791" t="s">
        <v>36</v>
      </c>
      <c r="D1791" t="s">
        <v>22</v>
      </c>
      <c r="E1791" t="s">
        <v>244</v>
      </c>
      <c r="F1791">
        <v>0</v>
      </c>
      <c r="G1791">
        <v>19</v>
      </c>
      <c r="H1791">
        <v>0</v>
      </c>
      <c r="I1791" t="s">
        <v>24</v>
      </c>
      <c r="J1791" t="s">
        <v>25</v>
      </c>
      <c r="K1791">
        <v>0</v>
      </c>
      <c r="L1791">
        <v>0</v>
      </c>
      <c r="M1791" t="s">
        <v>25</v>
      </c>
      <c r="N1791" t="s">
        <v>25</v>
      </c>
      <c r="O1791" t="s">
        <v>26</v>
      </c>
      <c r="P1791" t="s">
        <v>25</v>
      </c>
      <c r="Q1791" t="s">
        <v>27</v>
      </c>
      <c r="R1791" t="s">
        <v>239</v>
      </c>
    </row>
    <row r="1792" spans="1:20">
      <c r="A1792">
        <v>1800</v>
      </c>
      <c r="B1792" t="s">
        <v>2007</v>
      </c>
      <c r="C1792" t="s">
        <v>36</v>
      </c>
      <c r="D1792" t="s">
        <v>22</v>
      </c>
      <c r="E1792" t="s">
        <v>244</v>
      </c>
      <c r="F1792">
        <v>0</v>
      </c>
      <c r="G1792">
        <v>19</v>
      </c>
      <c r="H1792">
        <v>0</v>
      </c>
      <c r="I1792" t="s">
        <v>24</v>
      </c>
      <c r="J1792" t="s">
        <v>25</v>
      </c>
      <c r="K1792">
        <v>0</v>
      </c>
      <c r="L1792">
        <v>0</v>
      </c>
      <c r="M1792" t="s">
        <v>25</v>
      </c>
      <c r="N1792" t="s">
        <v>25</v>
      </c>
      <c r="O1792" t="s">
        <v>26</v>
      </c>
      <c r="P1792" t="s">
        <v>25</v>
      </c>
      <c r="Q1792" t="s">
        <v>27</v>
      </c>
      <c r="R1792" t="s">
        <v>239</v>
      </c>
    </row>
    <row r="1793" spans="1:20">
      <c r="A1793">
        <v>1801</v>
      </c>
      <c r="B1793" t="s">
        <v>2008</v>
      </c>
      <c r="C1793" t="s">
        <v>36</v>
      </c>
      <c r="D1793" t="s">
        <v>22</v>
      </c>
      <c r="E1793" t="s">
        <v>244</v>
      </c>
      <c r="F1793">
        <v>0</v>
      </c>
      <c r="G1793">
        <v>19</v>
      </c>
      <c r="H1793">
        <v>0</v>
      </c>
      <c r="I1793" t="s">
        <v>24</v>
      </c>
      <c r="J1793" t="s">
        <v>25</v>
      </c>
      <c r="K1793">
        <v>0</v>
      </c>
      <c r="L1793">
        <v>0</v>
      </c>
      <c r="M1793" t="s">
        <v>25</v>
      </c>
      <c r="N1793" t="s">
        <v>25</v>
      </c>
      <c r="O1793" t="s">
        <v>26</v>
      </c>
      <c r="P1793" t="s">
        <v>25</v>
      </c>
      <c r="Q1793" t="s">
        <v>27</v>
      </c>
      <c r="R1793" t="s">
        <v>239</v>
      </c>
    </row>
    <row r="1794" spans="1:20">
      <c r="A1794">
        <v>1802</v>
      </c>
      <c r="B1794" t="s">
        <v>2009</v>
      </c>
      <c r="C1794" t="s">
        <v>36</v>
      </c>
      <c r="D1794" t="s">
        <v>22</v>
      </c>
      <c r="E1794" t="s">
        <v>244</v>
      </c>
      <c r="F1794">
        <v>0</v>
      </c>
      <c r="G1794">
        <v>19</v>
      </c>
      <c r="H1794">
        <v>0</v>
      </c>
      <c r="I1794" t="s">
        <v>24</v>
      </c>
      <c r="J1794" t="s">
        <v>25</v>
      </c>
      <c r="K1794">
        <v>0</v>
      </c>
      <c r="L1794">
        <v>0</v>
      </c>
      <c r="M1794" t="s">
        <v>25</v>
      </c>
      <c r="N1794" t="s">
        <v>25</v>
      </c>
      <c r="O1794" t="s">
        <v>26</v>
      </c>
      <c r="P1794" t="s">
        <v>25</v>
      </c>
      <c r="Q1794" t="s">
        <v>27</v>
      </c>
      <c r="R1794" t="s">
        <v>239</v>
      </c>
    </row>
    <row r="1795" spans="1:20">
      <c r="A1795">
        <v>1803</v>
      </c>
      <c r="B1795" t="s">
        <v>2010</v>
      </c>
      <c r="C1795" t="s">
        <v>36</v>
      </c>
      <c r="D1795" t="s">
        <v>22</v>
      </c>
      <c r="E1795" t="s">
        <v>2011</v>
      </c>
      <c r="F1795">
        <v>0</v>
      </c>
      <c r="G1795">
        <v>19</v>
      </c>
      <c r="H1795">
        <v>0</v>
      </c>
      <c r="I1795" t="s">
        <v>24</v>
      </c>
      <c r="J1795" t="s">
        <v>25</v>
      </c>
      <c r="K1795">
        <v>0</v>
      </c>
      <c r="L1795">
        <v>0</v>
      </c>
      <c r="M1795" t="s">
        <v>25</v>
      </c>
      <c r="N1795" t="s">
        <v>25</v>
      </c>
      <c r="O1795" t="s">
        <v>26</v>
      </c>
      <c r="P1795" t="s">
        <v>25</v>
      </c>
      <c r="Q1795" t="s">
        <v>27</v>
      </c>
      <c r="R1795" t="s">
        <v>239</v>
      </c>
      <c r="S1795" t="s">
        <v>231</v>
      </c>
      <c r="T1795" t="s">
        <v>588</v>
      </c>
    </row>
    <row r="1796" spans="1:20">
      <c r="A1796">
        <v>1804</v>
      </c>
      <c r="B1796" t="s">
        <v>2012</v>
      </c>
      <c r="C1796" t="s">
        <v>228</v>
      </c>
      <c r="D1796" t="s">
        <v>217</v>
      </c>
      <c r="E1796" t="s">
        <v>230</v>
      </c>
      <c r="F1796">
        <v>218700</v>
      </c>
      <c r="G1796">
        <v>19</v>
      </c>
      <c r="H1796">
        <v>270000</v>
      </c>
      <c r="I1796" t="s">
        <v>24</v>
      </c>
      <c r="J1796" t="s">
        <v>25</v>
      </c>
      <c r="K1796">
        <v>0</v>
      </c>
      <c r="L1796">
        <v>0</v>
      </c>
      <c r="M1796" t="s">
        <v>25</v>
      </c>
      <c r="N1796" t="s">
        <v>25</v>
      </c>
      <c r="O1796" t="s">
        <v>26</v>
      </c>
      <c r="P1796" t="s">
        <v>25</v>
      </c>
      <c r="Q1796" t="s">
        <v>27</v>
      </c>
      <c r="R1796" t="s">
        <v>239</v>
      </c>
      <c r="S1796" t="s">
        <v>27</v>
      </c>
      <c r="T1796" t="s">
        <v>1897</v>
      </c>
    </row>
    <row r="1797" spans="1:20">
      <c r="A1797">
        <v>1805</v>
      </c>
      <c r="B1797" t="s">
        <v>2013</v>
      </c>
      <c r="C1797" t="s">
        <v>228</v>
      </c>
      <c r="D1797" t="s">
        <v>22</v>
      </c>
      <c r="E1797" t="s">
        <v>230</v>
      </c>
      <c r="F1797">
        <v>0</v>
      </c>
      <c r="G1797">
        <v>19</v>
      </c>
      <c r="H1797">
        <v>0</v>
      </c>
      <c r="I1797" t="s">
        <v>24</v>
      </c>
      <c r="J1797" t="s">
        <v>25</v>
      </c>
      <c r="K1797">
        <v>0</v>
      </c>
      <c r="L1797">
        <v>0</v>
      </c>
      <c r="M1797" t="s">
        <v>25</v>
      </c>
      <c r="N1797" t="s">
        <v>25</v>
      </c>
      <c r="O1797" t="s">
        <v>26</v>
      </c>
      <c r="P1797" t="s">
        <v>25</v>
      </c>
      <c r="Q1797" t="s">
        <v>27</v>
      </c>
      <c r="R1797" t="s">
        <v>239</v>
      </c>
      <c r="S1797" t="s">
        <v>297</v>
      </c>
      <c r="T1797" t="s">
        <v>1471</v>
      </c>
    </row>
    <row r="1798" spans="1:20">
      <c r="A1798">
        <v>1806</v>
      </c>
      <c r="B1798" t="s">
        <v>2014</v>
      </c>
      <c r="C1798" t="s">
        <v>36</v>
      </c>
      <c r="D1798" t="s">
        <v>22</v>
      </c>
      <c r="E1798" t="s">
        <v>230</v>
      </c>
      <c r="F1798">
        <v>0</v>
      </c>
      <c r="G1798">
        <v>19</v>
      </c>
      <c r="H1798">
        <v>0</v>
      </c>
      <c r="I1798" t="s">
        <v>24</v>
      </c>
      <c r="J1798" t="s">
        <v>25</v>
      </c>
      <c r="K1798">
        <v>0</v>
      </c>
      <c r="L1798">
        <v>0</v>
      </c>
      <c r="M1798" t="s">
        <v>25</v>
      </c>
      <c r="N1798" t="s">
        <v>25</v>
      </c>
      <c r="O1798" t="s">
        <v>26</v>
      </c>
      <c r="P1798" t="s">
        <v>25</v>
      </c>
      <c r="Q1798" t="s">
        <v>27</v>
      </c>
      <c r="R1798" t="s">
        <v>239</v>
      </c>
    </row>
    <row r="1799" spans="1:20">
      <c r="A1799">
        <v>1807</v>
      </c>
      <c r="B1799" t="s">
        <v>2015</v>
      </c>
      <c r="C1799" t="s">
        <v>36</v>
      </c>
      <c r="D1799" t="s">
        <v>22</v>
      </c>
      <c r="E1799" t="s">
        <v>23</v>
      </c>
      <c r="F1799">
        <v>0</v>
      </c>
      <c r="G1799">
        <v>19</v>
      </c>
      <c r="H1799">
        <v>0</v>
      </c>
      <c r="I1799" t="s">
        <v>24</v>
      </c>
      <c r="J1799" t="s">
        <v>25</v>
      </c>
      <c r="K1799">
        <v>0</v>
      </c>
      <c r="L1799">
        <v>0</v>
      </c>
      <c r="M1799" t="s">
        <v>25</v>
      </c>
      <c r="N1799" t="s">
        <v>25</v>
      </c>
      <c r="O1799" t="s">
        <v>26</v>
      </c>
      <c r="P1799" t="s">
        <v>25</v>
      </c>
      <c r="Q1799" t="s">
        <v>27</v>
      </c>
      <c r="R1799" t="s">
        <v>239</v>
      </c>
    </row>
    <row r="1800" spans="1:20">
      <c r="A1800">
        <v>1808</v>
      </c>
      <c r="B1800" t="s">
        <v>2016</v>
      </c>
      <c r="C1800" t="s">
        <v>102</v>
      </c>
      <c r="D1800" t="s">
        <v>22</v>
      </c>
      <c r="E1800" t="s">
        <v>23</v>
      </c>
      <c r="F1800">
        <v>0</v>
      </c>
      <c r="G1800">
        <v>0</v>
      </c>
      <c r="H1800">
        <v>0</v>
      </c>
      <c r="I1800" t="s">
        <v>24</v>
      </c>
      <c r="J1800" t="s">
        <v>25</v>
      </c>
      <c r="K1800">
        <v>0</v>
      </c>
      <c r="L1800">
        <v>0</v>
      </c>
      <c r="M1800" t="s">
        <v>25</v>
      </c>
      <c r="N1800" t="s">
        <v>25</v>
      </c>
      <c r="O1800" t="s">
        <v>26</v>
      </c>
      <c r="P1800" t="s">
        <v>25</v>
      </c>
      <c r="Q1800" t="s">
        <v>297</v>
      </c>
      <c r="R1800" t="s">
        <v>239</v>
      </c>
    </row>
    <row r="1801" spans="1:20">
      <c r="A1801">
        <v>1809</v>
      </c>
      <c r="B1801" t="s">
        <v>2017</v>
      </c>
      <c r="C1801" t="s">
        <v>320</v>
      </c>
      <c r="D1801" t="s">
        <v>217</v>
      </c>
      <c r="E1801" t="s">
        <v>321</v>
      </c>
      <c r="F1801">
        <v>0</v>
      </c>
      <c r="G1801">
        <v>0</v>
      </c>
      <c r="H1801">
        <v>0</v>
      </c>
      <c r="I1801" t="s">
        <v>24</v>
      </c>
      <c r="J1801" t="s">
        <v>25</v>
      </c>
      <c r="K1801">
        <v>0</v>
      </c>
      <c r="L1801">
        <v>0</v>
      </c>
      <c r="M1801" t="s">
        <v>25</v>
      </c>
      <c r="N1801" t="s">
        <v>25</v>
      </c>
      <c r="O1801" t="s">
        <v>26</v>
      </c>
      <c r="P1801" t="s">
        <v>25</v>
      </c>
      <c r="Q1801" t="s">
        <v>297</v>
      </c>
      <c r="R1801" t="s">
        <v>239</v>
      </c>
      <c r="S1801" t="s">
        <v>297</v>
      </c>
      <c r="T1801" t="s">
        <v>1923</v>
      </c>
    </row>
    <row r="1802" spans="1:20">
      <c r="A1802">
        <v>1810</v>
      </c>
      <c r="B1802" t="s">
        <v>2018</v>
      </c>
      <c r="C1802" t="s">
        <v>102</v>
      </c>
      <c r="D1802" t="s">
        <v>22</v>
      </c>
      <c r="E1802" t="s">
        <v>23</v>
      </c>
      <c r="F1802">
        <v>0</v>
      </c>
      <c r="G1802">
        <v>0</v>
      </c>
      <c r="H1802">
        <v>0</v>
      </c>
      <c r="I1802" t="s">
        <v>24</v>
      </c>
      <c r="J1802" t="s">
        <v>25</v>
      </c>
      <c r="K1802">
        <v>0</v>
      </c>
      <c r="L1802">
        <v>0</v>
      </c>
      <c r="M1802" t="s">
        <v>25</v>
      </c>
      <c r="N1802" t="s">
        <v>25</v>
      </c>
      <c r="O1802" t="s">
        <v>26</v>
      </c>
      <c r="P1802" t="s">
        <v>25</v>
      </c>
      <c r="Q1802" t="s">
        <v>297</v>
      </c>
      <c r="R1802" t="s">
        <v>239</v>
      </c>
    </row>
    <row r="1803" spans="1:20">
      <c r="A1803">
        <v>1811</v>
      </c>
      <c r="B1803" t="s">
        <v>2019</v>
      </c>
      <c r="C1803" t="s">
        <v>102</v>
      </c>
      <c r="D1803" t="s">
        <v>22</v>
      </c>
      <c r="E1803" t="s">
        <v>23</v>
      </c>
      <c r="F1803">
        <v>0</v>
      </c>
      <c r="G1803">
        <v>0</v>
      </c>
      <c r="H1803">
        <v>0</v>
      </c>
      <c r="I1803" t="s">
        <v>24</v>
      </c>
      <c r="J1803" t="s">
        <v>25</v>
      </c>
      <c r="K1803">
        <v>0</v>
      </c>
      <c r="L1803">
        <v>0</v>
      </c>
      <c r="M1803" t="s">
        <v>25</v>
      </c>
      <c r="N1803" t="s">
        <v>25</v>
      </c>
      <c r="O1803" t="s">
        <v>26</v>
      </c>
      <c r="P1803" t="s">
        <v>25</v>
      </c>
      <c r="Q1803" t="s">
        <v>297</v>
      </c>
      <c r="R1803" t="s">
        <v>239</v>
      </c>
    </row>
    <row r="1804" spans="1:20">
      <c r="A1804">
        <v>1812</v>
      </c>
      <c r="B1804" t="s">
        <v>2020</v>
      </c>
      <c r="C1804" t="s">
        <v>102</v>
      </c>
      <c r="D1804" t="s">
        <v>22</v>
      </c>
      <c r="E1804" t="s">
        <v>23</v>
      </c>
      <c r="F1804">
        <v>0</v>
      </c>
      <c r="G1804">
        <v>0</v>
      </c>
      <c r="H1804">
        <v>0</v>
      </c>
      <c r="I1804" t="s">
        <v>24</v>
      </c>
      <c r="J1804" t="s">
        <v>25</v>
      </c>
      <c r="K1804">
        <v>0</v>
      </c>
      <c r="L1804">
        <v>0</v>
      </c>
      <c r="M1804" t="s">
        <v>25</v>
      </c>
      <c r="N1804" t="s">
        <v>25</v>
      </c>
      <c r="O1804" t="s">
        <v>26</v>
      </c>
      <c r="P1804" t="s">
        <v>25</v>
      </c>
      <c r="Q1804" t="s">
        <v>297</v>
      </c>
      <c r="R1804" t="s">
        <v>239</v>
      </c>
    </row>
    <row r="1805" spans="1:20">
      <c r="A1805">
        <v>1813</v>
      </c>
      <c r="B1805" t="s">
        <v>2021</v>
      </c>
      <c r="C1805" t="s">
        <v>36</v>
      </c>
      <c r="D1805" t="s">
        <v>22</v>
      </c>
      <c r="E1805" t="s">
        <v>37</v>
      </c>
      <c r="F1805">
        <v>0</v>
      </c>
      <c r="G1805">
        <v>0</v>
      </c>
      <c r="H1805">
        <v>0</v>
      </c>
      <c r="I1805" t="s">
        <v>24</v>
      </c>
      <c r="J1805" t="s">
        <v>25</v>
      </c>
      <c r="K1805">
        <v>0</v>
      </c>
      <c r="L1805">
        <v>0</v>
      </c>
      <c r="M1805" t="s">
        <v>25</v>
      </c>
      <c r="N1805" t="s">
        <v>25</v>
      </c>
      <c r="O1805" t="s">
        <v>26</v>
      </c>
      <c r="P1805" t="s">
        <v>25</v>
      </c>
      <c r="Q1805" t="s">
        <v>297</v>
      </c>
      <c r="R1805" t="s">
        <v>239</v>
      </c>
    </row>
    <row r="1806" spans="1:20">
      <c r="A1806">
        <v>1814</v>
      </c>
      <c r="B1806" t="s">
        <v>2022</v>
      </c>
      <c r="C1806" t="s">
        <v>102</v>
      </c>
      <c r="D1806" t="s">
        <v>22</v>
      </c>
      <c r="E1806" t="s">
        <v>23</v>
      </c>
      <c r="F1806">
        <v>0</v>
      </c>
      <c r="G1806">
        <v>19</v>
      </c>
      <c r="H1806">
        <v>0</v>
      </c>
      <c r="I1806" t="s">
        <v>24</v>
      </c>
      <c r="J1806" t="s">
        <v>25</v>
      </c>
      <c r="K1806">
        <v>0</v>
      </c>
      <c r="L1806">
        <v>0</v>
      </c>
      <c r="M1806" t="s">
        <v>25</v>
      </c>
      <c r="N1806" t="s">
        <v>25</v>
      </c>
      <c r="O1806" t="s">
        <v>26</v>
      </c>
      <c r="P1806" t="s">
        <v>25</v>
      </c>
      <c r="Q1806" t="s">
        <v>2023</v>
      </c>
      <c r="R1806" t="s">
        <v>239</v>
      </c>
    </row>
    <row r="1807" spans="1:20">
      <c r="A1807">
        <v>1815</v>
      </c>
      <c r="B1807" t="s">
        <v>2024</v>
      </c>
      <c r="C1807" t="s">
        <v>102</v>
      </c>
      <c r="D1807" t="s">
        <v>22</v>
      </c>
      <c r="E1807" t="s">
        <v>23</v>
      </c>
      <c r="F1807">
        <v>0</v>
      </c>
      <c r="G1807">
        <v>19</v>
      </c>
      <c r="H1807">
        <v>0</v>
      </c>
      <c r="I1807" t="s">
        <v>24</v>
      </c>
      <c r="J1807" t="s">
        <v>25</v>
      </c>
      <c r="K1807">
        <v>0</v>
      </c>
      <c r="L1807">
        <v>0</v>
      </c>
      <c r="M1807" t="s">
        <v>25</v>
      </c>
      <c r="N1807" t="s">
        <v>25</v>
      </c>
      <c r="O1807" t="s">
        <v>26</v>
      </c>
      <c r="P1807" t="s">
        <v>25</v>
      </c>
      <c r="Q1807" t="s">
        <v>2023</v>
      </c>
      <c r="R1807" t="s">
        <v>239</v>
      </c>
    </row>
    <row r="1808" spans="1:20">
      <c r="A1808">
        <v>1816</v>
      </c>
      <c r="B1808" t="s">
        <v>2025</v>
      </c>
      <c r="C1808" t="s">
        <v>102</v>
      </c>
      <c r="D1808" t="s">
        <v>22</v>
      </c>
      <c r="E1808" t="s">
        <v>23</v>
      </c>
      <c r="F1808">
        <v>0</v>
      </c>
      <c r="G1808">
        <v>19</v>
      </c>
      <c r="H1808">
        <v>0</v>
      </c>
      <c r="I1808" t="s">
        <v>24</v>
      </c>
      <c r="J1808" t="s">
        <v>25</v>
      </c>
      <c r="K1808">
        <v>0</v>
      </c>
      <c r="L1808">
        <v>0</v>
      </c>
      <c r="M1808" t="s">
        <v>25</v>
      </c>
      <c r="N1808" t="s">
        <v>25</v>
      </c>
      <c r="O1808" t="s">
        <v>26</v>
      </c>
      <c r="P1808" t="s">
        <v>25</v>
      </c>
      <c r="Q1808" t="s">
        <v>2023</v>
      </c>
      <c r="R1808" t="s">
        <v>239</v>
      </c>
    </row>
    <row r="1809" spans="1:20">
      <c r="A1809">
        <v>1817</v>
      </c>
      <c r="B1809" t="s">
        <v>2026</v>
      </c>
      <c r="C1809" t="s">
        <v>102</v>
      </c>
      <c r="D1809" t="s">
        <v>22</v>
      </c>
      <c r="E1809" t="s">
        <v>23</v>
      </c>
      <c r="F1809">
        <v>0</v>
      </c>
      <c r="G1809">
        <v>19</v>
      </c>
      <c r="H1809">
        <v>0</v>
      </c>
      <c r="I1809" t="s">
        <v>24</v>
      </c>
      <c r="J1809" t="s">
        <v>25</v>
      </c>
      <c r="K1809">
        <v>0</v>
      </c>
      <c r="L1809">
        <v>0</v>
      </c>
      <c r="M1809" t="s">
        <v>25</v>
      </c>
      <c r="N1809" t="s">
        <v>25</v>
      </c>
      <c r="O1809" t="s">
        <v>26</v>
      </c>
      <c r="P1809" t="s">
        <v>25</v>
      </c>
      <c r="Q1809" t="s">
        <v>2023</v>
      </c>
      <c r="R1809" t="s">
        <v>239</v>
      </c>
    </row>
    <row r="1810" spans="1:20">
      <c r="A1810">
        <v>1818</v>
      </c>
      <c r="B1810" t="s">
        <v>2027</v>
      </c>
      <c r="C1810" t="s">
        <v>102</v>
      </c>
      <c r="D1810" t="s">
        <v>22</v>
      </c>
      <c r="E1810" t="s">
        <v>23</v>
      </c>
      <c r="F1810">
        <v>0</v>
      </c>
      <c r="G1810">
        <v>19</v>
      </c>
      <c r="H1810">
        <v>0</v>
      </c>
      <c r="I1810" t="s">
        <v>24</v>
      </c>
      <c r="J1810" t="s">
        <v>25</v>
      </c>
      <c r="K1810">
        <v>0</v>
      </c>
      <c r="L1810">
        <v>0</v>
      </c>
      <c r="M1810" t="s">
        <v>25</v>
      </c>
      <c r="N1810" t="s">
        <v>25</v>
      </c>
      <c r="O1810" t="s">
        <v>26</v>
      </c>
      <c r="P1810" t="s">
        <v>25</v>
      </c>
      <c r="Q1810" t="s">
        <v>2023</v>
      </c>
      <c r="R1810" t="s">
        <v>239</v>
      </c>
    </row>
    <row r="1811" spans="1:20">
      <c r="A1811">
        <v>1819</v>
      </c>
      <c r="B1811" t="s">
        <v>2028</v>
      </c>
      <c r="C1811" t="s">
        <v>102</v>
      </c>
      <c r="D1811" t="s">
        <v>22</v>
      </c>
      <c r="E1811" t="s">
        <v>23</v>
      </c>
      <c r="F1811">
        <v>0</v>
      </c>
      <c r="G1811">
        <v>0</v>
      </c>
      <c r="H1811">
        <v>0</v>
      </c>
      <c r="I1811" t="s">
        <v>24</v>
      </c>
      <c r="J1811" t="s">
        <v>25</v>
      </c>
      <c r="K1811">
        <v>0</v>
      </c>
      <c r="L1811">
        <v>0</v>
      </c>
      <c r="M1811" t="s">
        <v>25</v>
      </c>
      <c r="N1811" t="s">
        <v>25</v>
      </c>
      <c r="O1811" t="s">
        <v>26</v>
      </c>
      <c r="P1811" t="s">
        <v>25</v>
      </c>
      <c r="Q1811" t="s">
        <v>297</v>
      </c>
      <c r="R1811" t="s">
        <v>239</v>
      </c>
    </row>
    <row r="1812" spans="1:20">
      <c r="A1812">
        <v>1820</v>
      </c>
      <c r="B1812" t="s">
        <v>2029</v>
      </c>
      <c r="C1812" t="s">
        <v>102</v>
      </c>
      <c r="D1812" t="s">
        <v>22</v>
      </c>
      <c r="E1812" t="s">
        <v>23</v>
      </c>
      <c r="F1812">
        <v>0</v>
      </c>
      <c r="G1812">
        <v>19</v>
      </c>
      <c r="H1812">
        <v>0</v>
      </c>
      <c r="I1812" t="s">
        <v>24</v>
      </c>
      <c r="J1812" t="s">
        <v>25</v>
      </c>
      <c r="K1812">
        <v>0</v>
      </c>
      <c r="L1812">
        <v>0</v>
      </c>
      <c r="M1812" t="s">
        <v>25</v>
      </c>
      <c r="N1812" t="s">
        <v>25</v>
      </c>
      <c r="O1812" t="s">
        <v>26</v>
      </c>
      <c r="P1812" t="s">
        <v>25</v>
      </c>
      <c r="Q1812" t="s">
        <v>2023</v>
      </c>
      <c r="R1812" t="s">
        <v>239</v>
      </c>
    </row>
    <row r="1813" spans="1:20">
      <c r="A1813">
        <v>1821</v>
      </c>
      <c r="B1813" t="s">
        <v>2030</v>
      </c>
      <c r="C1813" t="s">
        <v>102</v>
      </c>
      <c r="D1813" t="s">
        <v>22</v>
      </c>
      <c r="E1813" t="s">
        <v>23</v>
      </c>
      <c r="F1813">
        <v>0</v>
      </c>
      <c r="G1813">
        <v>19</v>
      </c>
      <c r="H1813">
        <v>0</v>
      </c>
      <c r="I1813" t="s">
        <v>24</v>
      </c>
      <c r="J1813" t="s">
        <v>25</v>
      </c>
      <c r="K1813">
        <v>0</v>
      </c>
      <c r="L1813">
        <v>0</v>
      </c>
      <c r="M1813" t="s">
        <v>25</v>
      </c>
      <c r="N1813" t="s">
        <v>25</v>
      </c>
      <c r="O1813" t="s">
        <v>26</v>
      </c>
      <c r="P1813" t="s">
        <v>25</v>
      </c>
      <c r="Q1813" t="s">
        <v>2023</v>
      </c>
      <c r="R1813" t="s">
        <v>239</v>
      </c>
    </row>
    <row r="1814" spans="1:20">
      <c r="A1814">
        <v>1822</v>
      </c>
      <c r="B1814" t="s">
        <v>2031</v>
      </c>
      <c r="C1814" t="s">
        <v>102</v>
      </c>
      <c r="D1814" t="s">
        <v>22</v>
      </c>
      <c r="E1814" t="s">
        <v>23</v>
      </c>
      <c r="F1814">
        <v>0</v>
      </c>
      <c r="G1814">
        <v>19</v>
      </c>
      <c r="H1814">
        <v>0</v>
      </c>
      <c r="I1814" t="s">
        <v>24</v>
      </c>
      <c r="J1814" t="s">
        <v>25</v>
      </c>
      <c r="K1814">
        <v>0</v>
      </c>
      <c r="L1814">
        <v>0</v>
      </c>
      <c r="M1814" t="s">
        <v>25</v>
      </c>
      <c r="N1814" t="s">
        <v>25</v>
      </c>
      <c r="O1814" t="s">
        <v>26</v>
      </c>
      <c r="P1814" t="s">
        <v>25</v>
      </c>
      <c r="Q1814" t="s">
        <v>2023</v>
      </c>
      <c r="R1814" t="s">
        <v>239</v>
      </c>
    </row>
    <row r="1815" spans="1:20">
      <c r="A1815">
        <v>1823</v>
      </c>
      <c r="B1815" t="s">
        <v>2032</v>
      </c>
      <c r="C1815" t="s">
        <v>102</v>
      </c>
      <c r="D1815" t="s">
        <v>22</v>
      </c>
      <c r="E1815" t="s">
        <v>23</v>
      </c>
      <c r="F1815">
        <v>0</v>
      </c>
      <c r="G1815">
        <v>19</v>
      </c>
      <c r="H1815">
        <v>0</v>
      </c>
      <c r="I1815" t="s">
        <v>24</v>
      </c>
      <c r="J1815" t="s">
        <v>25</v>
      </c>
      <c r="K1815">
        <v>0</v>
      </c>
      <c r="L1815">
        <v>0</v>
      </c>
      <c r="M1815" t="s">
        <v>25</v>
      </c>
      <c r="N1815" t="s">
        <v>25</v>
      </c>
      <c r="O1815" t="s">
        <v>26</v>
      </c>
      <c r="P1815" t="s">
        <v>25</v>
      </c>
      <c r="Q1815" t="s">
        <v>2023</v>
      </c>
      <c r="R1815" t="s">
        <v>239</v>
      </c>
    </row>
    <row r="1816" spans="1:20">
      <c r="A1816">
        <v>1824</v>
      </c>
      <c r="C1816" t="s">
        <v>36</v>
      </c>
      <c r="D1816" t="s">
        <v>22</v>
      </c>
      <c r="E1816" t="s">
        <v>23</v>
      </c>
      <c r="F1816">
        <v>1500000</v>
      </c>
      <c r="G1816">
        <v>0</v>
      </c>
      <c r="H1816">
        <v>1500000</v>
      </c>
      <c r="I1816" t="s">
        <v>24</v>
      </c>
      <c r="J1816" t="s">
        <v>25</v>
      </c>
      <c r="K1816">
        <v>0</v>
      </c>
      <c r="L1816">
        <v>0</v>
      </c>
      <c r="M1816" t="s">
        <v>25</v>
      </c>
      <c r="N1816" t="s">
        <v>25</v>
      </c>
      <c r="O1816" t="s">
        <v>26</v>
      </c>
      <c r="P1816" t="s">
        <v>25</v>
      </c>
      <c r="Q1816" t="s">
        <v>27</v>
      </c>
      <c r="R1816" t="s">
        <v>557</v>
      </c>
    </row>
    <row r="1817" spans="1:20">
      <c r="A1817">
        <v>1826</v>
      </c>
      <c r="B1817" t="s">
        <v>2033</v>
      </c>
      <c r="C1817" t="s">
        <v>36</v>
      </c>
      <c r="D1817" t="s">
        <v>22</v>
      </c>
      <c r="E1817" t="s">
        <v>37</v>
      </c>
      <c r="F1817">
        <v>213769</v>
      </c>
      <c r="G1817">
        <v>0</v>
      </c>
      <c r="H1817">
        <v>213769</v>
      </c>
      <c r="I1817" t="s">
        <v>24</v>
      </c>
      <c r="J1817" t="s">
        <v>25</v>
      </c>
      <c r="K1817">
        <v>0</v>
      </c>
      <c r="L1817">
        <v>0</v>
      </c>
      <c r="M1817" t="s">
        <v>25</v>
      </c>
      <c r="N1817" t="s">
        <v>25</v>
      </c>
      <c r="O1817" t="s">
        <v>26</v>
      </c>
      <c r="P1817" t="s">
        <v>25</v>
      </c>
      <c r="Q1817" t="s">
        <v>297</v>
      </c>
      <c r="R1817" t="s">
        <v>557</v>
      </c>
      <c r="S1817" t="s">
        <v>27</v>
      </c>
    </row>
    <row r="1818" spans="1:20">
      <c r="A1818">
        <v>1827</v>
      </c>
      <c r="B1818" t="s">
        <v>2034</v>
      </c>
      <c r="C1818" t="s">
        <v>102</v>
      </c>
      <c r="D1818" t="s">
        <v>22</v>
      </c>
      <c r="E1818" t="s">
        <v>570</v>
      </c>
      <c r="F1818">
        <v>1100000</v>
      </c>
      <c r="G1818">
        <v>0</v>
      </c>
      <c r="H1818">
        <v>1100000</v>
      </c>
      <c r="I1818" t="s">
        <v>24</v>
      </c>
      <c r="J1818" t="s">
        <v>25</v>
      </c>
      <c r="K1818">
        <v>0</v>
      </c>
      <c r="L1818">
        <v>0</v>
      </c>
      <c r="M1818" t="s">
        <v>25</v>
      </c>
      <c r="N1818" t="s">
        <v>25</v>
      </c>
      <c r="O1818" t="s">
        <v>26</v>
      </c>
      <c r="P1818" t="s">
        <v>25</v>
      </c>
      <c r="Q1818" t="s">
        <v>297</v>
      </c>
      <c r="R1818" t="s">
        <v>557</v>
      </c>
      <c r="S1818" t="s">
        <v>231</v>
      </c>
      <c r="T1818" t="s">
        <v>1006</v>
      </c>
    </row>
    <row r="1819" spans="1:20">
      <c r="A1819">
        <v>1828</v>
      </c>
      <c r="B1819" t="s">
        <v>2035</v>
      </c>
      <c r="C1819" t="s">
        <v>36</v>
      </c>
      <c r="D1819" t="s">
        <v>217</v>
      </c>
      <c r="E1819" t="s">
        <v>37</v>
      </c>
      <c r="F1819">
        <v>0</v>
      </c>
      <c r="G1819">
        <v>0</v>
      </c>
      <c r="H1819">
        <v>0</v>
      </c>
      <c r="I1819" t="s">
        <v>24</v>
      </c>
      <c r="J1819" t="s">
        <v>25</v>
      </c>
      <c r="K1819">
        <v>0</v>
      </c>
      <c r="L1819">
        <v>0</v>
      </c>
      <c r="M1819" t="s">
        <v>25</v>
      </c>
      <c r="N1819" t="s">
        <v>25</v>
      </c>
      <c r="O1819" t="s">
        <v>26</v>
      </c>
      <c r="P1819" t="s">
        <v>25</v>
      </c>
      <c r="Q1819" t="s">
        <v>297</v>
      </c>
      <c r="R1819" t="s">
        <v>557</v>
      </c>
      <c r="S1819" t="s">
        <v>297</v>
      </c>
      <c r="T1819" t="s">
        <v>1923</v>
      </c>
    </row>
    <row r="1820" spans="1:20">
      <c r="A1820">
        <v>1829</v>
      </c>
      <c r="B1820" t="s">
        <v>2036</v>
      </c>
      <c r="C1820" t="s">
        <v>36</v>
      </c>
      <c r="D1820" t="s">
        <v>217</v>
      </c>
      <c r="E1820" t="s">
        <v>37</v>
      </c>
      <c r="F1820">
        <v>2275500</v>
      </c>
      <c r="G1820">
        <v>0</v>
      </c>
      <c r="H1820">
        <v>2275500</v>
      </c>
      <c r="I1820" t="s">
        <v>24</v>
      </c>
      <c r="J1820" t="s">
        <v>25</v>
      </c>
      <c r="K1820">
        <v>0</v>
      </c>
      <c r="L1820">
        <v>0</v>
      </c>
      <c r="M1820" t="s">
        <v>25</v>
      </c>
      <c r="N1820" t="s">
        <v>25</v>
      </c>
      <c r="O1820" t="s">
        <v>26</v>
      </c>
      <c r="P1820" t="s">
        <v>25</v>
      </c>
      <c r="Q1820" t="s">
        <v>297</v>
      </c>
      <c r="R1820" t="s">
        <v>557</v>
      </c>
      <c r="S1820" t="s">
        <v>27</v>
      </c>
    </row>
    <row r="1821" spans="1:20">
      <c r="A1821">
        <v>1830</v>
      </c>
      <c r="B1821" t="s">
        <v>2037</v>
      </c>
      <c r="C1821" t="s">
        <v>36</v>
      </c>
      <c r="D1821" t="s">
        <v>22</v>
      </c>
      <c r="E1821" t="s">
        <v>37</v>
      </c>
      <c r="F1821">
        <v>199800</v>
      </c>
      <c r="G1821">
        <v>0</v>
      </c>
      <c r="H1821">
        <v>199800</v>
      </c>
      <c r="I1821" t="s">
        <v>24</v>
      </c>
      <c r="J1821" t="s">
        <v>25</v>
      </c>
      <c r="K1821">
        <v>0</v>
      </c>
      <c r="L1821">
        <v>0</v>
      </c>
      <c r="M1821" t="s">
        <v>25</v>
      </c>
      <c r="N1821" t="s">
        <v>25</v>
      </c>
      <c r="O1821" t="s">
        <v>26</v>
      </c>
      <c r="P1821" t="s">
        <v>25</v>
      </c>
      <c r="Q1821" t="s">
        <v>297</v>
      </c>
      <c r="R1821" t="s">
        <v>557</v>
      </c>
      <c r="S1821" t="s">
        <v>27</v>
      </c>
    </row>
    <row r="1822" spans="1:20">
      <c r="A1822">
        <v>1831</v>
      </c>
      <c r="B1822" t="s">
        <v>2038</v>
      </c>
      <c r="C1822" t="s">
        <v>102</v>
      </c>
      <c r="D1822" t="s">
        <v>22</v>
      </c>
      <c r="E1822" t="s">
        <v>23</v>
      </c>
      <c r="F1822">
        <v>0</v>
      </c>
      <c r="G1822">
        <v>0</v>
      </c>
      <c r="H1822">
        <v>0</v>
      </c>
      <c r="I1822" t="s">
        <v>24</v>
      </c>
      <c r="J1822" t="s">
        <v>25</v>
      </c>
      <c r="K1822">
        <v>0</v>
      </c>
      <c r="L1822">
        <v>0</v>
      </c>
      <c r="M1822" t="s">
        <v>25</v>
      </c>
      <c r="N1822" t="s">
        <v>25</v>
      </c>
      <c r="O1822" t="s">
        <v>26</v>
      </c>
      <c r="P1822" t="s">
        <v>25</v>
      </c>
      <c r="Q1822" t="s">
        <v>2023</v>
      </c>
      <c r="R1822" t="s">
        <v>2039</v>
      </c>
    </row>
    <row r="1823" spans="1:20">
      <c r="A1823">
        <v>1832</v>
      </c>
      <c r="B1823" t="s">
        <v>2040</v>
      </c>
      <c r="C1823" t="s">
        <v>590</v>
      </c>
      <c r="D1823" t="s">
        <v>217</v>
      </c>
      <c r="E1823" t="s">
        <v>591</v>
      </c>
      <c r="F1823">
        <v>0</v>
      </c>
      <c r="G1823">
        <v>0</v>
      </c>
      <c r="H1823">
        <v>0</v>
      </c>
      <c r="I1823" t="s">
        <v>24</v>
      </c>
      <c r="J1823" t="s">
        <v>25</v>
      </c>
      <c r="K1823">
        <v>0</v>
      </c>
      <c r="L1823">
        <v>0</v>
      </c>
      <c r="M1823" t="s">
        <v>25</v>
      </c>
      <c r="N1823" t="s">
        <v>25</v>
      </c>
      <c r="O1823" t="s">
        <v>26</v>
      </c>
      <c r="P1823" t="s">
        <v>25</v>
      </c>
      <c r="Q1823" t="s">
        <v>297</v>
      </c>
      <c r="R1823" t="s">
        <v>2041</v>
      </c>
    </row>
    <row r="1824" spans="1:20">
      <c r="A1824">
        <v>1833</v>
      </c>
      <c r="B1824" t="s">
        <v>2042</v>
      </c>
      <c r="C1824" t="s">
        <v>36</v>
      </c>
      <c r="D1824" t="s">
        <v>217</v>
      </c>
      <c r="E1824" t="s">
        <v>37</v>
      </c>
      <c r="F1824">
        <v>0</v>
      </c>
      <c r="G1824">
        <v>19</v>
      </c>
      <c r="H1824">
        <v>0</v>
      </c>
      <c r="I1824" t="s">
        <v>24</v>
      </c>
      <c r="J1824" t="s">
        <v>25</v>
      </c>
      <c r="K1824">
        <v>0</v>
      </c>
      <c r="L1824">
        <v>0</v>
      </c>
      <c r="M1824" t="s">
        <v>25</v>
      </c>
      <c r="N1824" t="s">
        <v>25</v>
      </c>
      <c r="O1824" t="s">
        <v>26</v>
      </c>
      <c r="P1824" t="s">
        <v>25</v>
      </c>
      <c r="Q1824" t="s">
        <v>27</v>
      </c>
      <c r="R1824" t="s">
        <v>1471</v>
      </c>
      <c r="S1824" t="s">
        <v>297</v>
      </c>
      <c r="T1824" t="s">
        <v>1897</v>
      </c>
    </row>
    <row r="1825" spans="1:20">
      <c r="A1825">
        <v>1834</v>
      </c>
      <c r="B1825" t="s">
        <v>2043</v>
      </c>
      <c r="C1825" t="s">
        <v>36</v>
      </c>
      <c r="D1825" t="s">
        <v>217</v>
      </c>
      <c r="E1825" t="s">
        <v>2044</v>
      </c>
      <c r="F1825">
        <v>0</v>
      </c>
      <c r="G1825">
        <v>0</v>
      </c>
      <c r="H1825">
        <v>0</v>
      </c>
      <c r="I1825" t="s">
        <v>24</v>
      </c>
      <c r="J1825" t="s">
        <v>25</v>
      </c>
      <c r="K1825">
        <v>0</v>
      </c>
      <c r="L1825">
        <v>0</v>
      </c>
      <c r="M1825" t="s">
        <v>25</v>
      </c>
      <c r="N1825" t="s">
        <v>25</v>
      </c>
      <c r="O1825" t="s">
        <v>26</v>
      </c>
      <c r="P1825" t="s">
        <v>25</v>
      </c>
      <c r="Q1825" t="s">
        <v>297</v>
      </c>
      <c r="R1825" t="s">
        <v>1471</v>
      </c>
    </row>
    <row r="1826" spans="1:20">
      <c r="A1826">
        <v>1835</v>
      </c>
      <c r="B1826" t="s">
        <v>2045</v>
      </c>
      <c r="C1826" t="s">
        <v>36</v>
      </c>
      <c r="D1826" t="s">
        <v>217</v>
      </c>
      <c r="E1826" t="s">
        <v>2046</v>
      </c>
      <c r="F1826">
        <v>0</v>
      </c>
      <c r="G1826">
        <v>0</v>
      </c>
      <c r="H1826">
        <v>0</v>
      </c>
      <c r="I1826" t="s">
        <v>24</v>
      </c>
      <c r="J1826" t="s">
        <v>25</v>
      </c>
      <c r="K1826">
        <v>0</v>
      </c>
      <c r="L1826">
        <v>0</v>
      </c>
      <c r="M1826" t="s">
        <v>25</v>
      </c>
      <c r="N1826" t="s">
        <v>25</v>
      </c>
      <c r="O1826" t="s">
        <v>26</v>
      </c>
      <c r="P1826" t="s">
        <v>25</v>
      </c>
      <c r="Q1826" t="s">
        <v>297</v>
      </c>
      <c r="R1826" t="s">
        <v>1471</v>
      </c>
    </row>
    <row r="1827" spans="1:20">
      <c r="A1827">
        <v>1836</v>
      </c>
      <c r="B1827" t="s">
        <v>2047</v>
      </c>
      <c r="C1827" t="s">
        <v>36</v>
      </c>
      <c r="D1827" t="s">
        <v>217</v>
      </c>
      <c r="E1827" t="s">
        <v>2048</v>
      </c>
      <c r="F1827">
        <v>0</v>
      </c>
      <c r="G1827">
        <v>0</v>
      </c>
      <c r="H1827">
        <v>0</v>
      </c>
      <c r="I1827" t="s">
        <v>24</v>
      </c>
      <c r="J1827" t="s">
        <v>25</v>
      </c>
      <c r="K1827">
        <v>0</v>
      </c>
      <c r="L1827">
        <v>0</v>
      </c>
      <c r="M1827" t="s">
        <v>25</v>
      </c>
      <c r="N1827" t="s">
        <v>25</v>
      </c>
      <c r="O1827" t="s">
        <v>26</v>
      </c>
      <c r="P1827" t="s">
        <v>25</v>
      </c>
      <c r="Q1827" t="s">
        <v>297</v>
      </c>
      <c r="R1827" t="s">
        <v>1471</v>
      </c>
    </row>
    <row r="1828" spans="1:20">
      <c r="A1828">
        <v>1837</v>
      </c>
      <c r="B1828" t="s">
        <v>2049</v>
      </c>
      <c r="C1828" t="s">
        <v>36</v>
      </c>
      <c r="D1828" t="s">
        <v>217</v>
      </c>
      <c r="E1828" t="s">
        <v>2050</v>
      </c>
      <c r="F1828">
        <v>0</v>
      </c>
      <c r="G1828">
        <v>0</v>
      </c>
      <c r="H1828">
        <v>0</v>
      </c>
      <c r="I1828" t="s">
        <v>24</v>
      </c>
      <c r="J1828" t="s">
        <v>25</v>
      </c>
      <c r="K1828">
        <v>0</v>
      </c>
      <c r="L1828">
        <v>0</v>
      </c>
      <c r="M1828" t="s">
        <v>25</v>
      </c>
      <c r="N1828" t="s">
        <v>25</v>
      </c>
      <c r="O1828" t="s">
        <v>26</v>
      </c>
      <c r="P1828" t="s">
        <v>25</v>
      </c>
      <c r="Q1828" t="s">
        <v>297</v>
      </c>
      <c r="R1828" t="s">
        <v>1471</v>
      </c>
    </row>
    <row r="1829" spans="1:20">
      <c r="A1829">
        <v>1838</v>
      </c>
      <c r="B1829" t="s">
        <v>2051</v>
      </c>
      <c r="C1829" t="s">
        <v>36</v>
      </c>
      <c r="D1829" t="s">
        <v>217</v>
      </c>
      <c r="E1829" t="s">
        <v>2052</v>
      </c>
      <c r="F1829">
        <v>0</v>
      </c>
      <c r="G1829">
        <v>0</v>
      </c>
      <c r="H1829">
        <v>0</v>
      </c>
      <c r="I1829" t="s">
        <v>24</v>
      </c>
      <c r="J1829" t="s">
        <v>25</v>
      </c>
      <c r="K1829">
        <v>0</v>
      </c>
      <c r="L1829">
        <v>0</v>
      </c>
      <c r="M1829" t="s">
        <v>25</v>
      </c>
      <c r="N1829" t="s">
        <v>25</v>
      </c>
      <c r="O1829" t="s">
        <v>26</v>
      </c>
      <c r="P1829" t="s">
        <v>25</v>
      </c>
      <c r="Q1829" t="s">
        <v>297</v>
      </c>
      <c r="R1829" t="s">
        <v>1471</v>
      </c>
    </row>
    <row r="1830" spans="1:20">
      <c r="A1830">
        <v>1839</v>
      </c>
      <c r="B1830" t="s">
        <v>2053</v>
      </c>
      <c r="C1830" t="s">
        <v>36</v>
      </c>
      <c r="D1830" t="s">
        <v>217</v>
      </c>
      <c r="E1830" t="s">
        <v>2054</v>
      </c>
      <c r="F1830">
        <v>0</v>
      </c>
      <c r="G1830">
        <v>0</v>
      </c>
      <c r="H1830">
        <v>0</v>
      </c>
      <c r="I1830" t="s">
        <v>24</v>
      </c>
      <c r="J1830" t="s">
        <v>25</v>
      </c>
      <c r="K1830">
        <v>0</v>
      </c>
      <c r="L1830">
        <v>0</v>
      </c>
      <c r="M1830" t="s">
        <v>25</v>
      </c>
      <c r="N1830" t="s">
        <v>25</v>
      </c>
      <c r="O1830" t="s">
        <v>26</v>
      </c>
      <c r="P1830" t="s">
        <v>25</v>
      </c>
      <c r="Q1830" t="s">
        <v>297</v>
      </c>
      <c r="R1830" t="s">
        <v>1471</v>
      </c>
    </row>
    <row r="1831" spans="1:20">
      <c r="A1831">
        <v>1840</v>
      </c>
      <c r="B1831" t="s">
        <v>2055</v>
      </c>
      <c r="C1831" t="s">
        <v>36</v>
      </c>
      <c r="D1831" t="s">
        <v>217</v>
      </c>
      <c r="E1831" t="s">
        <v>2056</v>
      </c>
      <c r="F1831">
        <v>0</v>
      </c>
      <c r="G1831">
        <v>0</v>
      </c>
      <c r="H1831">
        <v>0</v>
      </c>
      <c r="I1831" t="s">
        <v>24</v>
      </c>
      <c r="J1831" t="s">
        <v>25</v>
      </c>
      <c r="K1831">
        <v>0</v>
      </c>
      <c r="L1831">
        <v>0</v>
      </c>
      <c r="M1831" t="s">
        <v>25</v>
      </c>
      <c r="N1831" t="s">
        <v>25</v>
      </c>
      <c r="O1831" t="s">
        <v>26</v>
      </c>
      <c r="P1831" t="s">
        <v>25</v>
      </c>
      <c r="Q1831" t="s">
        <v>297</v>
      </c>
      <c r="R1831" t="s">
        <v>1471</v>
      </c>
    </row>
    <row r="1832" spans="1:20">
      <c r="A1832">
        <v>1842</v>
      </c>
      <c r="B1832" t="s">
        <v>2057</v>
      </c>
      <c r="C1832" t="s">
        <v>590</v>
      </c>
      <c r="D1832" t="s">
        <v>22</v>
      </c>
      <c r="E1832" t="s">
        <v>591</v>
      </c>
      <c r="F1832">
        <v>0</v>
      </c>
      <c r="G1832">
        <v>0</v>
      </c>
      <c r="H1832">
        <v>0</v>
      </c>
      <c r="I1832" t="s">
        <v>24</v>
      </c>
      <c r="J1832" t="s">
        <v>25</v>
      </c>
      <c r="K1832">
        <v>0</v>
      </c>
      <c r="L1832">
        <v>0</v>
      </c>
      <c r="M1832" t="s">
        <v>25</v>
      </c>
      <c r="N1832" t="s">
        <v>25</v>
      </c>
      <c r="O1832" t="s">
        <v>26</v>
      </c>
      <c r="P1832" t="s">
        <v>25</v>
      </c>
      <c r="Q1832" t="s">
        <v>27</v>
      </c>
      <c r="R1832" t="s">
        <v>1471</v>
      </c>
    </row>
    <row r="1833" spans="1:20">
      <c r="A1833">
        <v>1843</v>
      </c>
      <c r="B1833" t="s">
        <v>2058</v>
      </c>
      <c r="C1833" t="s">
        <v>36</v>
      </c>
      <c r="D1833" t="s">
        <v>22</v>
      </c>
      <c r="E1833" t="s">
        <v>37</v>
      </c>
      <c r="F1833">
        <v>0</v>
      </c>
      <c r="G1833">
        <v>0</v>
      </c>
      <c r="H1833">
        <v>0</v>
      </c>
      <c r="I1833" t="s">
        <v>24</v>
      </c>
      <c r="J1833" t="s">
        <v>25</v>
      </c>
      <c r="K1833">
        <v>0</v>
      </c>
      <c r="L1833">
        <v>0</v>
      </c>
      <c r="M1833" t="s">
        <v>25</v>
      </c>
      <c r="N1833" t="s">
        <v>25</v>
      </c>
      <c r="O1833" t="s">
        <v>26</v>
      </c>
      <c r="P1833" t="s">
        <v>25</v>
      </c>
      <c r="Q1833" t="s">
        <v>27</v>
      </c>
      <c r="R1833" t="s">
        <v>1471</v>
      </c>
    </row>
    <row r="1834" spans="1:20">
      <c r="A1834">
        <v>1844</v>
      </c>
      <c r="B1834" t="s">
        <v>2059</v>
      </c>
      <c r="C1834" t="s">
        <v>36</v>
      </c>
      <c r="D1834" t="s">
        <v>22</v>
      </c>
      <c r="E1834" t="s">
        <v>37</v>
      </c>
      <c r="F1834">
        <v>0</v>
      </c>
      <c r="G1834">
        <v>0</v>
      </c>
      <c r="H1834">
        <v>0</v>
      </c>
      <c r="I1834" t="s">
        <v>24</v>
      </c>
      <c r="J1834" t="s">
        <v>25</v>
      </c>
      <c r="K1834">
        <v>0</v>
      </c>
      <c r="L1834">
        <v>0</v>
      </c>
      <c r="M1834" t="s">
        <v>25</v>
      </c>
      <c r="N1834" t="s">
        <v>25</v>
      </c>
      <c r="O1834" t="s">
        <v>26</v>
      </c>
      <c r="P1834" t="s">
        <v>25</v>
      </c>
      <c r="Q1834" t="s">
        <v>27</v>
      </c>
      <c r="R1834" t="s">
        <v>1471</v>
      </c>
      <c r="S1834" t="s">
        <v>231</v>
      </c>
      <c r="T1834" t="s">
        <v>2060</v>
      </c>
    </row>
    <row r="1835" spans="1:20">
      <c r="A1835">
        <v>1845</v>
      </c>
      <c r="B1835" t="s">
        <v>2061</v>
      </c>
      <c r="C1835" t="s">
        <v>36</v>
      </c>
      <c r="D1835" t="s">
        <v>22</v>
      </c>
      <c r="E1835" t="s">
        <v>37</v>
      </c>
      <c r="F1835">
        <v>0</v>
      </c>
      <c r="G1835">
        <v>0</v>
      </c>
      <c r="H1835">
        <v>0</v>
      </c>
      <c r="I1835" t="s">
        <v>24</v>
      </c>
      <c r="J1835" t="s">
        <v>25</v>
      </c>
      <c r="K1835">
        <v>0</v>
      </c>
      <c r="L1835">
        <v>0</v>
      </c>
      <c r="M1835" t="s">
        <v>25</v>
      </c>
      <c r="N1835" t="s">
        <v>25</v>
      </c>
      <c r="O1835" t="s">
        <v>26</v>
      </c>
      <c r="P1835" t="s">
        <v>25</v>
      </c>
      <c r="Q1835" t="s">
        <v>27</v>
      </c>
      <c r="R1835" t="s">
        <v>1471</v>
      </c>
      <c r="S1835" t="s">
        <v>231</v>
      </c>
      <c r="T1835" t="s">
        <v>2060</v>
      </c>
    </row>
    <row r="1836" spans="1:20">
      <c r="A1836">
        <v>1846</v>
      </c>
      <c r="B1836" t="s">
        <v>2062</v>
      </c>
      <c r="C1836" t="s">
        <v>102</v>
      </c>
      <c r="D1836" t="s">
        <v>22</v>
      </c>
      <c r="E1836" t="s">
        <v>23</v>
      </c>
      <c r="F1836">
        <v>0</v>
      </c>
      <c r="G1836">
        <v>0</v>
      </c>
      <c r="H1836">
        <v>0</v>
      </c>
      <c r="I1836" t="s">
        <v>24</v>
      </c>
      <c r="J1836" t="s">
        <v>25</v>
      </c>
      <c r="K1836">
        <v>0</v>
      </c>
      <c r="L1836">
        <v>0</v>
      </c>
      <c r="M1836" t="s">
        <v>25</v>
      </c>
      <c r="N1836" t="s">
        <v>25</v>
      </c>
      <c r="O1836" t="s">
        <v>26</v>
      </c>
      <c r="P1836" t="s">
        <v>25</v>
      </c>
      <c r="Q1836" t="s">
        <v>27</v>
      </c>
      <c r="R1836" t="s">
        <v>1471</v>
      </c>
    </row>
    <row r="1837" spans="1:20">
      <c r="A1837">
        <v>1847</v>
      </c>
      <c r="B1837" t="s">
        <v>2063</v>
      </c>
      <c r="C1837" t="s">
        <v>36</v>
      </c>
      <c r="D1837" t="s">
        <v>22</v>
      </c>
      <c r="E1837" t="s">
        <v>37</v>
      </c>
      <c r="F1837">
        <v>0</v>
      </c>
      <c r="G1837">
        <v>19</v>
      </c>
      <c r="H1837">
        <v>0</v>
      </c>
      <c r="I1837" t="s">
        <v>24</v>
      </c>
      <c r="J1837" t="s">
        <v>25</v>
      </c>
      <c r="K1837">
        <v>0</v>
      </c>
      <c r="L1837">
        <v>0</v>
      </c>
      <c r="M1837" t="s">
        <v>25</v>
      </c>
      <c r="N1837" t="s">
        <v>25</v>
      </c>
      <c r="O1837" t="s">
        <v>26</v>
      </c>
      <c r="P1837" t="s">
        <v>25</v>
      </c>
      <c r="Q1837" t="s">
        <v>27</v>
      </c>
      <c r="R1837" t="s">
        <v>1471</v>
      </c>
    </row>
    <row r="1838" spans="1:20">
      <c r="A1838">
        <v>1848</v>
      </c>
      <c r="B1838" t="s">
        <v>2064</v>
      </c>
      <c r="C1838" t="s">
        <v>36</v>
      </c>
      <c r="D1838" t="s">
        <v>22</v>
      </c>
      <c r="E1838" t="s">
        <v>37</v>
      </c>
      <c r="F1838">
        <v>0</v>
      </c>
      <c r="G1838">
        <v>19</v>
      </c>
      <c r="H1838">
        <v>0</v>
      </c>
      <c r="I1838" t="s">
        <v>24</v>
      </c>
      <c r="J1838" t="s">
        <v>25</v>
      </c>
      <c r="K1838">
        <v>0</v>
      </c>
      <c r="L1838">
        <v>0</v>
      </c>
      <c r="M1838" t="s">
        <v>25</v>
      </c>
      <c r="N1838" t="s">
        <v>25</v>
      </c>
      <c r="O1838" t="s">
        <v>26</v>
      </c>
      <c r="P1838" t="s">
        <v>25</v>
      </c>
      <c r="Q1838" t="s">
        <v>27</v>
      </c>
      <c r="R1838" t="s">
        <v>1471</v>
      </c>
    </row>
    <row r="1839" spans="1:20">
      <c r="A1839">
        <v>1849</v>
      </c>
      <c r="B1839" t="s">
        <v>2065</v>
      </c>
      <c r="C1839" t="s">
        <v>1130</v>
      </c>
      <c r="D1839" t="s">
        <v>22</v>
      </c>
      <c r="E1839" t="s">
        <v>1031</v>
      </c>
      <c r="F1839">
        <v>0</v>
      </c>
      <c r="G1839">
        <v>0</v>
      </c>
      <c r="H1839">
        <v>0</v>
      </c>
      <c r="I1839" t="s">
        <v>24</v>
      </c>
      <c r="J1839" t="s">
        <v>25</v>
      </c>
      <c r="K1839">
        <v>0</v>
      </c>
      <c r="L1839">
        <v>0</v>
      </c>
      <c r="M1839" t="s">
        <v>25</v>
      </c>
      <c r="N1839" t="s">
        <v>25</v>
      </c>
      <c r="O1839" t="s">
        <v>26</v>
      </c>
      <c r="P1839" t="s">
        <v>25</v>
      </c>
      <c r="Q1839" t="s">
        <v>27</v>
      </c>
      <c r="R1839" t="s">
        <v>1471</v>
      </c>
    </row>
    <row r="1840" spans="1:20">
      <c r="A1840">
        <v>1850</v>
      </c>
      <c r="B1840" t="s">
        <v>2066</v>
      </c>
      <c r="C1840" t="s">
        <v>21</v>
      </c>
      <c r="D1840" t="s">
        <v>22</v>
      </c>
      <c r="E1840" t="s">
        <v>23</v>
      </c>
      <c r="F1840">
        <v>924300</v>
      </c>
      <c r="G1840">
        <v>19</v>
      </c>
      <c r="H1840">
        <v>1099917</v>
      </c>
      <c r="I1840" t="s">
        <v>24</v>
      </c>
      <c r="J1840" t="s">
        <v>25</v>
      </c>
      <c r="K1840">
        <v>0</v>
      </c>
      <c r="L1840">
        <v>0</v>
      </c>
      <c r="M1840" t="s">
        <v>25</v>
      </c>
      <c r="N1840" t="s">
        <v>25</v>
      </c>
      <c r="O1840" t="s">
        <v>26</v>
      </c>
      <c r="P1840" t="s">
        <v>25</v>
      </c>
      <c r="Q1840" t="s">
        <v>27</v>
      </c>
      <c r="R1840" t="s">
        <v>1471</v>
      </c>
      <c r="S1840" t="s">
        <v>51</v>
      </c>
      <c r="T1840" t="s">
        <v>2067</v>
      </c>
    </row>
    <row r="1841" spans="1:20">
      <c r="A1841">
        <v>1851</v>
      </c>
      <c r="B1841" t="s">
        <v>2068</v>
      </c>
      <c r="C1841" t="s">
        <v>102</v>
      </c>
      <c r="D1841" t="s">
        <v>22</v>
      </c>
      <c r="E1841" t="s">
        <v>23</v>
      </c>
      <c r="F1841">
        <v>0</v>
      </c>
      <c r="G1841">
        <v>19</v>
      </c>
      <c r="H1841">
        <v>0</v>
      </c>
      <c r="I1841" t="s">
        <v>24</v>
      </c>
      <c r="J1841" t="s">
        <v>25</v>
      </c>
      <c r="K1841">
        <v>0</v>
      </c>
      <c r="L1841">
        <v>0</v>
      </c>
      <c r="M1841" t="s">
        <v>25</v>
      </c>
      <c r="N1841" t="s">
        <v>25</v>
      </c>
      <c r="O1841" t="s">
        <v>26</v>
      </c>
      <c r="P1841" t="s">
        <v>25</v>
      </c>
      <c r="Q1841" t="s">
        <v>2023</v>
      </c>
      <c r="R1841" t="s">
        <v>1471</v>
      </c>
    </row>
    <row r="1842" spans="1:20">
      <c r="A1842">
        <v>1852</v>
      </c>
      <c r="B1842" t="s">
        <v>2069</v>
      </c>
      <c r="C1842" t="s">
        <v>102</v>
      </c>
      <c r="D1842" t="s">
        <v>22</v>
      </c>
      <c r="E1842" t="s">
        <v>23</v>
      </c>
      <c r="F1842">
        <v>0</v>
      </c>
      <c r="G1842">
        <v>19</v>
      </c>
      <c r="H1842">
        <v>0</v>
      </c>
      <c r="I1842" t="s">
        <v>24</v>
      </c>
      <c r="J1842" t="s">
        <v>25</v>
      </c>
      <c r="K1842">
        <v>0</v>
      </c>
      <c r="L1842">
        <v>0</v>
      </c>
      <c r="M1842" t="s">
        <v>25</v>
      </c>
      <c r="N1842" t="s">
        <v>25</v>
      </c>
      <c r="O1842" t="s">
        <v>26</v>
      </c>
      <c r="P1842" t="s">
        <v>25</v>
      </c>
      <c r="Q1842" t="s">
        <v>2023</v>
      </c>
      <c r="R1842" t="s">
        <v>1471</v>
      </c>
    </row>
    <row r="1843" spans="1:20">
      <c r="A1843">
        <v>1853</v>
      </c>
      <c r="B1843" t="s">
        <v>2070</v>
      </c>
      <c r="C1843" t="s">
        <v>102</v>
      </c>
      <c r="D1843" t="s">
        <v>22</v>
      </c>
      <c r="E1843" t="s">
        <v>23</v>
      </c>
      <c r="F1843">
        <v>0</v>
      </c>
      <c r="G1843">
        <v>19</v>
      </c>
      <c r="H1843">
        <v>0</v>
      </c>
      <c r="I1843" t="s">
        <v>24</v>
      </c>
      <c r="J1843" t="s">
        <v>25</v>
      </c>
      <c r="K1843">
        <v>0</v>
      </c>
      <c r="L1843">
        <v>0</v>
      </c>
      <c r="M1843" t="s">
        <v>25</v>
      </c>
      <c r="N1843" t="s">
        <v>25</v>
      </c>
      <c r="O1843" t="s">
        <v>26</v>
      </c>
      <c r="P1843" t="s">
        <v>25</v>
      </c>
      <c r="Q1843" t="s">
        <v>2023</v>
      </c>
      <c r="R1843" t="s">
        <v>1471</v>
      </c>
    </row>
    <row r="1844" spans="1:20">
      <c r="A1844">
        <v>1854</v>
      </c>
      <c r="B1844" t="s">
        <v>2071</v>
      </c>
      <c r="C1844" t="s">
        <v>102</v>
      </c>
      <c r="D1844" t="s">
        <v>22</v>
      </c>
      <c r="E1844" t="s">
        <v>23</v>
      </c>
      <c r="F1844">
        <v>0</v>
      </c>
      <c r="G1844">
        <v>19</v>
      </c>
      <c r="H1844">
        <v>0</v>
      </c>
      <c r="I1844" t="s">
        <v>24</v>
      </c>
      <c r="J1844" t="s">
        <v>25</v>
      </c>
      <c r="K1844">
        <v>0</v>
      </c>
      <c r="L1844">
        <v>0</v>
      </c>
      <c r="M1844" t="s">
        <v>25</v>
      </c>
      <c r="N1844" t="s">
        <v>25</v>
      </c>
      <c r="O1844" t="s">
        <v>26</v>
      </c>
      <c r="P1844" t="s">
        <v>25</v>
      </c>
      <c r="Q1844" t="s">
        <v>2023</v>
      </c>
      <c r="R1844" t="s">
        <v>1471</v>
      </c>
    </row>
    <row r="1845" spans="1:20">
      <c r="A1845">
        <v>1855</v>
      </c>
      <c r="B1845" t="s">
        <v>2072</v>
      </c>
      <c r="C1845" t="s">
        <v>102</v>
      </c>
      <c r="D1845" t="s">
        <v>22</v>
      </c>
      <c r="E1845" t="s">
        <v>1166</v>
      </c>
      <c r="F1845">
        <v>0</v>
      </c>
      <c r="G1845">
        <v>0</v>
      </c>
      <c r="H1845">
        <v>0</v>
      </c>
      <c r="I1845" t="s">
        <v>24</v>
      </c>
      <c r="J1845" t="s">
        <v>25</v>
      </c>
      <c r="K1845">
        <v>0</v>
      </c>
      <c r="L1845">
        <v>0</v>
      </c>
      <c r="M1845" t="s">
        <v>25</v>
      </c>
      <c r="N1845" t="s">
        <v>25</v>
      </c>
      <c r="O1845" t="s">
        <v>26</v>
      </c>
      <c r="P1845" t="s">
        <v>25</v>
      </c>
      <c r="Q1845" t="s">
        <v>2023</v>
      </c>
      <c r="R1845" t="s">
        <v>1471</v>
      </c>
      <c r="S1845" t="s">
        <v>231</v>
      </c>
      <c r="T1845" t="s">
        <v>1167</v>
      </c>
    </row>
    <row r="1846" spans="1:20">
      <c r="A1846">
        <v>1856</v>
      </c>
      <c r="B1846" t="s">
        <v>2073</v>
      </c>
      <c r="C1846" t="s">
        <v>102</v>
      </c>
      <c r="D1846" t="s">
        <v>22</v>
      </c>
      <c r="E1846" t="s">
        <v>23</v>
      </c>
      <c r="F1846">
        <v>0</v>
      </c>
      <c r="G1846">
        <v>19</v>
      </c>
      <c r="H1846">
        <v>0</v>
      </c>
      <c r="I1846" t="s">
        <v>24</v>
      </c>
      <c r="J1846" t="s">
        <v>25</v>
      </c>
      <c r="K1846">
        <v>0</v>
      </c>
      <c r="L1846">
        <v>0</v>
      </c>
      <c r="M1846" t="s">
        <v>25</v>
      </c>
      <c r="N1846" t="s">
        <v>25</v>
      </c>
      <c r="O1846" t="s">
        <v>26</v>
      </c>
      <c r="P1846" t="s">
        <v>25</v>
      </c>
      <c r="Q1846" t="s">
        <v>2023</v>
      </c>
      <c r="R1846" t="s">
        <v>1471</v>
      </c>
    </row>
    <row r="1847" spans="1:20">
      <c r="A1847">
        <v>1857</v>
      </c>
      <c r="B1847" t="s">
        <v>2074</v>
      </c>
      <c r="C1847" t="s">
        <v>102</v>
      </c>
      <c r="D1847" t="s">
        <v>22</v>
      </c>
      <c r="E1847" t="s">
        <v>23</v>
      </c>
      <c r="F1847">
        <v>0</v>
      </c>
      <c r="G1847">
        <v>19</v>
      </c>
      <c r="H1847">
        <v>0</v>
      </c>
      <c r="I1847" t="s">
        <v>24</v>
      </c>
      <c r="J1847" t="s">
        <v>25</v>
      </c>
      <c r="K1847">
        <v>0</v>
      </c>
      <c r="L1847">
        <v>0</v>
      </c>
      <c r="M1847" t="s">
        <v>25</v>
      </c>
      <c r="N1847" t="s">
        <v>25</v>
      </c>
      <c r="O1847" t="s">
        <v>26</v>
      </c>
      <c r="P1847" t="s">
        <v>25</v>
      </c>
      <c r="Q1847" t="s">
        <v>2023</v>
      </c>
      <c r="R1847" t="s">
        <v>1471</v>
      </c>
    </row>
    <row r="1848" spans="1:20">
      <c r="A1848">
        <v>1858</v>
      </c>
      <c r="B1848" t="s">
        <v>2075</v>
      </c>
      <c r="C1848" t="s">
        <v>102</v>
      </c>
      <c r="D1848" t="s">
        <v>22</v>
      </c>
      <c r="E1848" t="s">
        <v>23</v>
      </c>
      <c r="F1848">
        <v>0</v>
      </c>
      <c r="G1848">
        <v>19</v>
      </c>
      <c r="H1848">
        <v>0</v>
      </c>
      <c r="I1848" t="s">
        <v>24</v>
      </c>
      <c r="J1848" t="s">
        <v>25</v>
      </c>
      <c r="K1848">
        <v>0</v>
      </c>
      <c r="L1848">
        <v>0</v>
      </c>
      <c r="M1848" t="s">
        <v>25</v>
      </c>
      <c r="N1848" t="s">
        <v>25</v>
      </c>
      <c r="O1848" t="s">
        <v>26</v>
      </c>
      <c r="P1848" t="s">
        <v>25</v>
      </c>
      <c r="Q1848" t="s">
        <v>2023</v>
      </c>
      <c r="R1848" t="s">
        <v>1471</v>
      </c>
    </row>
    <row r="1849" spans="1:20">
      <c r="A1849">
        <v>1859</v>
      </c>
      <c r="B1849" t="s">
        <v>2076</v>
      </c>
      <c r="C1849" t="s">
        <v>102</v>
      </c>
      <c r="D1849" t="s">
        <v>22</v>
      </c>
      <c r="E1849" t="s">
        <v>23</v>
      </c>
      <c r="F1849">
        <v>0</v>
      </c>
      <c r="G1849">
        <v>19</v>
      </c>
      <c r="H1849">
        <v>0</v>
      </c>
      <c r="I1849" t="s">
        <v>24</v>
      </c>
      <c r="J1849" t="s">
        <v>25</v>
      </c>
      <c r="K1849">
        <v>0</v>
      </c>
      <c r="L1849">
        <v>0</v>
      </c>
      <c r="M1849" t="s">
        <v>25</v>
      </c>
      <c r="N1849" t="s">
        <v>25</v>
      </c>
      <c r="O1849" t="s">
        <v>26</v>
      </c>
      <c r="P1849" t="s">
        <v>25</v>
      </c>
      <c r="Q1849" t="s">
        <v>2023</v>
      </c>
      <c r="R1849" t="s">
        <v>1471</v>
      </c>
    </row>
    <row r="1850" spans="1:20">
      <c r="A1850">
        <v>1860</v>
      </c>
      <c r="B1850" t="s">
        <v>2077</v>
      </c>
      <c r="C1850" t="s">
        <v>102</v>
      </c>
      <c r="D1850" t="s">
        <v>22</v>
      </c>
      <c r="E1850" t="s">
        <v>23</v>
      </c>
      <c r="F1850">
        <v>0</v>
      </c>
      <c r="G1850">
        <v>19</v>
      </c>
      <c r="H1850">
        <v>0</v>
      </c>
      <c r="I1850" t="s">
        <v>24</v>
      </c>
      <c r="J1850" t="s">
        <v>25</v>
      </c>
      <c r="K1850">
        <v>0</v>
      </c>
      <c r="L1850">
        <v>0</v>
      </c>
      <c r="M1850" t="s">
        <v>25</v>
      </c>
      <c r="N1850" t="s">
        <v>25</v>
      </c>
      <c r="O1850" t="s">
        <v>26</v>
      </c>
      <c r="P1850" t="s">
        <v>25</v>
      </c>
      <c r="Q1850" t="s">
        <v>2023</v>
      </c>
      <c r="R1850" t="s">
        <v>1471</v>
      </c>
    </row>
    <row r="1851" spans="1:20">
      <c r="A1851">
        <v>1861</v>
      </c>
      <c r="B1851" t="s">
        <v>2078</v>
      </c>
      <c r="C1851" t="s">
        <v>102</v>
      </c>
      <c r="D1851" t="s">
        <v>22</v>
      </c>
      <c r="E1851" t="s">
        <v>23</v>
      </c>
      <c r="F1851">
        <v>0</v>
      </c>
      <c r="G1851">
        <v>19</v>
      </c>
      <c r="H1851">
        <v>0</v>
      </c>
      <c r="I1851" t="s">
        <v>24</v>
      </c>
      <c r="J1851" t="s">
        <v>25</v>
      </c>
      <c r="K1851">
        <v>0</v>
      </c>
      <c r="L1851">
        <v>0</v>
      </c>
      <c r="M1851" t="s">
        <v>25</v>
      </c>
      <c r="N1851" t="s">
        <v>25</v>
      </c>
      <c r="O1851" t="s">
        <v>26</v>
      </c>
      <c r="P1851" t="s">
        <v>25</v>
      </c>
      <c r="Q1851" t="s">
        <v>2023</v>
      </c>
      <c r="R1851" t="s">
        <v>1471</v>
      </c>
    </row>
    <row r="1852" spans="1:20">
      <c r="A1852">
        <v>1862</v>
      </c>
      <c r="B1852" t="s">
        <v>2079</v>
      </c>
      <c r="C1852" t="s">
        <v>102</v>
      </c>
      <c r="D1852" t="s">
        <v>22</v>
      </c>
      <c r="E1852" t="s">
        <v>23</v>
      </c>
      <c r="F1852">
        <v>0</v>
      </c>
      <c r="G1852">
        <v>19</v>
      </c>
      <c r="H1852">
        <v>0</v>
      </c>
      <c r="I1852" t="s">
        <v>24</v>
      </c>
      <c r="J1852" t="s">
        <v>25</v>
      </c>
      <c r="K1852">
        <v>0</v>
      </c>
      <c r="L1852">
        <v>0</v>
      </c>
      <c r="M1852" t="s">
        <v>25</v>
      </c>
      <c r="N1852" t="s">
        <v>25</v>
      </c>
      <c r="O1852" t="s">
        <v>26</v>
      </c>
      <c r="P1852" t="s">
        <v>25</v>
      </c>
      <c r="Q1852" t="s">
        <v>2023</v>
      </c>
      <c r="R1852" t="s">
        <v>1471</v>
      </c>
    </row>
    <row r="1853" spans="1:20">
      <c r="A1853">
        <v>1863</v>
      </c>
      <c r="B1853" t="s">
        <v>2080</v>
      </c>
      <c r="C1853" t="s">
        <v>102</v>
      </c>
      <c r="D1853" t="s">
        <v>22</v>
      </c>
      <c r="E1853" t="s">
        <v>23</v>
      </c>
      <c r="F1853">
        <v>0</v>
      </c>
      <c r="G1853">
        <v>19</v>
      </c>
      <c r="H1853">
        <v>0</v>
      </c>
      <c r="I1853" t="s">
        <v>24</v>
      </c>
      <c r="J1853" t="s">
        <v>25</v>
      </c>
      <c r="K1853">
        <v>0</v>
      </c>
      <c r="L1853">
        <v>0</v>
      </c>
      <c r="M1853" t="s">
        <v>25</v>
      </c>
      <c r="N1853" t="s">
        <v>25</v>
      </c>
      <c r="O1853" t="s">
        <v>26</v>
      </c>
      <c r="P1853" t="s">
        <v>25</v>
      </c>
      <c r="Q1853" t="s">
        <v>2023</v>
      </c>
      <c r="R1853" t="s">
        <v>1471</v>
      </c>
    </row>
    <row r="1854" spans="1:20">
      <c r="A1854">
        <v>1864</v>
      </c>
      <c r="B1854" t="s">
        <v>2081</v>
      </c>
      <c r="C1854" t="s">
        <v>102</v>
      </c>
      <c r="D1854" t="s">
        <v>22</v>
      </c>
      <c r="E1854" t="s">
        <v>23</v>
      </c>
      <c r="F1854">
        <v>0</v>
      </c>
      <c r="G1854">
        <v>19</v>
      </c>
      <c r="H1854">
        <v>0</v>
      </c>
      <c r="I1854" t="s">
        <v>24</v>
      </c>
      <c r="J1854" t="s">
        <v>25</v>
      </c>
      <c r="K1854">
        <v>0</v>
      </c>
      <c r="L1854">
        <v>0</v>
      </c>
      <c r="M1854" t="s">
        <v>25</v>
      </c>
      <c r="N1854" t="s">
        <v>25</v>
      </c>
      <c r="O1854" t="s">
        <v>26</v>
      </c>
      <c r="P1854" t="s">
        <v>25</v>
      </c>
      <c r="Q1854" t="s">
        <v>2023</v>
      </c>
      <c r="R1854" t="s">
        <v>1471</v>
      </c>
    </row>
    <row r="1855" spans="1:20">
      <c r="A1855">
        <v>1865</v>
      </c>
      <c r="B1855" t="s">
        <v>2082</v>
      </c>
      <c r="C1855" t="s">
        <v>102</v>
      </c>
      <c r="D1855" t="s">
        <v>22</v>
      </c>
      <c r="E1855" t="s">
        <v>338</v>
      </c>
      <c r="F1855">
        <v>0</v>
      </c>
      <c r="G1855">
        <v>19</v>
      </c>
      <c r="H1855">
        <v>0</v>
      </c>
      <c r="I1855" t="s">
        <v>24</v>
      </c>
      <c r="J1855" t="s">
        <v>25</v>
      </c>
      <c r="K1855">
        <v>0</v>
      </c>
      <c r="L1855">
        <v>0</v>
      </c>
      <c r="M1855" t="s">
        <v>25</v>
      </c>
      <c r="N1855" t="s">
        <v>25</v>
      </c>
      <c r="O1855" t="s">
        <v>26</v>
      </c>
      <c r="P1855" t="s">
        <v>25</v>
      </c>
      <c r="Q1855" t="s">
        <v>2023</v>
      </c>
      <c r="R1855" t="s">
        <v>1471</v>
      </c>
      <c r="S1855" t="s">
        <v>231</v>
      </c>
      <c r="T1855" t="s">
        <v>1915</v>
      </c>
    </row>
    <row r="1856" spans="1:20">
      <c r="A1856">
        <v>1866</v>
      </c>
      <c r="B1856" t="s">
        <v>2083</v>
      </c>
      <c r="C1856" t="s">
        <v>102</v>
      </c>
      <c r="D1856" t="s">
        <v>22</v>
      </c>
      <c r="E1856" t="s">
        <v>23</v>
      </c>
      <c r="F1856">
        <v>0</v>
      </c>
      <c r="G1856">
        <v>19</v>
      </c>
      <c r="H1856">
        <v>0</v>
      </c>
      <c r="I1856" t="s">
        <v>24</v>
      </c>
      <c r="J1856" t="s">
        <v>25</v>
      </c>
      <c r="K1856">
        <v>0</v>
      </c>
      <c r="L1856">
        <v>0</v>
      </c>
      <c r="M1856" t="s">
        <v>25</v>
      </c>
      <c r="N1856" t="s">
        <v>25</v>
      </c>
      <c r="O1856" t="s">
        <v>26</v>
      </c>
      <c r="P1856" t="s">
        <v>25</v>
      </c>
      <c r="Q1856" t="s">
        <v>2023</v>
      </c>
      <c r="R1856" t="s">
        <v>1471</v>
      </c>
    </row>
    <row r="1857" spans="1:20">
      <c r="A1857">
        <v>1867</v>
      </c>
      <c r="B1857" t="s">
        <v>2084</v>
      </c>
      <c r="C1857" t="s">
        <v>102</v>
      </c>
      <c r="D1857" t="s">
        <v>22</v>
      </c>
      <c r="E1857" t="s">
        <v>1467</v>
      </c>
      <c r="F1857">
        <v>0</v>
      </c>
      <c r="G1857">
        <v>19</v>
      </c>
      <c r="H1857">
        <v>0</v>
      </c>
      <c r="I1857" t="s">
        <v>24</v>
      </c>
      <c r="J1857" t="s">
        <v>25</v>
      </c>
      <c r="K1857">
        <v>0</v>
      </c>
      <c r="L1857">
        <v>0</v>
      </c>
      <c r="M1857" t="s">
        <v>25</v>
      </c>
      <c r="N1857" t="s">
        <v>25</v>
      </c>
      <c r="O1857" t="s">
        <v>26</v>
      </c>
      <c r="P1857" t="s">
        <v>25</v>
      </c>
      <c r="Q1857" t="s">
        <v>2023</v>
      </c>
      <c r="R1857" t="s">
        <v>1471</v>
      </c>
      <c r="S1857" t="s">
        <v>231</v>
      </c>
      <c r="T1857" t="s">
        <v>1468</v>
      </c>
    </row>
    <row r="1858" spans="1:20">
      <c r="A1858">
        <v>1868</v>
      </c>
      <c r="B1858" t="s">
        <v>2085</v>
      </c>
      <c r="C1858" t="s">
        <v>102</v>
      </c>
      <c r="D1858" t="s">
        <v>22</v>
      </c>
      <c r="E1858" t="s">
        <v>1505</v>
      </c>
      <c r="F1858">
        <v>0</v>
      </c>
      <c r="G1858">
        <v>19</v>
      </c>
      <c r="H1858">
        <v>0</v>
      </c>
      <c r="I1858" t="s">
        <v>24</v>
      </c>
      <c r="J1858" t="s">
        <v>25</v>
      </c>
      <c r="K1858">
        <v>0</v>
      </c>
      <c r="L1858">
        <v>0</v>
      </c>
      <c r="M1858" t="s">
        <v>25</v>
      </c>
      <c r="N1858" t="s">
        <v>25</v>
      </c>
      <c r="O1858" t="s">
        <v>26</v>
      </c>
      <c r="P1858" t="s">
        <v>25</v>
      </c>
      <c r="Q1858" t="s">
        <v>2023</v>
      </c>
      <c r="R1858" t="s">
        <v>1471</v>
      </c>
      <c r="S1858" t="s">
        <v>231</v>
      </c>
      <c r="T1858" t="s">
        <v>1747</v>
      </c>
    </row>
    <row r="1859" spans="1:20">
      <c r="A1859">
        <v>1869</v>
      </c>
      <c r="B1859" t="s">
        <v>2086</v>
      </c>
      <c r="C1859" t="s">
        <v>102</v>
      </c>
      <c r="D1859" t="s">
        <v>22</v>
      </c>
      <c r="E1859" t="s">
        <v>23</v>
      </c>
      <c r="F1859">
        <v>0</v>
      </c>
      <c r="G1859">
        <v>19</v>
      </c>
      <c r="H1859">
        <v>0</v>
      </c>
      <c r="I1859" t="s">
        <v>24</v>
      </c>
      <c r="J1859" t="s">
        <v>25</v>
      </c>
      <c r="K1859">
        <v>0</v>
      </c>
      <c r="L1859">
        <v>0</v>
      </c>
      <c r="M1859" t="s">
        <v>25</v>
      </c>
      <c r="N1859" t="s">
        <v>25</v>
      </c>
      <c r="O1859" t="s">
        <v>26</v>
      </c>
      <c r="P1859" t="s">
        <v>25</v>
      </c>
      <c r="Q1859" t="s">
        <v>2023</v>
      </c>
      <c r="R1859" t="s">
        <v>1590</v>
      </c>
    </row>
    <row r="1860" spans="1:20">
      <c r="A1860">
        <v>1870</v>
      </c>
      <c r="B1860" t="s">
        <v>2087</v>
      </c>
      <c r="C1860" t="s">
        <v>102</v>
      </c>
      <c r="D1860" t="s">
        <v>22</v>
      </c>
      <c r="E1860" t="s">
        <v>23</v>
      </c>
      <c r="F1860">
        <v>0</v>
      </c>
      <c r="G1860">
        <v>19</v>
      </c>
      <c r="H1860">
        <v>0</v>
      </c>
      <c r="I1860" t="s">
        <v>24</v>
      </c>
      <c r="J1860" t="s">
        <v>25</v>
      </c>
      <c r="K1860">
        <v>0</v>
      </c>
      <c r="L1860">
        <v>0</v>
      </c>
      <c r="M1860" t="s">
        <v>25</v>
      </c>
      <c r="N1860" t="s">
        <v>25</v>
      </c>
      <c r="O1860" t="s">
        <v>26</v>
      </c>
      <c r="P1860" t="s">
        <v>25</v>
      </c>
      <c r="Q1860" t="s">
        <v>2023</v>
      </c>
      <c r="R1860" t="s">
        <v>1590</v>
      </c>
    </row>
    <row r="1861" spans="1:20">
      <c r="A1861">
        <v>1871</v>
      </c>
      <c r="B1861" t="s">
        <v>2088</v>
      </c>
      <c r="C1861" t="s">
        <v>102</v>
      </c>
      <c r="D1861" t="s">
        <v>22</v>
      </c>
      <c r="E1861" t="s">
        <v>23</v>
      </c>
      <c r="F1861">
        <v>0</v>
      </c>
      <c r="G1861">
        <v>19</v>
      </c>
      <c r="H1861">
        <v>0</v>
      </c>
      <c r="I1861" t="s">
        <v>24</v>
      </c>
      <c r="J1861" t="s">
        <v>25</v>
      </c>
      <c r="K1861">
        <v>0</v>
      </c>
      <c r="L1861">
        <v>0</v>
      </c>
      <c r="M1861" t="s">
        <v>25</v>
      </c>
      <c r="N1861" t="s">
        <v>25</v>
      </c>
      <c r="O1861" t="s">
        <v>26</v>
      </c>
      <c r="P1861" t="s">
        <v>25</v>
      </c>
      <c r="Q1861" t="s">
        <v>2023</v>
      </c>
      <c r="R1861" t="s">
        <v>1590</v>
      </c>
    </row>
    <row r="1862" spans="1:20">
      <c r="A1862">
        <v>1872</v>
      </c>
      <c r="B1862" t="s">
        <v>2089</v>
      </c>
      <c r="C1862" t="s">
        <v>102</v>
      </c>
      <c r="D1862" t="s">
        <v>22</v>
      </c>
      <c r="E1862" t="s">
        <v>23</v>
      </c>
      <c r="F1862">
        <v>0</v>
      </c>
      <c r="G1862">
        <v>19</v>
      </c>
      <c r="H1862">
        <v>0</v>
      </c>
      <c r="I1862" t="s">
        <v>532</v>
      </c>
      <c r="J1862" t="s">
        <v>25</v>
      </c>
      <c r="K1862">
        <v>0</v>
      </c>
      <c r="L1862">
        <v>0</v>
      </c>
      <c r="M1862" t="s">
        <v>25</v>
      </c>
      <c r="N1862" t="s">
        <v>25</v>
      </c>
      <c r="O1862" t="s">
        <v>26</v>
      </c>
      <c r="P1862" t="s">
        <v>25</v>
      </c>
      <c r="Q1862" t="s">
        <v>2023</v>
      </c>
      <c r="R1862" t="s">
        <v>1590</v>
      </c>
      <c r="S1862" t="s">
        <v>51</v>
      </c>
      <c r="T1862" t="s">
        <v>792</v>
      </c>
    </row>
    <row r="1863" spans="1:20">
      <c r="A1863">
        <v>1873</v>
      </c>
      <c r="B1863" t="s">
        <v>2090</v>
      </c>
      <c r="C1863" t="s">
        <v>21</v>
      </c>
      <c r="D1863" t="s">
        <v>22</v>
      </c>
      <c r="E1863" t="s">
        <v>23</v>
      </c>
      <c r="F1863">
        <v>25000</v>
      </c>
      <c r="G1863">
        <v>0</v>
      </c>
      <c r="H1863">
        <v>25000</v>
      </c>
      <c r="I1863" t="s">
        <v>24</v>
      </c>
      <c r="J1863" t="s">
        <v>25</v>
      </c>
      <c r="K1863">
        <v>0</v>
      </c>
      <c r="L1863">
        <v>0</v>
      </c>
      <c r="M1863" t="s">
        <v>25</v>
      </c>
      <c r="N1863" t="s">
        <v>25</v>
      </c>
      <c r="O1863" t="s">
        <v>26</v>
      </c>
      <c r="P1863" t="s">
        <v>25</v>
      </c>
      <c r="Q1863" t="s">
        <v>2023</v>
      </c>
      <c r="R1863" t="s">
        <v>1590</v>
      </c>
      <c r="S1863" t="s">
        <v>51</v>
      </c>
      <c r="T1863" t="s">
        <v>792</v>
      </c>
    </row>
    <row r="1864" spans="1:20">
      <c r="A1864">
        <v>1874</v>
      </c>
      <c r="B1864" t="s">
        <v>2091</v>
      </c>
      <c r="C1864" t="s">
        <v>102</v>
      </c>
      <c r="D1864" t="s">
        <v>22</v>
      </c>
      <c r="E1864" t="s">
        <v>23</v>
      </c>
      <c r="F1864">
        <v>0</v>
      </c>
      <c r="G1864">
        <v>19</v>
      </c>
      <c r="H1864">
        <v>0</v>
      </c>
      <c r="I1864" t="s">
        <v>24</v>
      </c>
      <c r="J1864" t="s">
        <v>25</v>
      </c>
      <c r="K1864">
        <v>0</v>
      </c>
      <c r="L1864">
        <v>0</v>
      </c>
      <c r="M1864" t="s">
        <v>25</v>
      </c>
      <c r="N1864" t="s">
        <v>25</v>
      </c>
      <c r="O1864" t="s">
        <v>26</v>
      </c>
      <c r="P1864" t="s">
        <v>25</v>
      </c>
      <c r="Q1864" t="s">
        <v>2023</v>
      </c>
      <c r="R1864" t="s">
        <v>1590</v>
      </c>
    </row>
    <row r="1865" spans="1:20">
      <c r="A1865">
        <v>1875</v>
      </c>
      <c r="B1865" t="s">
        <v>2092</v>
      </c>
      <c r="C1865" t="s">
        <v>102</v>
      </c>
      <c r="D1865" t="s">
        <v>22</v>
      </c>
      <c r="E1865" t="s">
        <v>1166</v>
      </c>
      <c r="F1865">
        <v>0</v>
      </c>
      <c r="G1865">
        <v>19</v>
      </c>
      <c r="H1865">
        <v>0</v>
      </c>
      <c r="I1865" t="s">
        <v>24</v>
      </c>
      <c r="J1865" t="s">
        <v>25</v>
      </c>
      <c r="K1865">
        <v>0</v>
      </c>
      <c r="L1865">
        <v>0</v>
      </c>
      <c r="M1865" t="s">
        <v>25</v>
      </c>
      <c r="N1865" t="s">
        <v>25</v>
      </c>
      <c r="O1865" t="s">
        <v>26</v>
      </c>
      <c r="P1865" t="s">
        <v>25</v>
      </c>
      <c r="Q1865" t="s">
        <v>2023</v>
      </c>
      <c r="R1865" t="s">
        <v>1590</v>
      </c>
      <c r="S1865" t="s">
        <v>231</v>
      </c>
      <c r="T1865" t="s">
        <v>2093</v>
      </c>
    </row>
    <row r="1866" spans="1:20">
      <c r="A1866">
        <v>1876</v>
      </c>
      <c r="B1866" t="s">
        <v>2094</v>
      </c>
      <c r="C1866" t="s">
        <v>102</v>
      </c>
      <c r="D1866" t="s">
        <v>22</v>
      </c>
      <c r="E1866" t="s">
        <v>1166</v>
      </c>
      <c r="F1866">
        <v>0</v>
      </c>
      <c r="G1866">
        <v>19</v>
      </c>
      <c r="H1866">
        <v>0</v>
      </c>
      <c r="I1866" t="s">
        <v>24</v>
      </c>
      <c r="J1866" t="s">
        <v>25</v>
      </c>
      <c r="K1866">
        <v>0</v>
      </c>
      <c r="L1866">
        <v>0</v>
      </c>
      <c r="M1866" t="s">
        <v>25</v>
      </c>
      <c r="N1866" t="s">
        <v>25</v>
      </c>
      <c r="O1866" t="s">
        <v>26</v>
      </c>
      <c r="P1866" t="s">
        <v>25</v>
      </c>
      <c r="Q1866" t="s">
        <v>2023</v>
      </c>
      <c r="R1866" t="s">
        <v>1590</v>
      </c>
      <c r="S1866" t="s">
        <v>231</v>
      </c>
      <c r="T1866" t="s">
        <v>2093</v>
      </c>
    </row>
    <row r="1867" spans="1:20">
      <c r="A1867">
        <v>1877</v>
      </c>
      <c r="B1867" t="s">
        <v>2095</v>
      </c>
      <c r="C1867" t="s">
        <v>102</v>
      </c>
      <c r="D1867" t="s">
        <v>22</v>
      </c>
      <c r="E1867" t="s">
        <v>23</v>
      </c>
      <c r="F1867">
        <v>0</v>
      </c>
      <c r="G1867">
        <v>19</v>
      </c>
      <c r="H1867">
        <v>0</v>
      </c>
      <c r="I1867" t="s">
        <v>24</v>
      </c>
      <c r="J1867" t="s">
        <v>25</v>
      </c>
      <c r="K1867">
        <v>0</v>
      </c>
      <c r="L1867">
        <v>0</v>
      </c>
      <c r="M1867" t="s">
        <v>25</v>
      </c>
      <c r="N1867" t="s">
        <v>25</v>
      </c>
      <c r="O1867" t="s">
        <v>26</v>
      </c>
      <c r="P1867" t="s">
        <v>25</v>
      </c>
      <c r="Q1867" t="s">
        <v>2023</v>
      </c>
      <c r="R1867" t="s">
        <v>1590</v>
      </c>
      <c r="S1867" t="s">
        <v>231</v>
      </c>
      <c r="T1867" t="s">
        <v>1747</v>
      </c>
    </row>
    <row r="1868" spans="1:20">
      <c r="A1868">
        <v>1878</v>
      </c>
      <c r="B1868" t="s">
        <v>2096</v>
      </c>
      <c r="C1868" t="s">
        <v>102</v>
      </c>
      <c r="D1868" t="s">
        <v>22</v>
      </c>
      <c r="E1868" t="s">
        <v>23</v>
      </c>
      <c r="F1868">
        <v>0</v>
      </c>
      <c r="G1868">
        <v>19</v>
      </c>
      <c r="H1868">
        <v>0</v>
      </c>
      <c r="I1868" t="s">
        <v>24</v>
      </c>
      <c r="J1868" t="s">
        <v>25</v>
      </c>
      <c r="K1868">
        <v>0</v>
      </c>
      <c r="L1868">
        <v>0</v>
      </c>
      <c r="M1868" t="s">
        <v>25</v>
      </c>
      <c r="N1868" t="s">
        <v>25</v>
      </c>
      <c r="O1868" t="s">
        <v>26</v>
      </c>
      <c r="P1868" t="s">
        <v>25</v>
      </c>
      <c r="Q1868" t="s">
        <v>2023</v>
      </c>
      <c r="R1868" t="s">
        <v>1590</v>
      </c>
    </row>
    <row r="1869" spans="1:20">
      <c r="A1869">
        <v>1879</v>
      </c>
      <c r="B1869" t="s">
        <v>2097</v>
      </c>
      <c r="C1869" t="s">
        <v>102</v>
      </c>
      <c r="D1869" t="s">
        <v>22</v>
      </c>
      <c r="E1869" t="s">
        <v>354</v>
      </c>
      <c r="F1869">
        <v>0</v>
      </c>
      <c r="G1869">
        <v>19</v>
      </c>
      <c r="H1869">
        <v>0</v>
      </c>
      <c r="I1869" t="s">
        <v>24</v>
      </c>
      <c r="J1869" t="s">
        <v>25</v>
      </c>
      <c r="K1869">
        <v>0</v>
      </c>
      <c r="L1869">
        <v>0</v>
      </c>
      <c r="M1869" t="s">
        <v>25</v>
      </c>
      <c r="N1869" t="s">
        <v>25</v>
      </c>
      <c r="O1869" t="s">
        <v>26</v>
      </c>
      <c r="P1869" t="s">
        <v>25</v>
      </c>
      <c r="Q1869" t="s">
        <v>2023</v>
      </c>
      <c r="R1869" t="s">
        <v>1590</v>
      </c>
      <c r="S1869" t="s">
        <v>231</v>
      </c>
      <c r="T1869" t="s">
        <v>2098</v>
      </c>
    </row>
    <row r="1870" spans="1:20">
      <c r="A1870">
        <v>1880</v>
      </c>
      <c r="B1870" t="s">
        <v>2099</v>
      </c>
      <c r="C1870" t="s">
        <v>102</v>
      </c>
      <c r="D1870" t="s">
        <v>22</v>
      </c>
      <c r="E1870" t="s">
        <v>23</v>
      </c>
      <c r="F1870">
        <v>0</v>
      </c>
      <c r="G1870">
        <v>19</v>
      </c>
      <c r="H1870">
        <v>0</v>
      </c>
      <c r="I1870" t="s">
        <v>24</v>
      </c>
      <c r="J1870" t="s">
        <v>25</v>
      </c>
      <c r="K1870">
        <v>0</v>
      </c>
      <c r="L1870">
        <v>0</v>
      </c>
      <c r="M1870" t="s">
        <v>25</v>
      </c>
      <c r="N1870" t="s">
        <v>25</v>
      </c>
      <c r="O1870" t="s">
        <v>26</v>
      </c>
      <c r="P1870" t="s">
        <v>25</v>
      </c>
      <c r="Q1870" t="s">
        <v>2023</v>
      </c>
      <c r="R1870" t="s">
        <v>1590</v>
      </c>
    </row>
    <row r="1871" spans="1:20">
      <c r="A1871">
        <v>1881</v>
      </c>
      <c r="B1871" t="s">
        <v>2100</v>
      </c>
      <c r="C1871" t="s">
        <v>102</v>
      </c>
      <c r="D1871" t="s">
        <v>22</v>
      </c>
      <c r="E1871" t="s">
        <v>23</v>
      </c>
      <c r="F1871">
        <v>0</v>
      </c>
      <c r="G1871">
        <v>19</v>
      </c>
      <c r="H1871">
        <v>0</v>
      </c>
      <c r="I1871" t="s">
        <v>24</v>
      </c>
      <c r="J1871" t="s">
        <v>25</v>
      </c>
      <c r="K1871">
        <v>0</v>
      </c>
      <c r="L1871">
        <v>0</v>
      </c>
      <c r="M1871" t="s">
        <v>25</v>
      </c>
      <c r="N1871" t="s">
        <v>25</v>
      </c>
      <c r="O1871" t="s">
        <v>26</v>
      </c>
      <c r="P1871" t="s">
        <v>25</v>
      </c>
      <c r="Q1871" t="s">
        <v>2023</v>
      </c>
      <c r="R1871" t="s">
        <v>1590</v>
      </c>
    </row>
    <row r="1872" spans="1:20">
      <c r="A1872">
        <v>1882</v>
      </c>
      <c r="B1872" t="s">
        <v>2101</v>
      </c>
      <c r="C1872" t="s">
        <v>102</v>
      </c>
      <c r="D1872" t="s">
        <v>217</v>
      </c>
      <c r="E1872" t="s">
        <v>23</v>
      </c>
      <c r="F1872">
        <v>0</v>
      </c>
      <c r="G1872">
        <v>0</v>
      </c>
      <c r="H1872">
        <v>0</v>
      </c>
      <c r="I1872" t="s">
        <v>24</v>
      </c>
      <c r="J1872" t="s">
        <v>25</v>
      </c>
      <c r="K1872">
        <v>0</v>
      </c>
      <c r="L1872">
        <v>0</v>
      </c>
      <c r="M1872" t="s">
        <v>25</v>
      </c>
      <c r="N1872" t="s">
        <v>25</v>
      </c>
      <c r="O1872" t="s">
        <v>26</v>
      </c>
      <c r="P1872" t="s">
        <v>25</v>
      </c>
      <c r="Q1872" t="s">
        <v>2023</v>
      </c>
      <c r="R1872" t="s">
        <v>1590</v>
      </c>
    </row>
    <row r="1873" spans="1:20">
      <c r="A1873">
        <v>1883</v>
      </c>
      <c r="B1873" t="s">
        <v>2102</v>
      </c>
      <c r="C1873" t="s">
        <v>102</v>
      </c>
      <c r="D1873" t="s">
        <v>217</v>
      </c>
      <c r="E1873" t="s">
        <v>23</v>
      </c>
      <c r="F1873">
        <v>0</v>
      </c>
      <c r="G1873">
        <v>0</v>
      </c>
      <c r="H1873">
        <v>0</v>
      </c>
      <c r="I1873" t="s">
        <v>24</v>
      </c>
      <c r="J1873" t="s">
        <v>25</v>
      </c>
      <c r="K1873">
        <v>0</v>
      </c>
      <c r="L1873">
        <v>0</v>
      </c>
      <c r="M1873" t="s">
        <v>25</v>
      </c>
      <c r="N1873" t="s">
        <v>25</v>
      </c>
      <c r="O1873" t="s">
        <v>26</v>
      </c>
      <c r="P1873" t="s">
        <v>25</v>
      </c>
      <c r="Q1873" t="s">
        <v>2023</v>
      </c>
      <c r="R1873" t="s">
        <v>1590</v>
      </c>
    </row>
    <row r="1874" spans="1:20">
      <c r="A1874">
        <v>1884</v>
      </c>
      <c r="B1874" t="s">
        <v>2103</v>
      </c>
      <c r="C1874" t="s">
        <v>102</v>
      </c>
      <c r="D1874" t="s">
        <v>217</v>
      </c>
      <c r="E1874" t="s">
        <v>23</v>
      </c>
      <c r="F1874">
        <v>0</v>
      </c>
      <c r="G1874">
        <v>19</v>
      </c>
      <c r="H1874">
        <v>0</v>
      </c>
      <c r="I1874" t="s">
        <v>24</v>
      </c>
      <c r="J1874" t="s">
        <v>25</v>
      </c>
      <c r="K1874">
        <v>0</v>
      </c>
      <c r="L1874">
        <v>0</v>
      </c>
      <c r="M1874" t="s">
        <v>25</v>
      </c>
      <c r="N1874" t="s">
        <v>25</v>
      </c>
      <c r="O1874" t="s">
        <v>26</v>
      </c>
      <c r="P1874" t="s">
        <v>25</v>
      </c>
      <c r="Q1874" t="s">
        <v>2023</v>
      </c>
      <c r="R1874" t="s">
        <v>1590</v>
      </c>
    </row>
    <row r="1875" spans="1:20">
      <c r="A1875">
        <v>1885</v>
      </c>
      <c r="B1875" t="s">
        <v>2104</v>
      </c>
      <c r="C1875" t="s">
        <v>102</v>
      </c>
      <c r="D1875" t="s">
        <v>217</v>
      </c>
      <c r="E1875" t="s">
        <v>23</v>
      </c>
      <c r="F1875">
        <v>0</v>
      </c>
      <c r="G1875">
        <v>19</v>
      </c>
      <c r="H1875">
        <v>0</v>
      </c>
      <c r="I1875" t="s">
        <v>24</v>
      </c>
      <c r="J1875" t="s">
        <v>25</v>
      </c>
      <c r="K1875">
        <v>0</v>
      </c>
      <c r="L1875">
        <v>0</v>
      </c>
      <c r="M1875" t="s">
        <v>25</v>
      </c>
      <c r="N1875" t="s">
        <v>25</v>
      </c>
      <c r="O1875" t="s">
        <v>26</v>
      </c>
      <c r="P1875" t="s">
        <v>25</v>
      </c>
      <c r="Q1875" t="s">
        <v>2023</v>
      </c>
      <c r="R1875" t="s">
        <v>1590</v>
      </c>
    </row>
    <row r="1876" spans="1:20">
      <c r="A1876">
        <v>1886</v>
      </c>
      <c r="B1876" t="s">
        <v>2105</v>
      </c>
      <c r="C1876" t="s">
        <v>102</v>
      </c>
      <c r="D1876" t="s">
        <v>217</v>
      </c>
      <c r="E1876" t="s">
        <v>23</v>
      </c>
      <c r="F1876">
        <v>0</v>
      </c>
      <c r="G1876">
        <v>19</v>
      </c>
      <c r="H1876">
        <v>0</v>
      </c>
      <c r="I1876" t="s">
        <v>24</v>
      </c>
      <c r="J1876" t="s">
        <v>25</v>
      </c>
      <c r="K1876">
        <v>0</v>
      </c>
      <c r="L1876">
        <v>0</v>
      </c>
      <c r="M1876" t="s">
        <v>25</v>
      </c>
      <c r="N1876" t="s">
        <v>25</v>
      </c>
      <c r="O1876" t="s">
        <v>26</v>
      </c>
      <c r="P1876" t="s">
        <v>25</v>
      </c>
      <c r="Q1876" t="s">
        <v>2023</v>
      </c>
      <c r="R1876" t="s">
        <v>1590</v>
      </c>
    </row>
    <row r="1877" spans="1:20">
      <c r="A1877">
        <v>1887</v>
      </c>
      <c r="B1877" t="s">
        <v>2106</v>
      </c>
      <c r="C1877" t="s">
        <v>1130</v>
      </c>
      <c r="D1877" t="s">
        <v>1131</v>
      </c>
      <c r="E1877" t="s">
        <v>1132</v>
      </c>
      <c r="F1877">
        <v>0</v>
      </c>
      <c r="G1877">
        <v>19</v>
      </c>
      <c r="H1877">
        <v>0</v>
      </c>
      <c r="I1877" t="s">
        <v>24</v>
      </c>
      <c r="J1877" t="s">
        <v>25</v>
      </c>
      <c r="K1877">
        <v>0</v>
      </c>
      <c r="L1877">
        <v>0</v>
      </c>
      <c r="M1877" t="s">
        <v>25</v>
      </c>
      <c r="N1877" t="s">
        <v>25</v>
      </c>
      <c r="O1877" t="s">
        <v>26</v>
      </c>
      <c r="P1877" t="s">
        <v>25</v>
      </c>
      <c r="Q1877" t="s">
        <v>2023</v>
      </c>
      <c r="R1877" t="s">
        <v>1590</v>
      </c>
      <c r="S1877" t="s">
        <v>231</v>
      </c>
      <c r="T1877" t="s">
        <v>1133</v>
      </c>
    </row>
    <row r="1878" spans="1:20">
      <c r="A1878">
        <v>1888</v>
      </c>
      <c r="B1878" t="s">
        <v>2107</v>
      </c>
      <c r="C1878" t="s">
        <v>102</v>
      </c>
      <c r="D1878" t="s">
        <v>217</v>
      </c>
      <c r="E1878" t="s">
        <v>23</v>
      </c>
      <c r="F1878">
        <v>0</v>
      </c>
      <c r="G1878">
        <v>19</v>
      </c>
      <c r="H1878">
        <v>0</v>
      </c>
      <c r="I1878" t="s">
        <v>24</v>
      </c>
      <c r="J1878" t="s">
        <v>25</v>
      </c>
      <c r="K1878">
        <v>0</v>
      </c>
      <c r="L1878">
        <v>0</v>
      </c>
      <c r="M1878" t="s">
        <v>25</v>
      </c>
      <c r="N1878" t="s">
        <v>25</v>
      </c>
      <c r="O1878" t="s">
        <v>26</v>
      </c>
      <c r="P1878" t="s">
        <v>25</v>
      </c>
      <c r="Q1878" t="s">
        <v>2023</v>
      </c>
      <c r="R1878" t="s">
        <v>1590</v>
      </c>
    </row>
    <row r="1879" spans="1:20">
      <c r="A1879">
        <v>1889</v>
      </c>
      <c r="B1879" t="s">
        <v>2108</v>
      </c>
      <c r="C1879" t="s">
        <v>36</v>
      </c>
      <c r="D1879" t="s">
        <v>22</v>
      </c>
      <c r="E1879" t="s">
        <v>1146</v>
      </c>
      <c r="F1879">
        <v>0</v>
      </c>
      <c r="G1879">
        <v>19</v>
      </c>
      <c r="H1879">
        <v>0</v>
      </c>
      <c r="I1879" t="s">
        <v>24</v>
      </c>
      <c r="J1879" t="s">
        <v>25</v>
      </c>
      <c r="K1879">
        <v>0</v>
      </c>
      <c r="L1879">
        <v>0</v>
      </c>
      <c r="M1879" t="s">
        <v>25</v>
      </c>
      <c r="N1879" t="s">
        <v>25</v>
      </c>
      <c r="O1879" t="s">
        <v>26</v>
      </c>
      <c r="P1879" t="s">
        <v>25</v>
      </c>
      <c r="Q1879" t="s">
        <v>2023</v>
      </c>
      <c r="R1879" t="s">
        <v>1590</v>
      </c>
      <c r="S1879" t="s">
        <v>231</v>
      </c>
      <c r="T1879" t="s">
        <v>1501</v>
      </c>
    </row>
    <row r="1880" spans="1:20">
      <c r="A1880">
        <v>1890</v>
      </c>
      <c r="B1880" t="s">
        <v>2109</v>
      </c>
      <c r="C1880" t="s">
        <v>21</v>
      </c>
      <c r="D1880" t="s">
        <v>22</v>
      </c>
      <c r="E1880" t="s">
        <v>23</v>
      </c>
      <c r="F1880">
        <v>0</v>
      </c>
      <c r="G1880">
        <v>19</v>
      </c>
      <c r="H1880">
        <v>0</v>
      </c>
      <c r="I1880" t="s">
        <v>24</v>
      </c>
      <c r="J1880" t="s">
        <v>25</v>
      </c>
      <c r="K1880">
        <v>0</v>
      </c>
      <c r="L1880">
        <v>0</v>
      </c>
      <c r="M1880" t="s">
        <v>25</v>
      </c>
      <c r="N1880" t="s">
        <v>25</v>
      </c>
      <c r="O1880" t="s">
        <v>26</v>
      </c>
      <c r="P1880" t="s">
        <v>25</v>
      </c>
      <c r="Q1880" t="s">
        <v>2023</v>
      </c>
      <c r="R1880" t="s">
        <v>1590</v>
      </c>
      <c r="S1880" t="s">
        <v>51</v>
      </c>
      <c r="T1880" t="s">
        <v>1816</v>
      </c>
    </row>
    <row r="1881" spans="1:20">
      <c r="A1881">
        <v>1891</v>
      </c>
      <c r="B1881" t="s">
        <v>2110</v>
      </c>
      <c r="C1881" t="s">
        <v>1130</v>
      </c>
      <c r="D1881" t="s">
        <v>22</v>
      </c>
      <c r="E1881" t="s">
        <v>23</v>
      </c>
      <c r="F1881">
        <v>0</v>
      </c>
      <c r="G1881">
        <v>19</v>
      </c>
      <c r="H1881">
        <v>0</v>
      </c>
      <c r="I1881" t="s">
        <v>24</v>
      </c>
      <c r="J1881" t="s">
        <v>25</v>
      </c>
      <c r="K1881">
        <v>0</v>
      </c>
      <c r="L1881">
        <v>0</v>
      </c>
      <c r="M1881" t="s">
        <v>25</v>
      </c>
      <c r="N1881" t="s">
        <v>25</v>
      </c>
      <c r="O1881" t="s">
        <v>26</v>
      </c>
      <c r="P1881" t="s">
        <v>25</v>
      </c>
      <c r="Q1881" t="s">
        <v>2023</v>
      </c>
      <c r="R1881" t="s">
        <v>1590</v>
      </c>
    </row>
    <row r="1882" spans="1:20">
      <c r="A1882">
        <v>1892</v>
      </c>
      <c r="B1882" t="s">
        <v>2111</v>
      </c>
      <c r="C1882" t="s">
        <v>102</v>
      </c>
      <c r="D1882" t="s">
        <v>22</v>
      </c>
      <c r="E1882" t="s">
        <v>23</v>
      </c>
      <c r="F1882">
        <v>0</v>
      </c>
      <c r="G1882">
        <v>19</v>
      </c>
      <c r="H1882">
        <v>0</v>
      </c>
      <c r="I1882" t="s">
        <v>24</v>
      </c>
      <c r="J1882" t="s">
        <v>25</v>
      </c>
      <c r="K1882">
        <v>0</v>
      </c>
      <c r="L1882">
        <v>0</v>
      </c>
      <c r="M1882" t="s">
        <v>25</v>
      </c>
      <c r="N1882" t="s">
        <v>25</v>
      </c>
      <c r="O1882" t="s">
        <v>26</v>
      </c>
      <c r="P1882" t="s">
        <v>25</v>
      </c>
      <c r="Q1882" t="s">
        <v>2023</v>
      </c>
      <c r="R1882" t="s">
        <v>1590</v>
      </c>
    </row>
    <row r="1883" spans="1:20">
      <c r="A1883">
        <v>1893</v>
      </c>
      <c r="B1883" t="s">
        <v>2112</v>
      </c>
      <c r="C1883" t="s">
        <v>102</v>
      </c>
      <c r="D1883" t="s">
        <v>22</v>
      </c>
      <c r="E1883" t="s">
        <v>23</v>
      </c>
      <c r="F1883">
        <v>0</v>
      </c>
      <c r="G1883">
        <v>19</v>
      </c>
      <c r="H1883">
        <v>0</v>
      </c>
      <c r="I1883" t="s">
        <v>24</v>
      </c>
      <c r="J1883" t="s">
        <v>25</v>
      </c>
      <c r="K1883">
        <v>0</v>
      </c>
      <c r="L1883">
        <v>0</v>
      </c>
      <c r="M1883" t="s">
        <v>25</v>
      </c>
      <c r="N1883" t="s">
        <v>25</v>
      </c>
      <c r="O1883" t="s">
        <v>26</v>
      </c>
      <c r="P1883" t="s">
        <v>25</v>
      </c>
      <c r="Q1883" t="s">
        <v>2023</v>
      </c>
      <c r="R1883" t="s">
        <v>1590</v>
      </c>
    </row>
    <row r="1884" spans="1:20">
      <c r="A1884">
        <v>1894</v>
      </c>
      <c r="B1884" t="s">
        <v>2113</v>
      </c>
      <c r="C1884" t="s">
        <v>102</v>
      </c>
      <c r="D1884" t="s">
        <v>22</v>
      </c>
      <c r="E1884" t="s">
        <v>23</v>
      </c>
      <c r="F1884">
        <v>0</v>
      </c>
      <c r="G1884">
        <v>19</v>
      </c>
      <c r="H1884">
        <v>0</v>
      </c>
      <c r="I1884" t="s">
        <v>24</v>
      </c>
      <c r="J1884" t="s">
        <v>25</v>
      </c>
      <c r="K1884">
        <v>0</v>
      </c>
      <c r="L1884">
        <v>0</v>
      </c>
      <c r="M1884" t="s">
        <v>25</v>
      </c>
      <c r="N1884" t="s">
        <v>25</v>
      </c>
      <c r="O1884" t="s">
        <v>26</v>
      </c>
      <c r="P1884" t="s">
        <v>25</v>
      </c>
      <c r="Q1884" t="s">
        <v>2023</v>
      </c>
      <c r="R1884" t="s">
        <v>1590</v>
      </c>
    </row>
    <row r="1885" spans="1:20">
      <c r="A1885">
        <v>1895</v>
      </c>
      <c r="B1885" t="s">
        <v>2114</v>
      </c>
      <c r="C1885" t="s">
        <v>102</v>
      </c>
      <c r="D1885" t="s">
        <v>22</v>
      </c>
      <c r="E1885" t="s">
        <v>23</v>
      </c>
      <c r="F1885">
        <v>0</v>
      </c>
      <c r="G1885">
        <v>19</v>
      </c>
      <c r="H1885">
        <v>0</v>
      </c>
      <c r="I1885" t="s">
        <v>24</v>
      </c>
      <c r="J1885" t="s">
        <v>25</v>
      </c>
      <c r="K1885">
        <v>0</v>
      </c>
      <c r="L1885">
        <v>0</v>
      </c>
      <c r="M1885" t="s">
        <v>25</v>
      </c>
      <c r="N1885" t="s">
        <v>25</v>
      </c>
      <c r="O1885" t="s">
        <v>26</v>
      </c>
      <c r="P1885" t="s">
        <v>25</v>
      </c>
      <c r="Q1885" t="s">
        <v>2023</v>
      </c>
      <c r="R1885" t="s">
        <v>1590</v>
      </c>
    </row>
    <row r="1886" spans="1:20">
      <c r="A1886">
        <v>1896</v>
      </c>
      <c r="B1886" t="s">
        <v>2115</v>
      </c>
      <c r="C1886" t="s">
        <v>102</v>
      </c>
      <c r="D1886" t="s">
        <v>22</v>
      </c>
      <c r="E1886" t="s">
        <v>23</v>
      </c>
      <c r="F1886">
        <v>0</v>
      </c>
      <c r="G1886">
        <v>19</v>
      </c>
      <c r="H1886">
        <v>0</v>
      </c>
      <c r="I1886" t="s">
        <v>24</v>
      </c>
      <c r="J1886" t="s">
        <v>25</v>
      </c>
      <c r="K1886">
        <v>0</v>
      </c>
      <c r="L1886">
        <v>0</v>
      </c>
      <c r="M1886" t="s">
        <v>25</v>
      </c>
      <c r="N1886" t="s">
        <v>25</v>
      </c>
      <c r="O1886" t="s">
        <v>26</v>
      </c>
      <c r="P1886" t="s">
        <v>25</v>
      </c>
      <c r="Q1886" t="s">
        <v>2023</v>
      </c>
      <c r="R1886" t="s">
        <v>1590</v>
      </c>
    </row>
    <row r="1887" spans="1:20">
      <c r="A1887">
        <v>1897</v>
      </c>
      <c r="B1887" t="s">
        <v>2116</v>
      </c>
      <c r="C1887" t="s">
        <v>102</v>
      </c>
      <c r="D1887" t="s">
        <v>22</v>
      </c>
      <c r="E1887" t="s">
        <v>23</v>
      </c>
      <c r="F1887">
        <v>0</v>
      </c>
      <c r="G1887">
        <v>19</v>
      </c>
      <c r="H1887">
        <v>0</v>
      </c>
      <c r="I1887" t="s">
        <v>24</v>
      </c>
      <c r="J1887" t="s">
        <v>25</v>
      </c>
      <c r="K1887">
        <v>0</v>
      </c>
      <c r="L1887">
        <v>0</v>
      </c>
      <c r="M1887" t="s">
        <v>25</v>
      </c>
      <c r="N1887" t="s">
        <v>25</v>
      </c>
      <c r="O1887" t="s">
        <v>26</v>
      </c>
      <c r="P1887" t="s">
        <v>25</v>
      </c>
      <c r="Q1887" t="s">
        <v>2023</v>
      </c>
      <c r="R1887" t="s">
        <v>1590</v>
      </c>
    </row>
    <row r="1888" spans="1:20">
      <c r="A1888">
        <v>1898</v>
      </c>
      <c r="B1888" t="s">
        <v>2117</v>
      </c>
      <c r="C1888" t="s">
        <v>102</v>
      </c>
      <c r="D1888" t="s">
        <v>22</v>
      </c>
      <c r="E1888" t="s">
        <v>23</v>
      </c>
      <c r="F1888">
        <v>0</v>
      </c>
      <c r="G1888">
        <v>19</v>
      </c>
      <c r="H1888">
        <v>0</v>
      </c>
      <c r="I1888" t="s">
        <v>24</v>
      </c>
      <c r="J1888" t="s">
        <v>25</v>
      </c>
      <c r="K1888">
        <v>0</v>
      </c>
      <c r="L1888">
        <v>0</v>
      </c>
      <c r="M1888" t="s">
        <v>25</v>
      </c>
      <c r="N1888" t="s">
        <v>25</v>
      </c>
      <c r="O1888" t="s">
        <v>26</v>
      </c>
      <c r="P1888" t="s">
        <v>25</v>
      </c>
      <c r="Q1888" t="s">
        <v>2023</v>
      </c>
      <c r="R1888" t="s">
        <v>1590</v>
      </c>
    </row>
    <row r="1889" spans="1:20">
      <c r="A1889">
        <v>1899</v>
      </c>
      <c r="B1889" t="s">
        <v>2118</v>
      </c>
      <c r="C1889" t="s">
        <v>102</v>
      </c>
      <c r="D1889" t="s">
        <v>22</v>
      </c>
      <c r="E1889" t="s">
        <v>23</v>
      </c>
      <c r="F1889">
        <v>0</v>
      </c>
      <c r="G1889">
        <v>0</v>
      </c>
      <c r="H1889">
        <v>0</v>
      </c>
      <c r="I1889" t="s">
        <v>24</v>
      </c>
      <c r="J1889" t="s">
        <v>25</v>
      </c>
      <c r="K1889">
        <v>0</v>
      </c>
      <c r="L1889">
        <v>0</v>
      </c>
      <c r="M1889" t="s">
        <v>25</v>
      </c>
      <c r="N1889" t="s">
        <v>25</v>
      </c>
      <c r="O1889" t="s">
        <v>26</v>
      </c>
      <c r="P1889" t="s">
        <v>25</v>
      </c>
      <c r="Q1889" t="s">
        <v>2023</v>
      </c>
      <c r="R1889" t="s">
        <v>1590</v>
      </c>
    </row>
    <row r="1890" spans="1:20">
      <c r="A1890">
        <v>1900</v>
      </c>
      <c r="B1890" t="s">
        <v>2119</v>
      </c>
      <c r="C1890" t="s">
        <v>102</v>
      </c>
      <c r="D1890" t="s">
        <v>559</v>
      </c>
      <c r="E1890" t="s">
        <v>23</v>
      </c>
      <c r="F1890">
        <v>0</v>
      </c>
      <c r="G1890">
        <v>19</v>
      </c>
      <c r="H1890">
        <v>0</v>
      </c>
      <c r="I1890" t="s">
        <v>24</v>
      </c>
      <c r="J1890" t="s">
        <v>25</v>
      </c>
      <c r="K1890">
        <v>0</v>
      </c>
      <c r="L1890">
        <v>0</v>
      </c>
      <c r="M1890" t="s">
        <v>25</v>
      </c>
      <c r="N1890" t="s">
        <v>25</v>
      </c>
      <c r="O1890" t="s">
        <v>26</v>
      </c>
      <c r="P1890" t="s">
        <v>25</v>
      </c>
      <c r="Q1890" t="s">
        <v>2023</v>
      </c>
      <c r="R1890" t="s">
        <v>1590</v>
      </c>
    </row>
    <row r="1891" spans="1:20">
      <c r="A1891">
        <v>1901</v>
      </c>
      <c r="B1891" t="s">
        <v>2120</v>
      </c>
      <c r="C1891" t="s">
        <v>102</v>
      </c>
      <c r="D1891" t="s">
        <v>22</v>
      </c>
      <c r="E1891" t="s">
        <v>23</v>
      </c>
      <c r="F1891">
        <v>0</v>
      </c>
      <c r="G1891">
        <v>19</v>
      </c>
      <c r="H1891">
        <v>0</v>
      </c>
      <c r="I1891" t="s">
        <v>24</v>
      </c>
      <c r="J1891" t="s">
        <v>25</v>
      </c>
      <c r="K1891">
        <v>0</v>
      </c>
      <c r="L1891">
        <v>0</v>
      </c>
      <c r="M1891" t="s">
        <v>25</v>
      </c>
      <c r="N1891" t="s">
        <v>25</v>
      </c>
      <c r="O1891" t="s">
        <v>26</v>
      </c>
      <c r="P1891" t="s">
        <v>25</v>
      </c>
      <c r="Q1891" t="s">
        <v>2023</v>
      </c>
      <c r="R1891" t="s">
        <v>1590</v>
      </c>
    </row>
    <row r="1892" spans="1:20">
      <c r="A1892">
        <v>1902</v>
      </c>
      <c r="B1892" t="s">
        <v>2121</v>
      </c>
      <c r="C1892" t="s">
        <v>102</v>
      </c>
      <c r="D1892" t="s">
        <v>22</v>
      </c>
      <c r="E1892" t="s">
        <v>23</v>
      </c>
      <c r="F1892">
        <v>0</v>
      </c>
      <c r="G1892">
        <v>19</v>
      </c>
      <c r="H1892">
        <v>0</v>
      </c>
      <c r="I1892" t="s">
        <v>24</v>
      </c>
      <c r="J1892" t="s">
        <v>25</v>
      </c>
      <c r="K1892">
        <v>0</v>
      </c>
      <c r="L1892">
        <v>0</v>
      </c>
      <c r="M1892" t="s">
        <v>25</v>
      </c>
      <c r="N1892" t="s">
        <v>25</v>
      </c>
      <c r="O1892" t="s">
        <v>26</v>
      </c>
      <c r="P1892" t="s">
        <v>25</v>
      </c>
      <c r="Q1892" t="s">
        <v>2023</v>
      </c>
      <c r="R1892" t="s">
        <v>1590</v>
      </c>
    </row>
    <row r="1893" spans="1:20">
      <c r="A1893">
        <v>1903</v>
      </c>
      <c r="B1893" t="s">
        <v>2122</v>
      </c>
      <c r="C1893" t="s">
        <v>102</v>
      </c>
      <c r="D1893" t="s">
        <v>22</v>
      </c>
      <c r="E1893" t="s">
        <v>23</v>
      </c>
      <c r="F1893">
        <v>0</v>
      </c>
      <c r="G1893">
        <v>19</v>
      </c>
      <c r="H1893">
        <v>0</v>
      </c>
      <c r="I1893" t="s">
        <v>24</v>
      </c>
      <c r="J1893" t="s">
        <v>25</v>
      </c>
      <c r="K1893">
        <v>0</v>
      </c>
      <c r="L1893">
        <v>0</v>
      </c>
      <c r="M1893" t="s">
        <v>25</v>
      </c>
      <c r="N1893" t="s">
        <v>25</v>
      </c>
      <c r="O1893" t="s">
        <v>26</v>
      </c>
      <c r="P1893" t="s">
        <v>25</v>
      </c>
      <c r="Q1893" t="s">
        <v>2023</v>
      </c>
      <c r="R1893" t="s">
        <v>1590</v>
      </c>
    </row>
    <row r="1894" spans="1:20">
      <c r="A1894">
        <v>1904</v>
      </c>
      <c r="B1894" t="s">
        <v>2123</v>
      </c>
      <c r="C1894" t="s">
        <v>102</v>
      </c>
      <c r="D1894" t="s">
        <v>22</v>
      </c>
      <c r="E1894" t="s">
        <v>23</v>
      </c>
      <c r="F1894">
        <v>0</v>
      </c>
      <c r="G1894">
        <v>19</v>
      </c>
      <c r="H1894">
        <v>0</v>
      </c>
      <c r="I1894" t="s">
        <v>24</v>
      </c>
      <c r="J1894" t="s">
        <v>25</v>
      </c>
      <c r="K1894">
        <v>0</v>
      </c>
      <c r="L1894">
        <v>0</v>
      </c>
      <c r="M1894" t="s">
        <v>25</v>
      </c>
      <c r="N1894" t="s">
        <v>25</v>
      </c>
      <c r="O1894" t="s">
        <v>26</v>
      </c>
      <c r="P1894" t="s">
        <v>25</v>
      </c>
      <c r="Q1894" t="s">
        <v>2023</v>
      </c>
      <c r="R1894" t="s">
        <v>1590</v>
      </c>
    </row>
    <row r="1895" spans="1:20">
      <c r="A1895">
        <v>1905</v>
      </c>
      <c r="B1895" t="s">
        <v>2124</v>
      </c>
      <c r="C1895" t="s">
        <v>102</v>
      </c>
      <c r="D1895" t="s">
        <v>22</v>
      </c>
      <c r="E1895" t="s">
        <v>23</v>
      </c>
      <c r="F1895">
        <v>0</v>
      </c>
      <c r="G1895">
        <v>19</v>
      </c>
      <c r="H1895">
        <v>0</v>
      </c>
      <c r="I1895" t="s">
        <v>24</v>
      </c>
      <c r="J1895" t="s">
        <v>25</v>
      </c>
      <c r="K1895">
        <v>0</v>
      </c>
      <c r="L1895">
        <v>0</v>
      </c>
      <c r="M1895" t="s">
        <v>25</v>
      </c>
      <c r="N1895" t="s">
        <v>25</v>
      </c>
      <c r="O1895" t="s">
        <v>26</v>
      </c>
      <c r="P1895" t="s">
        <v>25</v>
      </c>
      <c r="Q1895" t="s">
        <v>2023</v>
      </c>
      <c r="R1895" t="s">
        <v>1590</v>
      </c>
    </row>
    <row r="1896" spans="1:20">
      <c r="A1896">
        <v>1906</v>
      </c>
      <c r="B1896" t="s">
        <v>2125</v>
      </c>
      <c r="C1896" t="s">
        <v>102</v>
      </c>
      <c r="D1896" t="s">
        <v>22</v>
      </c>
      <c r="E1896" t="s">
        <v>23</v>
      </c>
      <c r="F1896">
        <v>0</v>
      </c>
      <c r="G1896">
        <v>19</v>
      </c>
      <c r="H1896">
        <v>0</v>
      </c>
      <c r="I1896" t="s">
        <v>24</v>
      </c>
      <c r="J1896" t="s">
        <v>25</v>
      </c>
      <c r="K1896">
        <v>0</v>
      </c>
      <c r="L1896">
        <v>0</v>
      </c>
      <c r="M1896" t="s">
        <v>25</v>
      </c>
      <c r="N1896" t="s">
        <v>25</v>
      </c>
      <c r="O1896" t="s">
        <v>26</v>
      </c>
      <c r="P1896" t="s">
        <v>25</v>
      </c>
      <c r="Q1896" t="s">
        <v>2023</v>
      </c>
      <c r="R1896" t="s">
        <v>1590</v>
      </c>
    </row>
    <row r="1897" spans="1:20">
      <c r="A1897">
        <v>1907</v>
      </c>
      <c r="B1897" t="s">
        <v>2126</v>
      </c>
      <c r="C1897" t="s">
        <v>102</v>
      </c>
      <c r="D1897" t="s">
        <v>22</v>
      </c>
      <c r="E1897" t="s">
        <v>23</v>
      </c>
      <c r="F1897">
        <v>0</v>
      </c>
      <c r="G1897">
        <v>19</v>
      </c>
      <c r="H1897">
        <v>0</v>
      </c>
      <c r="I1897" t="s">
        <v>24</v>
      </c>
      <c r="J1897" t="s">
        <v>25</v>
      </c>
      <c r="K1897">
        <v>0</v>
      </c>
      <c r="L1897">
        <v>0</v>
      </c>
      <c r="M1897" t="s">
        <v>25</v>
      </c>
      <c r="N1897" t="s">
        <v>25</v>
      </c>
      <c r="O1897" t="s">
        <v>26</v>
      </c>
      <c r="P1897" t="s">
        <v>25</v>
      </c>
      <c r="Q1897" t="s">
        <v>2023</v>
      </c>
      <c r="R1897" t="s">
        <v>1590</v>
      </c>
    </row>
    <row r="1898" spans="1:20">
      <c r="A1898">
        <v>1908</v>
      </c>
      <c r="B1898" t="s">
        <v>2127</v>
      </c>
      <c r="C1898" t="s">
        <v>102</v>
      </c>
      <c r="D1898" t="s">
        <v>22</v>
      </c>
      <c r="E1898" t="s">
        <v>23</v>
      </c>
      <c r="F1898">
        <v>0</v>
      </c>
      <c r="G1898">
        <v>19</v>
      </c>
      <c r="H1898">
        <v>0</v>
      </c>
      <c r="I1898" t="s">
        <v>24</v>
      </c>
      <c r="J1898" t="s">
        <v>25</v>
      </c>
      <c r="K1898">
        <v>0</v>
      </c>
      <c r="L1898">
        <v>0</v>
      </c>
      <c r="M1898" t="s">
        <v>25</v>
      </c>
      <c r="N1898" t="s">
        <v>25</v>
      </c>
      <c r="O1898" t="s">
        <v>26</v>
      </c>
      <c r="P1898" t="s">
        <v>25</v>
      </c>
      <c r="Q1898" t="s">
        <v>2023</v>
      </c>
      <c r="R1898" t="s">
        <v>1590</v>
      </c>
    </row>
    <row r="1899" spans="1:20">
      <c r="A1899">
        <v>1909</v>
      </c>
      <c r="B1899" t="s">
        <v>2128</v>
      </c>
      <c r="C1899" t="s">
        <v>102</v>
      </c>
      <c r="D1899" t="s">
        <v>22</v>
      </c>
      <c r="E1899" t="s">
        <v>23</v>
      </c>
      <c r="F1899">
        <v>0</v>
      </c>
      <c r="G1899">
        <v>19</v>
      </c>
      <c r="H1899">
        <v>0</v>
      </c>
      <c r="I1899" t="s">
        <v>24</v>
      </c>
      <c r="J1899" t="s">
        <v>25</v>
      </c>
      <c r="K1899">
        <v>0</v>
      </c>
      <c r="L1899">
        <v>0</v>
      </c>
      <c r="M1899" t="s">
        <v>25</v>
      </c>
      <c r="N1899" t="s">
        <v>25</v>
      </c>
      <c r="O1899" t="s">
        <v>26</v>
      </c>
      <c r="P1899" t="s">
        <v>25</v>
      </c>
      <c r="Q1899" t="s">
        <v>2023</v>
      </c>
      <c r="R1899" t="s">
        <v>1590</v>
      </c>
    </row>
    <row r="1900" spans="1:20">
      <c r="A1900">
        <v>1910</v>
      </c>
      <c r="B1900" t="s">
        <v>2129</v>
      </c>
      <c r="C1900" t="s">
        <v>102</v>
      </c>
      <c r="D1900" t="s">
        <v>22</v>
      </c>
      <c r="E1900" t="s">
        <v>23</v>
      </c>
      <c r="F1900">
        <v>0</v>
      </c>
      <c r="G1900">
        <v>19</v>
      </c>
      <c r="H1900">
        <v>0</v>
      </c>
      <c r="I1900" t="s">
        <v>24</v>
      </c>
      <c r="J1900" t="s">
        <v>25</v>
      </c>
      <c r="K1900">
        <v>0</v>
      </c>
      <c r="L1900">
        <v>0</v>
      </c>
      <c r="M1900" t="s">
        <v>25</v>
      </c>
      <c r="N1900" t="s">
        <v>25</v>
      </c>
      <c r="O1900" t="s">
        <v>26</v>
      </c>
      <c r="P1900" t="s">
        <v>25</v>
      </c>
      <c r="Q1900" t="s">
        <v>2023</v>
      </c>
      <c r="R1900" t="s">
        <v>1590</v>
      </c>
      <c r="S1900" t="s">
        <v>231</v>
      </c>
      <c r="T1900" t="s">
        <v>1747</v>
      </c>
    </row>
    <row r="1901" spans="1:20">
      <c r="A1901">
        <v>1911</v>
      </c>
      <c r="B1901" t="s">
        <v>2130</v>
      </c>
      <c r="C1901" t="s">
        <v>102</v>
      </c>
      <c r="D1901" t="s">
        <v>22</v>
      </c>
      <c r="E1901" t="s">
        <v>23</v>
      </c>
      <c r="F1901">
        <v>0</v>
      </c>
      <c r="G1901">
        <v>19</v>
      </c>
      <c r="H1901">
        <v>0</v>
      </c>
      <c r="I1901" t="s">
        <v>24</v>
      </c>
      <c r="J1901" t="s">
        <v>25</v>
      </c>
      <c r="K1901">
        <v>0</v>
      </c>
      <c r="L1901">
        <v>0</v>
      </c>
      <c r="M1901" t="s">
        <v>25</v>
      </c>
      <c r="N1901" t="s">
        <v>25</v>
      </c>
      <c r="O1901" t="s">
        <v>26</v>
      </c>
      <c r="P1901" t="s">
        <v>25</v>
      </c>
      <c r="Q1901" t="s">
        <v>2023</v>
      </c>
      <c r="R1901" t="s">
        <v>1590</v>
      </c>
    </row>
    <row r="1902" spans="1:20">
      <c r="A1902">
        <v>1912</v>
      </c>
      <c r="B1902" t="s">
        <v>2131</v>
      </c>
      <c r="C1902" t="s">
        <v>102</v>
      </c>
      <c r="D1902" t="s">
        <v>22</v>
      </c>
      <c r="E1902" t="s">
        <v>23</v>
      </c>
      <c r="F1902">
        <v>0</v>
      </c>
      <c r="G1902">
        <v>19</v>
      </c>
      <c r="H1902">
        <v>0</v>
      </c>
      <c r="I1902" t="s">
        <v>24</v>
      </c>
      <c r="J1902" t="s">
        <v>25</v>
      </c>
      <c r="K1902">
        <v>0</v>
      </c>
      <c r="L1902">
        <v>0</v>
      </c>
      <c r="M1902" t="s">
        <v>25</v>
      </c>
      <c r="N1902" t="s">
        <v>25</v>
      </c>
      <c r="O1902" t="s">
        <v>26</v>
      </c>
      <c r="P1902" t="s">
        <v>25</v>
      </c>
      <c r="Q1902" t="s">
        <v>2023</v>
      </c>
      <c r="R1902" t="s">
        <v>1590</v>
      </c>
    </row>
    <row r="1903" spans="1:20">
      <c r="A1903">
        <v>1913</v>
      </c>
      <c r="B1903" t="s">
        <v>2132</v>
      </c>
      <c r="C1903" t="s">
        <v>102</v>
      </c>
      <c r="D1903" t="s">
        <v>22</v>
      </c>
      <c r="E1903" t="s">
        <v>23</v>
      </c>
      <c r="F1903">
        <v>0</v>
      </c>
      <c r="G1903">
        <v>19</v>
      </c>
      <c r="H1903">
        <v>0</v>
      </c>
      <c r="I1903" t="s">
        <v>24</v>
      </c>
      <c r="J1903" t="s">
        <v>25</v>
      </c>
      <c r="K1903">
        <v>0</v>
      </c>
      <c r="L1903">
        <v>0</v>
      </c>
      <c r="M1903" t="s">
        <v>25</v>
      </c>
      <c r="N1903" t="s">
        <v>25</v>
      </c>
      <c r="O1903" t="s">
        <v>26</v>
      </c>
      <c r="P1903" t="s">
        <v>25</v>
      </c>
      <c r="Q1903" t="s">
        <v>2023</v>
      </c>
      <c r="R1903" t="s">
        <v>1590</v>
      </c>
    </row>
    <row r="1904" spans="1:20">
      <c r="A1904">
        <v>1914</v>
      </c>
      <c r="B1904" t="s">
        <v>2133</v>
      </c>
      <c r="C1904" t="s">
        <v>102</v>
      </c>
      <c r="D1904" t="s">
        <v>22</v>
      </c>
      <c r="E1904" t="s">
        <v>23</v>
      </c>
      <c r="F1904">
        <v>0</v>
      </c>
      <c r="G1904">
        <v>19</v>
      </c>
      <c r="H1904">
        <v>0</v>
      </c>
      <c r="I1904" t="s">
        <v>24</v>
      </c>
      <c r="J1904" t="s">
        <v>25</v>
      </c>
      <c r="K1904">
        <v>0</v>
      </c>
      <c r="L1904">
        <v>0</v>
      </c>
      <c r="M1904" t="s">
        <v>25</v>
      </c>
      <c r="N1904" t="s">
        <v>25</v>
      </c>
      <c r="O1904" t="s">
        <v>26</v>
      </c>
      <c r="P1904" t="s">
        <v>25</v>
      </c>
      <c r="Q1904" t="s">
        <v>2023</v>
      </c>
      <c r="R1904" t="s">
        <v>1590</v>
      </c>
    </row>
    <row r="1905" spans="1:20">
      <c r="A1905">
        <v>1915</v>
      </c>
      <c r="B1905" t="s">
        <v>2134</v>
      </c>
      <c r="C1905" t="s">
        <v>102</v>
      </c>
      <c r="D1905" t="s">
        <v>22</v>
      </c>
      <c r="E1905" t="s">
        <v>23</v>
      </c>
      <c r="F1905">
        <v>0</v>
      </c>
      <c r="G1905">
        <v>19</v>
      </c>
      <c r="H1905">
        <v>0</v>
      </c>
      <c r="I1905" t="s">
        <v>24</v>
      </c>
      <c r="J1905" t="s">
        <v>25</v>
      </c>
      <c r="K1905">
        <v>0</v>
      </c>
      <c r="L1905">
        <v>0</v>
      </c>
      <c r="M1905" t="s">
        <v>25</v>
      </c>
      <c r="N1905" t="s">
        <v>25</v>
      </c>
      <c r="O1905" t="s">
        <v>26</v>
      </c>
      <c r="P1905" t="s">
        <v>25</v>
      </c>
      <c r="Q1905" t="s">
        <v>2023</v>
      </c>
      <c r="R1905" t="s">
        <v>1590</v>
      </c>
    </row>
    <row r="1906" spans="1:20">
      <c r="A1906">
        <v>1916</v>
      </c>
      <c r="B1906" t="s">
        <v>2135</v>
      </c>
      <c r="C1906" t="s">
        <v>102</v>
      </c>
      <c r="D1906" t="s">
        <v>22</v>
      </c>
      <c r="E1906" t="s">
        <v>23</v>
      </c>
      <c r="F1906">
        <v>0</v>
      </c>
      <c r="G1906">
        <v>19</v>
      </c>
      <c r="H1906">
        <v>0</v>
      </c>
      <c r="I1906" t="s">
        <v>24</v>
      </c>
      <c r="J1906" t="s">
        <v>25</v>
      </c>
      <c r="K1906">
        <v>0</v>
      </c>
      <c r="L1906">
        <v>0</v>
      </c>
      <c r="M1906" t="s">
        <v>25</v>
      </c>
      <c r="N1906" t="s">
        <v>25</v>
      </c>
      <c r="O1906" t="s">
        <v>26</v>
      </c>
      <c r="P1906" t="s">
        <v>25</v>
      </c>
      <c r="Q1906" t="s">
        <v>2023</v>
      </c>
      <c r="R1906" t="s">
        <v>1590</v>
      </c>
    </row>
    <row r="1907" spans="1:20">
      <c r="A1907">
        <v>1917</v>
      </c>
      <c r="B1907" t="s">
        <v>2136</v>
      </c>
      <c r="C1907" t="s">
        <v>102</v>
      </c>
      <c r="D1907" t="s">
        <v>22</v>
      </c>
      <c r="E1907" t="s">
        <v>23</v>
      </c>
      <c r="F1907">
        <v>0</v>
      </c>
      <c r="G1907">
        <v>19</v>
      </c>
      <c r="H1907">
        <v>0</v>
      </c>
      <c r="I1907" t="s">
        <v>24</v>
      </c>
      <c r="J1907" t="s">
        <v>25</v>
      </c>
      <c r="K1907">
        <v>0</v>
      </c>
      <c r="L1907">
        <v>0</v>
      </c>
      <c r="M1907" t="s">
        <v>25</v>
      </c>
      <c r="N1907" t="s">
        <v>25</v>
      </c>
      <c r="O1907" t="s">
        <v>26</v>
      </c>
      <c r="P1907" t="s">
        <v>25</v>
      </c>
      <c r="Q1907" t="s">
        <v>2023</v>
      </c>
      <c r="R1907" t="s">
        <v>1590</v>
      </c>
    </row>
    <row r="1908" spans="1:20">
      <c r="A1908">
        <v>1918</v>
      </c>
      <c r="B1908" t="s">
        <v>2137</v>
      </c>
      <c r="C1908" t="s">
        <v>102</v>
      </c>
      <c r="D1908" t="s">
        <v>22</v>
      </c>
      <c r="E1908" t="s">
        <v>23</v>
      </c>
      <c r="F1908">
        <v>0</v>
      </c>
      <c r="G1908">
        <v>19</v>
      </c>
      <c r="H1908">
        <v>0</v>
      </c>
      <c r="I1908" t="s">
        <v>24</v>
      </c>
      <c r="J1908" t="s">
        <v>25</v>
      </c>
      <c r="K1908">
        <v>0</v>
      </c>
      <c r="L1908">
        <v>0</v>
      </c>
      <c r="M1908" t="s">
        <v>25</v>
      </c>
      <c r="N1908" t="s">
        <v>25</v>
      </c>
      <c r="O1908" t="s">
        <v>26</v>
      </c>
      <c r="P1908" t="s">
        <v>25</v>
      </c>
      <c r="Q1908" t="s">
        <v>2023</v>
      </c>
      <c r="R1908" t="s">
        <v>1590</v>
      </c>
    </row>
    <row r="1909" spans="1:20">
      <c r="A1909">
        <v>1919</v>
      </c>
      <c r="B1909" t="s">
        <v>2138</v>
      </c>
      <c r="C1909" t="s">
        <v>102</v>
      </c>
      <c r="D1909" t="s">
        <v>22</v>
      </c>
      <c r="E1909" t="s">
        <v>23</v>
      </c>
      <c r="F1909">
        <v>0</v>
      </c>
      <c r="G1909">
        <v>19</v>
      </c>
      <c r="H1909">
        <v>0</v>
      </c>
      <c r="I1909" t="s">
        <v>24</v>
      </c>
      <c r="J1909" t="s">
        <v>25</v>
      </c>
      <c r="K1909">
        <v>0</v>
      </c>
      <c r="L1909">
        <v>0</v>
      </c>
      <c r="M1909" t="s">
        <v>25</v>
      </c>
      <c r="N1909" t="s">
        <v>25</v>
      </c>
      <c r="O1909" t="s">
        <v>26</v>
      </c>
      <c r="P1909" t="s">
        <v>25</v>
      </c>
      <c r="Q1909" t="s">
        <v>2023</v>
      </c>
      <c r="R1909" t="s">
        <v>1590</v>
      </c>
    </row>
    <row r="1910" spans="1:20">
      <c r="A1910">
        <v>1920</v>
      </c>
      <c r="B1910" t="s">
        <v>2139</v>
      </c>
      <c r="C1910" t="s">
        <v>102</v>
      </c>
      <c r="D1910" t="s">
        <v>22</v>
      </c>
      <c r="E1910" t="s">
        <v>23</v>
      </c>
      <c r="F1910">
        <v>0</v>
      </c>
      <c r="G1910">
        <v>19</v>
      </c>
      <c r="H1910">
        <v>0</v>
      </c>
      <c r="I1910" t="s">
        <v>24</v>
      </c>
      <c r="J1910" t="s">
        <v>25</v>
      </c>
      <c r="K1910">
        <v>0</v>
      </c>
      <c r="L1910">
        <v>0</v>
      </c>
      <c r="M1910" t="s">
        <v>25</v>
      </c>
      <c r="N1910" t="s">
        <v>25</v>
      </c>
      <c r="O1910" t="s">
        <v>26</v>
      </c>
      <c r="P1910" t="s">
        <v>25</v>
      </c>
      <c r="Q1910" t="s">
        <v>2023</v>
      </c>
      <c r="R1910" t="s">
        <v>1590</v>
      </c>
    </row>
    <row r="1911" spans="1:20">
      <c r="A1911">
        <v>1921</v>
      </c>
      <c r="B1911" t="s">
        <v>2140</v>
      </c>
      <c r="C1911" t="s">
        <v>102</v>
      </c>
      <c r="D1911" t="s">
        <v>22</v>
      </c>
      <c r="E1911" t="s">
        <v>23</v>
      </c>
      <c r="F1911">
        <v>0</v>
      </c>
      <c r="G1911">
        <v>19</v>
      </c>
      <c r="H1911">
        <v>0</v>
      </c>
      <c r="I1911" t="s">
        <v>24</v>
      </c>
      <c r="J1911" t="s">
        <v>25</v>
      </c>
      <c r="K1911">
        <v>0</v>
      </c>
      <c r="L1911">
        <v>0</v>
      </c>
      <c r="M1911" t="s">
        <v>25</v>
      </c>
      <c r="N1911" t="s">
        <v>25</v>
      </c>
      <c r="O1911" t="s">
        <v>26</v>
      </c>
      <c r="P1911" t="s">
        <v>25</v>
      </c>
      <c r="Q1911" t="s">
        <v>2023</v>
      </c>
      <c r="R1911" t="s">
        <v>1590</v>
      </c>
    </row>
    <row r="1912" spans="1:20">
      <c r="A1912">
        <v>1922</v>
      </c>
      <c r="B1912" t="s">
        <v>2141</v>
      </c>
      <c r="C1912" t="s">
        <v>102</v>
      </c>
      <c r="D1912" t="s">
        <v>22</v>
      </c>
      <c r="E1912" t="s">
        <v>23</v>
      </c>
      <c r="F1912">
        <v>0</v>
      </c>
      <c r="G1912">
        <v>19</v>
      </c>
      <c r="H1912">
        <v>0</v>
      </c>
      <c r="I1912" t="s">
        <v>24</v>
      </c>
      <c r="J1912" t="s">
        <v>25</v>
      </c>
      <c r="K1912">
        <v>0</v>
      </c>
      <c r="L1912">
        <v>0</v>
      </c>
      <c r="M1912" t="s">
        <v>25</v>
      </c>
      <c r="N1912" t="s">
        <v>25</v>
      </c>
      <c r="O1912" t="s">
        <v>26</v>
      </c>
      <c r="P1912" t="s">
        <v>25</v>
      </c>
      <c r="Q1912" t="s">
        <v>2023</v>
      </c>
      <c r="R1912" t="s">
        <v>1590</v>
      </c>
    </row>
    <row r="1913" spans="1:20">
      <c r="A1913">
        <v>1923</v>
      </c>
      <c r="B1913" t="s">
        <v>2142</v>
      </c>
      <c r="C1913" t="s">
        <v>102</v>
      </c>
      <c r="D1913" t="s">
        <v>22</v>
      </c>
      <c r="E1913" t="s">
        <v>23</v>
      </c>
      <c r="F1913">
        <v>0</v>
      </c>
      <c r="G1913">
        <v>19</v>
      </c>
      <c r="H1913">
        <v>0</v>
      </c>
      <c r="I1913" t="s">
        <v>24</v>
      </c>
      <c r="J1913" t="s">
        <v>25</v>
      </c>
      <c r="K1913">
        <v>0</v>
      </c>
      <c r="L1913">
        <v>0</v>
      </c>
      <c r="M1913" t="s">
        <v>25</v>
      </c>
      <c r="N1913" t="s">
        <v>25</v>
      </c>
      <c r="O1913" t="s">
        <v>26</v>
      </c>
      <c r="P1913" t="s">
        <v>25</v>
      </c>
      <c r="Q1913" t="s">
        <v>2023</v>
      </c>
      <c r="R1913" t="s">
        <v>1590</v>
      </c>
    </row>
    <row r="1914" spans="1:20">
      <c r="A1914">
        <v>1924</v>
      </c>
      <c r="B1914" t="s">
        <v>2143</v>
      </c>
      <c r="C1914" t="s">
        <v>1130</v>
      </c>
      <c r="D1914" t="s">
        <v>22</v>
      </c>
      <c r="E1914" t="s">
        <v>23</v>
      </c>
      <c r="F1914">
        <v>0</v>
      </c>
      <c r="G1914">
        <v>19</v>
      </c>
      <c r="H1914">
        <v>0</v>
      </c>
      <c r="I1914" t="s">
        <v>24</v>
      </c>
      <c r="J1914" t="s">
        <v>25</v>
      </c>
      <c r="K1914">
        <v>0</v>
      </c>
      <c r="L1914">
        <v>0</v>
      </c>
      <c r="M1914" t="s">
        <v>25</v>
      </c>
      <c r="N1914" t="s">
        <v>25</v>
      </c>
      <c r="O1914" t="s">
        <v>26</v>
      </c>
      <c r="P1914" t="s">
        <v>25</v>
      </c>
      <c r="Q1914" t="s">
        <v>2023</v>
      </c>
      <c r="R1914" t="s">
        <v>1590</v>
      </c>
    </row>
    <row r="1915" spans="1:20">
      <c r="A1915">
        <v>1925</v>
      </c>
      <c r="B1915" t="s">
        <v>2144</v>
      </c>
      <c r="C1915" t="s">
        <v>102</v>
      </c>
      <c r="D1915" t="s">
        <v>22</v>
      </c>
      <c r="E1915" t="s">
        <v>23</v>
      </c>
      <c r="F1915">
        <v>0</v>
      </c>
      <c r="G1915">
        <v>19</v>
      </c>
      <c r="H1915">
        <v>0</v>
      </c>
      <c r="I1915" t="s">
        <v>24</v>
      </c>
      <c r="J1915" t="s">
        <v>25</v>
      </c>
      <c r="K1915">
        <v>0</v>
      </c>
      <c r="L1915">
        <v>0</v>
      </c>
      <c r="M1915" t="s">
        <v>25</v>
      </c>
      <c r="N1915" t="s">
        <v>25</v>
      </c>
      <c r="O1915" t="s">
        <v>26</v>
      </c>
      <c r="P1915" t="s">
        <v>25</v>
      </c>
      <c r="Q1915" t="s">
        <v>2023</v>
      </c>
      <c r="R1915" t="s">
        <v>1590</v>
      </c>
    </row>
    <row r="1916" spans="1:20">
      <c r="A1916">
        <v>1926</v>
      </c>
      <c r="B1916" t="s">
        <v>2145</v>
      </c>
      <c r="C1916" t="s">
        <v>320</v>
      </c>
      <c r="D1916" t="s">
        <v>22</v>
      </c>
      <c r="E1916" t="s">
        <v>2146</v>
      </c>
      <c r="F1916">
        <v>0</v>
      </c>
      <c r="G1916">
        <v>0</v>
      </c>
      <c r="H1916">
        <v>0</v>
      </c>
      <c r="I1916" t="s">
        <v>24</v>
      </c>
      <c r="J1916" t="s">
        <v>25</v>
      </c>
      <c r="K1916">
        <v>0</v>
      </c>
      <c r="L1916">
        <v>0</v>
      </c>
      <c r="M1916" t="s">
        <v>25</v>
      </c>
      <c r="N1916" t="s">
        <v>25</v>
      </c>
      <c r="O1916" t="s">
        <v>26</v>
      </c>
      <c r="P1916" t="s">
        <v>25</v>
      </c>
      <c r="Q1916" t="s">
        <v>27</v>
      </c>
      <c r="R1916" t="s">
        <v>1590</v>
      </c>
      <c r="S1916" t="s">
        <v>231</v>
      </c>
      <c r="T1916" t="s">
        <v>2147</v>
      </c>
    </row>
    <row r="1917" spans="1:20">
      <c r="A1917">
        <v>1927</v>
      </c>
      <c r="B1917" t="s">
        <v>2148</v>
      </c>
      <c r="C1917" t="s">
        <v>102</v>
      </c>
      <c r="D1917" t="s">
        <v>22</v>
      </c>
      <c r="E1917" t="s">
        <v>23</v>
      </c>
      <c r="F1917">
        <v>0</v>
      </c>
      <c r="G1917">
        <v>19</v>
      </c>
      <c r="H1917">
        <v>0</v>
      </c>
      <c r="I1917" t="s">
        <v>24</v>
      </c>
      <c r="J1917" t="s">
        <v>25</v>
      </c>
      <c r="K1917">
        <v>0</v>
      </c>
      <c r="L1917">
        <v>0</v>
      </c>
      <c r="M1917" t="s">
        <v>25</v>
      </c>
      <c r="N1917" t="s">
        <v>25</v>
      </c>
      <c r="O1917" t="s">
        <v>26</v>
      </c>
      <c r="P1917" t="s">
        <v>25</v>
      </c>
      <c r="Q1917" t="s">
        <v>2023</v>
      </c>
      <c r="R1917" t="s">
        <v>1590</v>
      </c>
    </row>
    <row r="1918" spans="1:20">
      <c r="A1918">
        <v>1928</v>
      </c>
      <c r="B1918" t="s">
        <v>2149</v>
      </c>
      <c r="C1918" t="s">
        <v>102</v>
      </c>
      <c r="D1918" t="s">
        <v>22</v>
      </c>
      <c r="E1918" t="s">
        <v>23</v>
      </c>
      <c r="F1918">
        <v>0</v>
      </c>
      <c r="G1918">
        <v>19</v>
      </c>
      <c r="H1918">
        <v>0</v>
      </c>
      <c r="I1918" t="s">
        <v>24</v>
      </c>
      <c r="J1918" t="s">
        <v>25</v>
      </c>
      <c r="K1918">
        <v>0</v>
      </c>
      <c r="L1918">
        <v>0</v>
      </c>
      <c r="M1918" t="s">
        <v>25</v>
      </c>
      <c r="N1918" t="s">
        <v>25</v>
      </c>
      <c r="O1918" t="s">
        <v>26</v>
      </c>
      <c r="P1918" t="s">
        <v>25</v>
      </c>
      <c r="Q1918" t="s">
        <v>2023</v>
      </c>
      <c r="R1918" t="s">
        <v>1590</v>
      </c>
      <c r="S1918" t="s">
        <v>231</v>
      </c>
      <c r="T1918" t="s">
        <v>2150</v>
      </c>
    </row>
    <row r="1919" spans="1:20">
      <c r="A1919">
        <v>1929</v>
      </c>
      <c r="B1919" t="s">
        <v>2151</v>
      </c>
      <c r="C1919" t="s">
        <v>102</v>
      </c>
      <c r="D1919" t="s">
        <v>22</v>
      </c>
      <c r="E1919" t="s">
        <v>23</v>
      </c>
      <c r="F1919">
        <v>0</v>
      </c>
      <c r="G1919">
        <v>19</v>
      </c>
      <c r="H1919">
        <v>0</v>
      </c>
      <c r="I1919" t="s">
        <v>24</v>
      </c>
      <c r="J1919" t="s">
        <v>25</v>
      </c>
      <c r="K1919">
        <v>0</v>
      </c>
      <c r="L1919">
        <v>0</v>
      </c>
      <c r="M1919" t="s">
        <v>25</v>
      </c>
      <c r="N1919" t="s">
        <v>25</v>
      </c>
      <c r="O1919" t="s">
        <v>26</v>
      </c>
      <c r="P1919" t="s">
        <v>25</v>
      </c>
      <c r="Q1919" t="s">
        <v>2023</v>
      </c>
      <c r="R1919" t="s">
        <v>1590</v>
      </c>
    </row>
    <row r="1920" spans="1:20">
      <c r="A1920">
        <v>1930</v>
      </c>
      <c r="B1920" t="s">
        <v>2152</v>
      </c>
      <c r="C1920" t="s">
        <v>102</v>
      </c>
      <c r="D1920" t="s">
        <v>22</v>
      </c>
      <c r="E1920" t="s">
        <v>23</v>
      </c>
      <c r="F1920">
        <v>0</v>
      </c>
      <c r="G1920">
        <v>19</v>
      </c>
      <c r="H1920">
        <v>0</v>
      </c>
      <c r="I1920" t="s">
        <v>24</v>
      </c>
      <c r="J1920" t="s">
        <v>25</v>
      </c>
      <c r="K1920">
        <v>0</v>
      </c>
      <c r="L1920">
        <v>0</v>
      </c>
      <c r="M1920" t="s">
        <v>25</v>
      </c>
      <c r="N1920" t="s">
        <v>25</v>
      </c>
      <c r="O1920" t="s">
        <v>26</v>
      </c>
      <c r="P1920" t="s">
        <v>25</v>
      </c>
      <c r="Q1920" t="s">
        <v>2023</v>
      </c>
      <c r="R1920" t="s">
        <v>1590</v>
      </c>
    </row>
    <row r="1921" spans="1:20">
      <c r="A1921">
        <v>1931</v>
      </c>
      <c r="B1921" t="s">
        <v>2153</v>
      </c>
      <c r="C1921" t="s">
        <v>36</v>
      </c>
      <c r="D1921" t="s">
        <v>22</v>
      </c>
      <c r="E1921" t="s">
        <v>1578</v>
      </c>
      <c r="F1921">
        <v>0</v>
      </c>
      <c r="G1921">
        <v>19</v>
      </c>
      <c r="H1921">
        <v>0</v>
      </c>
      <c r="I1921" t="s">
        <v>24</v>
      </c>
      <c r="J1921" t="s">
        <v>25</v>
      </c>
      <c r="K1921">
        <v>0</v>
      </c>
      <c r="L1921">
        <v>0</v>
      </c>
      <c r="M1921" t="s">
        <v>25</v>
      </c>
      <c r="N1921" t="s">
        <v>25</v>
      </c>
      <c r="O1921" t="s">
        <v>26</v>
      </c>
      <c r="P1921" t="s">
        <v>25</v>
      </c>
      <c r="Q1921" t="s">
        <v>27</v>
      </c>
      <c r="R1921" t="s">
        <v>1590</v>
      </c>
    </row>
    <row r="1922" spans="1:20">
      <c r="A1922">
        <v>1932</v>
      </c>
      <c r="B1922" t="s">
        <v>2154</v>
      </c>
      <c r="C1922" t="s">
        <v>102</v>
      </c>
      <c r="D1922" t="s">
        <v>22</v>
      </c>
      <c r="E1922" t="s">
        <v>23</v>
      </c>
      <c r="F1922">
        <v>0</v>
      </c>
      <c r="G1922">
        <v>19</v>
      </c>
      <c r="H1922">
        <v>0</v>
      </c>
      <c r="I1922" t="s">
        <v>24</v>
      </c>
      <c r="J1922" t="s">
        <v>25</v>
      </c>
      <c r="K1922">
        <v>0</v>
      </c>
      <c r="L1922">
        <v>0</v>
      </c>
      <c r="M1922" t="s">
        <v>25</v>
      </c>
      <c r="N1922" t="s">
        <v>25</v>
      </c>
      <c r="O1922" t="s">
        <v>26</v>
      </c>
      <c r="P1922" t="s">
        <v>25</v>
      </c>
      <c r="Q1922" t="s">
        <v>2023</v>
      </c>
      <c r="R1922" t="s">
        <v>1590</v>
      </c>
    </row>
    <row r="1923" spans="1:20">
      <c r="A1923">
        <v>1933</v>
      </c>
      <c r="B1923" t="s">
        <v>2155</v>
      </c>
      <c r="C1923" t="s">
        <v>36</v>
      </c>
      <c r="D1923" t="s">
        <v>22</v>
      </c>
      <c r="E1923" t="s">
        <v>1578</v>
      </c>
      <c r="F1923">
        <v>0</v>
      </c>
      <c r="G1923">
        <v>19</v>
      </c>
      <c r="H1923">
        <v>0</v>
      </c>
      <c r="I1923" t="s">
        <v>24</v>
      </c>
      <c r="J1923" t="s">
        <v>25</v>
      </c>
      <c r="K1923">
        <v>0</v>
      </c>
      <c r="L1923">
        <v>0</v>
      </c>
      <c r="M1923" t="s">
        <v>25</v>
      </c>
      <c r="N1923" t="s">
        <v>25</v>
      </c>
      <c r="O1923" t="s">
        <v>26</v>
      </c>
      <c r="P1923" t="s">
        <v>25</v>
      </c>
      <c r="Q1923" t="s">
        <v>27</v>
      </c>
      <c r="R1923" t="s">
        <v>1590</v>
      </c>
    </row>
    <row r="1924" spans="1:20">
      <c r="A1924">
        <v>1934</v>
      </c>
      <c r="B1924" t="s">
        <v>2156</v>
      </c>
      <c r="C1924" t="s">
        <v>36</v>
      </c>
      <c r="D1924" t="s">
        <v>22</v>
      </c>
      <c r="E1924" t="s">
        <v>1578</v>
      </c>
      <c r="F1924">
        <v>0</v>
      </c>
      <c r="G1924">
        <v>19</v>
      </c>
      <c r="H1924">
        <v>0</v>
      </c>
      <c r="I1924" t="s">
        <v>24</v>
      </c>
      <c r="J1924" t="s">
        <v>25</v>
      </c>
      <c r="K1924">
        <v>0</v>
      </c>
      <c r="L1924">
        <v>0</v>
      </c>
      <c r="M1924" t="s">
        <v>25</v>
      </c>
      <c r="N1924" t="s">
        <v>25</v>
      </c>
      <c r="O1924" t="s">
        <v>26</v>
      </c>
      <c r="P1924" t="s">
        <v>25</v>
      </c>
      <c r="Q1924" t="s">
        <v>27</v>
      </c>
      <c r="R1924" t="s">
        <v>1590</v>
      </c>
    </row>
    <row r="1925" spans="1:20">
      <c r="A1925">
        <v>1935</v>
      </c>
      <c r="B1925" t="s">
        <v>2157</v>
      </c>
      <c r="C1925" t="s">
        <v>102</v>
      </c>
      <c r="D1925" t="s">
        <v>22</v>
      </c>
      <c r="E1925" t="s">
        <v>23</v>
      </c>
      <c r="F1925">
        <v>0</v>
      </c>
      <c r="G1925">
        <v>19</v>
      </c>
      <c r="H1925">
        <v>0</v>
      </c>
      <c r="I1925" t="s">
        <v>24</v>
      </c>
      <c r="J1925" t="s">
        <v>25</v>
      </c>
      <c r="K1925">
        <v>0</v>
      </c>
      <c r="L1925">
        <v>0</v>
      </c>
      <c r="M1925" t="s">
        <v>25</v>
      </c>
      <c r="N1925" t="s">
        <v>25</v>
      </c>
      <c r="O1925" t="s">
        <v>26</v>
      </c>
      <c r="P1925" t="s">
        <v>25</v>
      </c>
      <c r="Q1925" t="s">
        <v>2023</v>
      </c>
      <c r="R1925" t="s">
        <v>1590</v>
      </c>
    </row>
    <row r="1926" spans="1:20">
      <c r="A1926">
        <v>1936</v>
      </c>
      <c r="B1926" t="s">
        <v>2158</v>
      </c>
      <c r="C1926" t="s">
        <v>36</v>
      </c>
      <c r="D1926" t="s">
        <v>22</v>
      </c>
      <c r="E1926" t="s">
        <v>1578</v>
      </c>
      <c r="F1926">
        <v>0</v>
      </c>
      <c r="G1926">
        <v>19</v>
      </c>
      <c r="H1926">
        <v>0</v>
      </c>
      <c r="I1926" t="s">
        <v>24</v>
      </c>
      <c r="J1926" t="s">
        <v>25</v>
      </c>
      <c r="K1926">
        <v>0</v>
      </c>
      <c r="L1926">
        <v>0</v>
      </c>
      <c r="M1926" t="s">
        <v>25</v>
      </c>
      <c r="N1926" t="s">
        <v>25</v>
      </c>
      <c r="O1926" t="s">
        <v>26</v>
      </c>
      <c r="P1926" t="s">
        <v>25</v>
      </c>
      <c r="Q1926" t="s">
        <v>27</v>
      </c>
      <c r="R1926" t="s">
        <v>1590</v>
      </c>
      <c r="S1926" t="s">
        <v>27</v>
      </c>
      <c r="T1926" t="s">
        <v>1590</v>
      </c>
    </row>
    <row r="1927" spans="1:20">
      <c r="A1927">
        <v>1937</v>
      </c>
      <c r="B1927" t="s">
        <v>2159</v>
      </c>
      <c r="C1927" t="s">
        <v>36</v>
      </c>
      <c r="D1927" t="s">
        <v>22</v>
      </c>
      <c r="E1927" t="s">
        <v>1578</v>
      </c>
      <c r="F1927">
        <v>0</v>
      </c>
      <c r="G1927">
        <v>19</v>
      </c>
      <c r="H1927">
        <v>0</v>
      </c>
      <c r="I1927" t="s">
        <v>24</v>
      </c>
      <c r="J1927" t="s">
        <v>25</v>
      </c>
      <c r="K1927">
        <v>0</v>
      </c>
      <c r="L1927">
        <v>0</v>
      </c>
      <c r="M1927" t="s">
        <v>25</v>
      </c>
      <c r="N1927" t="s">
        <v>25</v>
      </c>
      <c r="O1927" t="s">
        <v>26</v>
      </c>
      <c r="P1927" t="s">
        <v>25</v>
      </c>
      <c r="Q1927" t="s">
        <v>27</v>
      </c>
      <c r="R1927" t="s">
        <v>1590</v>
      </c>
    </row>
    <row r="1928" spans="1:20">
      <c r="A1928">
        <v>1938</v>
      </c>
      <c r="B1928" t="s">
        <v>2160</v>
      </c>
      <c r="C1928" t="s">
        <v>36</v>
      </c>
      <c r="D1928" t="s">
        <v>22</v>
      </c>
      <c r="E1928" t="s">
        <v>1578</v>
      </c>
      <c r="F1928">
        <v>0</v>
      </c>
      <c r="G1928">
        <v>0</v>
      </c>
      <c r="H1928">
        <v>0</v>
      </c>
      <c r="I1928" t="s">
        <v>24</v>
      </c>
      <c r="J1928" t="s">
        <v>25</v>
      </c>
      <c r="K1928">
        <v>0</v>
      </c>
      <c r="L1928">
        <v>0</v>
      </c>
      <c r="M1928" t="s">
        <v>25</v>
      </c>
      <c r="N1928" t="s">
        <v>25</v>
      </c>
      <c r="O1928" t="s">
        <v>26</v>
      </c>
      <c r="P1928" t="s">
        <v>25</v>
      </c>
      <c r="Q1928" t="s">
        <v>27</v>
      </c>
      <c r="R1928" t="s">
        <v>1590</v>
      </c>
    </row>
    <row r="1929" spans="1:20">
      <c r="A1929">
        <v>1939</v>
      </c>
      <c r="B1929" t="s">
        <v>2161</v>
      </c>
      <c r="C1929" t="s">
        <v>102</v>
      </c>
      <c r="D1929" t="s">
        <v>22</v>
      </c>
      <c r="E1929" t="s">
        <v>1578</v>
      </c>
      <c r="F1929">
        <v>0</v>
      </c>
      <c r="G1929">
        <v>19</v>
      </c>
      <c r="H1929">
        <v>0</v>
      </c>
      <c r="I1929" t="s">
        <v>24</v>
      </c>
      <c r="J1929" t="s">
        <v>25</v>
      </c>
      <c r="K1929">
        <v>0</v>
      </c>
      <c r="L1929">
        <v>0</v>
      </c>
      <c r="M1929" t="s">
        <v>25</v>
      </c>
      <c r="N1929" t="s">
        <v>25</v>
      </c>
      <c r="O1929" t="s">
        <v>26</v>
      </c>
      <c r="P1929" t="s">
        <v>25</v>
      </c>
      <c r="Q1929" t="s">
        <v>27</v>
      </c>
      <c r="R1929" t="s">
        <v>1590</v>
      </c>
      <c r="S1929" t="s">
        <v>231</v>
      </c>
      <c r="T1929" t="s">
        <v>1006</v>
      </c>
    </row>
    <row r="1930" spans="1:20">
      <c r="A1930">
        <v>1940</v>
      </c>
      <c r="B1930" t="s">
        <v>2162</v>
      </c>
      <c r="C1930" t="s">
        <v>102</v>
      </c>
      <c r="D1930" t="s">
        <v>22</v>
      </c>
      <c r="E1930" t="s">
        <v>23</v>
      </c>
      <c r="F1930">
        <v>0</v>
      </c>
      <c r="G1930">
        <v>19</v>
      </c>
      <c r="H1930">
        <v>0</v>
      </c>
      <c r="I1930" t="s">
        <v>24</v>
      </c>
      <c r="J1930" t="s">
        <v>25</v>
      </c>
      <c r="K1930">
        <v>0</v>
      </c>
      <c r="L1930">
        <v>0</v>
      </c>
      <c r="M1930" t="s">
        <v>25</v>
      </c>
      <c r="N1930" t="s">
        <v>25</v>
      </c>
      <c r="O1930" t="s">
        <v>26</v>
      </c>
      <c r="P1930" t="s">
        <v>25</v>
      </c>
      <c r="Q1930" t="s">
        <v>2023</v>
      </c>
      <c r="R1930" t="s">
        <v>1590</v>
      </c>
    </row>
    <row r="1931" spans="1:20">
      <c r="A1931">
        <v>1941</v>
      </c>
      <c r="B1931" t="s">
        <v>2163</v>
      </c>
      <c r="C1931" t="s">
        <v>102</v>
      </c>
      <c r="D1931" t="s">
        <v>22</v>
      </c>
      <c r="E1931" t="s">
        <v>1578</v>
      </c>
      <c r="F1931">
        <v>0</v>
      </c>
      <c r="G1931">
        <v>19</v>
      </c>
      <c r="H1931">
        <v>0</v>
      </c>
      <c r="I1931" t="s">
        <v>24</v>
      </c>
      <c r="J1931" t="s">
        <v>25</v>
      </c>
      <c r="K1931">
        <v>0</v>
      </c>
      <c r="L1931">
        <v>0</v>
      </c>
      <c r="M1931" t="s">
        <v>25</v>
      </c>
      <c r="N1931" t="s">
        <v>25</v>
      </c>
      <c r="O1931" t="s">
        <v>26</v>
      </c>
      <c r="P1931" t="s">
        <v>25</v>
      </c>
      <c r="Q1931" t="s">
        <v>27</v>
      </c>
      <c r="R1931" t="s">
        <v>1590</v>
      </c>
    </row>
    <row r="1932" spans="1:20">
      <c r="A1932">
        <v>1942</v>
      </c>
      <c r="B1932" t="s">
        <v>2164</v>
      </c>
      <c r="C1932" t="s">
        <v>102</v>
      </c>
      <c r="D1932" t="s">
        <v>22</v>
      </c>
      <c r="E1932" t="s">
        <v>1578</v>
      </c>
      <c r="F1932">
        <v>0</v>
      </c>
      <c r="G1932">
        <v>19</v>
      </c>
      <c r="H1932">
        <v>0</v>
      </c>
      <c r="I1932" t="s">
        <v>24</v>
      </c>
      <c r="J1932" t="s">
        <v>25</v>
      </c>
      <c r="K1932">
        <v>0</v>
      </c>
      <c r="L1932">
        <v>0</v>
      </c>
      <c r="M1932" t="s">
        <v>25</v>
      </c>
      <c r="N1932" t="s">
        <v>25</v>
      </c>
      <c r="O1932" t="s">
        <v>26</v>
      </c>
      <c r="P1932" t="s">
        <v>25</v>
      </c>
      <c r="Q1932" t="s">
        <v>27</v>
      </c>
      <c r="R1932" t="s">
        <v>1590</v>
      </c>
    </row>
    <row r="1933" spans="1:20">
      <c r="A1933">
        <v>1943</v>
      </c>
      <c r="B1933" t="s">
        <v>2165</v>
      </c>
      <c r="C1933" t="s">
        <v>36</v>
      </c>
      <c r="D1933" t="s">
        <v>217</v>
      </c>
      <c r="E1933" t="s">
        <v>1146</v>
      </c>
      <c r="F1933">
        <v>0</v>
      </c>
      <c r="G1933">
        <v>19</v>
      </c>
      <c r="H1933">
        <v>0</v>
      </c>
      <c r="I1933" t="s">
        <v>24</v>
      </c>
      <c r="J1933" t="s">
        <v>25</v>
      </c>
      <c r="K1933">
        <v>0</v>
      </c>
      <c r="L1933">
        <v>0</v>
      </c>
      <c r="M1933" t="s">
        <v>25</v>
      </c>
      <c r="N1933" t="s">
        <v>25</v>
      </c>
      <c r="O1933" t="s">
        <v>26</v>
      </c>
      <c r="P1933" t="s">
        <v>25</v>
      </c>
      <c r="Q1933" t="s">
        <v>2023</v>
      </c>
      <c r="R1933" t="s">
        <v>1590</v>
      </c>
      <c r="S1933" t="s">
        <v>231</v>
      </c>
      <c r="T1933" t="s">
        <v>1147</v>
      </c>
    </row>
    <row r="1934" spans="1:20">
      <c r="A1934">
        <v>1944</v>
      </c>
      <c r="B1934" t="s">
        <v>2166</v>
      </c>
      <c r="C1934" t="s">
        <v>102</v>
      </c>
      <c r="D1934" t="s">
        <v>22</v>
      </c>
      <c r="E1934" t="s">
        <v>1578</v>
      </c>
      <c r="F1934">
        <v>0</v>
      </c>
      <c r="G1934">
        <v>19</v>
      </c>
      <c r="H1934">
        <v>0</v>
      </c>
      <c r="I1934" t="s">
        <v>24</v>
      </c>
      <c r="J1934" t="s">
        <v>25</v>
      </c>
      <c r="K1934">
        <v>0</v>
      </c>
      <c r="L1934">
        <v>0</v>
      </c>
      <c r="M1934" t="s">
        <v>25</v>
      </c>
      <c r="N1934" t="s">
        <v>25</v>
      </c>
      <c r="O1934" t="s">
        <v>26</v>
      </c>
      <c r="P1934" t="s">
        <v>25</v>
      </c>
      <c r="Q1934" t="s">
        <v>27</v>
      </c>
      <c r="R1934" t="s">
        <v>1590</v>
      </c>
    </row>
    <row r="1935" spans="1:20">
      <c r="A1935">
        <v>1945</v>
      </c>
      <c r="B1935" t="s">
        <v>2167</v>
      </c>
      <c r="C1935" t="s">
        <v>102</v>
      </c>
      <c r="D1935" t="s">
        <v>22</v>
      </c>
      <c r="E1935" t="s">
        <v>23</v>
      </c>
      <c r="F1935">
        <v>0</v>
      </c>
      <c r="G1935">
        <v>19</v>
      </c>
      <c r="H1935">
        <v>0</v>
      </c>
      <c r="I1935" t="s">
        <v>24</v>
      </c>
      <c r="J1935" t="s">
        <v>25</v>
      </c>
      <c r="K1935">
        <v>0</v>
      </c>
      <c r="L1935">
        <v>0</v>
      </c>
      <c r="M1935" t="s">
        <v>25</v>
      </c>
      <c r="N1935" t="s">
        <v>25</v>
      </c>
      <c r="O1935" t="s">
        <v>26</v>
      </c>
      <c r="P1935" t="s">
        <v>25</v>
      </c>
      <c r="Q1935" t="s">
        <v>2023</v>
      </c>
      <c r="R1935" t="s">
        <v>1590</v>
      </c>
    </row>
    <row r="1936" spans="1:20">
      <c r="A1936">
        <v>1946</v>
      </c>
      <c r="B1936" t="s">
        <v>2168</v>
      </c>
      <c r="C1936" t="s">
        <v>102</v>
      </c>
      <c r="D1936" t="s">
        <v>22</v>
      </c>
      <c r="E1936" t="s">
        <v>1578</v>
      </c>
      <c r="F1936">
        <v>0</v>
      </c>
      <c r="G1936">
        <v>19</v>
      </c>
      <c r="H1936">
        <v>0</v>
      </c>
      <c r="I1936" t="s">
        <v>24</v>
      </c>
      <c r="J1936" t="s">
        <v>25</v>
      </c>
      <c r="K1936">
        <v>0</v>
      </c>
      <c r="L1936">
        <v>0</v>
      </c>
      <c r="M1936" t="s">
        <v>25</v>
      </c>
      <c r="N1936" t="s">
        <v>25</v>
      </c>
      <c r="O1936" t="s">
        <v>26</v>
      </c>
      <c r="P1936" t="s">
        <v>25</v>
      </c>
      <c r="Q1936" t="s">
        <v>27</v>
      </c>
      <c r="R1936" t="s">
        <v>1590</v>
      </c>
    </row>
    <row r="1937" spans="1:20">
      <c r="A1937">
        <v>1947</v>
      </c>
      <c r="B1937" t="s">
        <v>2169</v>
      </c>
      <c r="C1937" t="s">
        <v>102</v>
      </c>
      <c r="D1937" t="s">
        <v>22</v>
      </c>
      <c r="E1937" t="s">
        <v>1578</v>
      </c>
      <c r="F1937">
        <v>0</v>
      </c>
      <c r="G1937">
        <v>19</v>
      </c>
      <c r="H1937">
        <v>0</v>
      </c>
      <c r="I1937" t="s">
        <v>24</v>
      </c>
      <c r="J1937" t="s">
        <v>25</v>
      </c>
      <c r="K1937">
        <v>0</v>
      </c>
      <c r="L1937">
        <v>0</v>
      </c>
      <c r="M1937" t="s">
        <v>25</v>
      </c>
      <c r="N1937" t="s">
        <v>25</v>
      </c>
      <c r="O1937" t="s">
        <v>26</v>
      </c>
      <c r="P1937" t="s">
        <v>25</v>
      </c>
      <c r="Q1937" t="s">
        <v>27</v>
      </c>
      <c r="R1937" t="s">
        <v>1590</v>
      </c>
    </row>
    <row r="1938" spans="1:20">
      <c r="A1938">
        <v>1948</v>
      </c>
      <c r="B1938" t="s">
        <v>2170</v>
      </c>
      <c r="C1938" t="s">
        <v>102</v>
      </c>
      <c r="D1938" t="s">
        <v>22</v>
      </c>
      <c r="E1938" t="s">
        <v>23</v>
      </c>
      <c r="F1938">
        <v>0</v>
      </c>
      <c r="G1938">
        <v>19</v>
      </c>
      <c r="H1938">
        <v>0</v>
      </c>
      <c r="I1938" t="s">
        <v>24</v>
      </c>
      <c r="J1938" t="s">
        <v>25</v>
      </c>
      <c r="K1938">
        <v>0</v>
      </c>
      <c r="L1938">
        <v>0</v>
      </c>
      <c r="M1938" t="s">
        <v>25</v>
      </c>
      <c r="N1938" t="s">
        <v>25</v>
      </c>
      <c r="O1938" t="s">
        <v>26</v>
      </c>
      <c r="P1938" t="s">
        <v>25</v>
      </c>
      <c r="Q1938" t="s">
        <v>2023</v>
      </c>
      <c r="R1938" t="s">
        <v>1590</v>
      </c>
    </row>
    <row r="1939" spans="1:20">
      <c r="A1939">
        <v>1949</v>
      </c>
      <c r="B1939" t="s">
        <v>2171</v>
      </c>
      <c r="C1939" t="s">
        <v>102</v>
      </c>
      <c r="D1939" t="s">
        <v>22</v>
      </c>
      <c r="E1939" t="s">
        <v>1578</v>
      </c>
      <c r="F1939">
        <v>524475</v>
      </c>
      <c r="G1939">
        <v>19</v>
      </c>
      <c r="H1939">
        <v>647500</v>
      </c>
      <c r="I1939" t="s">
        <v>24</v>
      </c>
      <c r="J1939" t="s">
        <v>25</v>
      </c>
      <c r="K1939">
        <v>0</v>
      </c>
      <c r="L1939">
        <v>0</v>
      </c>
      <c r="M1939" t="s">
        <v>25</v>
      </c>
      <c r="N1939" t="s">
        <v>25</v>
      </c>
      <c r="O1939" t="s">
        <v>26</v>
      </c>
      <c r="P1939" t="s">
        <v>25</v>
      </c>
      <c r="Q1939" t="s">
        <v>27</v>
      </c>
      <c r="R1939" t="s">
        <v>1590</v>
      </c>
      <c r="S1939" t="s">
        <v>27</v>
      </c>
    </row>
    <row r="1940" spans="1:20">
      <c r="A1940">
        <v>1950</v>
      </c>
      <c r="B1940" t="s">
        <v>2172</v>
      </c>
      <c r="C1940" t="s">
        <v>36</v>
      </c>
      <c r="D1940" t="s">
        <v>217</v>
      </c>
      <c r="E1940" t="s">
        <v>1146</v>
      </c>
      <c r="F1940">
        <v>0</v>
      </c>
      <c r="G1940">
        <v>19</v>
      </c>
      <c r="H1940">
        <v>0</v>
      </c>
      <c r="I1940" t="s">
        <v>24</v>
      </c>
      <c r="J1940" t="s">
        <v>25</v>
      </c>
      <c r="K1940">
        <v>0</v>
      </c>
      <c r="L1940">
        <v>0</v>
      </c>
      <c r="M1940" t="s">
        <v>25</v>
      </c>
      <c r="N1940" t="s">
        <v>25</v>
      </c>
      <c r="O1940" t="s">
        <v>26</v>
      </c>
      <c r="P1940" t="s">
        <v>25</v>
      </c>
      <c r="Q1940" t="s">
        <v>2023</v>
      </c>
      <c r="R1940" t="s">
        <v>1590</v>
      </c>
      <c r="S1940" t="s">
        <v>231</v>
      </c>
      <c r="T1940" t="s">
        <v>1147</v>
      </c>
    </row>
    <row r="1941" spans="1:20">
      <c r="A1941">
        <v>1951</v>
      </c>
      <c r="B1941" t="s">
        <v>2173</v>
      </c>
      <c r="C1941" t="s">
        <v>102</v>
      </c>
      <c r="D1941" t="s">
        <v>22</v>
      </c>
      <c r="E1941" t="s">
        <v>1578</v>
      </c>
      <c r="F1941">
        <v>0</v>
      </c>
      <c r="G1941">
        <v>19</v>
      </c>
      <c r="H1941">
        <v>0</v>
      </c>
      <c r="I1941" t="s">
        <v>24</v>
      </c>
      <c r="J1941" t="s">
        <v>25</v>
      </c>
      <c r="K1941">
        <v>0</v>
      </c>
      <c r="L1941">
        <v>0</v>
      </c>
      <c r="M1941" t="s">
        <v>25</v>
      </c>
      <c r="N1941" t="s">
        <v>25</v>
      </c>
      <c r="O1941" t="s">
        <v>26</v>
      </c>
      <c r="P1941" t="s">
        <v>25</v>
      </c>
      <c r="Q1941" t="s">
        <v>27</v>
      </c>
      <c r="R1941" t="s">
        <v>1590</v>
      </c>
    </row>
    <row r="1942" spans="1:20">
      <c r="A1942">
        <v>1952</v>
      </c>
      <c r="B1942" t="s">
        <v>2174</v>
      </c>
      <c r="C1942" t="s">
        <v>102</v>
      </c>
      <c r="D1942" t="s">
        <v>22</v>
      </c>
      <c r="E1942" t="s">
        <v>23</v>
      </c>
      <c r="F1942">
        <v>0</v>
      </c>
      <c r="G1942">
        <v>19</v>
      </c>
      <c r="H1942">
        <v>0</v>
      </c>
      <c r="I1942" t="s">
        <v>24</v>
      </c>
      <c r="J1942" t="s">
        <v>25</v>
      </c>
      <c r="K1942">
        <v>0</v>
      </c>
      <c r="L1942">
        <v>0</v>
      </c>
      <c r="M1942" t="s">
        <v>25</v>
      </c>
      <c r="N1942" t="s">
        <v>25</v>
      </c>
      <c r="O1942" t="s">
        <v>26</v>
      </c>
      <c r="P1942" t="s">
        <v>25</v>
      </c>
      <c r="Q1942" t="s">
        <v>2023</v>
      </c>
      <c r="R1942" t="s">
        <v>1590</v>
      </c>
    </row>
    <row r="1943" spans="1:20">
      <c r="A1943">
        <v>1953</v>
      </c>
      <c r="B1943" t="s">
        <v>2175</v>
      </c>
      <c r="C1943" t="s">
        <v>102</v>
      </c>
      <c r="D1943" t="s">
        <v>22</v>
      </c>
      <c r="E1943" t="s">
        <v>1578</v>
      </c>
      <c r="F1943">
        <v>0</v>
      </c>
      <c r="G1943">
        <v>19</v>
      </c>
      <c r="H1943">
        <v>0</v>
      </c>
      <c r="I1943" t="s">
        <v>24</v>
      </c>
      <c r="J1943" t="s">
        <v>25</v>
      </c>
      <c r="K1943">
        <v>0</v>
      </c>
      <c r="L1943">
        <v>0</v>
      </c>
      <c r="M1943" t="s">
        <v>25</v>
      </c>
      <c r="N1943" t="s">
        <v>25</v>
      </c>
      <c r="O1943" t="s">
        <v>26</v>
      </c>
      <c r="P1943" t="s">
        <v>25</v>
      </c>
      <c r="Q1943" t="s">
        <v>27</v>
      </c>
      <c r="R1943" t="s">
        <v>1590</v>
      </c>
    </row>
    <row r="1944" spans="1:20">
      <c r="A1944">
        <v>1954</v>
      </c>
      <c r="B1944" t="s">
        <v>2176</v>
      </c>
      <c r="C1944" t="s">
        <v>102</v>
      </c>
      <c r="D1944" t="s">
        <v>22</v>
      </c>
      <c r="E1944" t="s">
        <v>23</v>
      </c>
      <c r="F1944">
        <v>0</v>
      </c>
      <c r="G1944">
        <v>19</v>
      </c>
      <c r="H1944">
        <v>0</v>
      </c>
      <c r="I1944" t="s">
        <v>24</v>
      </c>
      <c r="J1944" t="s">
        <v>25</v>
      </c>
      <c r="K1944">
        <v>0</v>
      </c>
      <c r="L1944">
        <v>0</v>
      </c>
      <c r="M1944" t="s">
        <v>25</v>
      </c>
      <c r="N1944" t="s">
        <v>25</v>
      </c>
      <c r="O1944" t="s">
        <v>26</v>
      </c>
      <c r="P1944" t="s">
        <v>25</v>
      </c>
      <c r="Q1944" t="s">
        <v>2023</v>
      </c>
      <c r="R1944" t="s">
        <v>1590</v>
      </c>
    </row>
    <row r="1945" spans="1:20">
      <c r="A1945">
        <v>1955</v>
      </c>
      <c r="B1945" t="s">
        <v>2177</v>
      </c>
      <c r="C1945" t="s">
        <v>102</v>
      </c>
      <c r="D1945" t="s">
        <v>22</v>
      </c>
      <c r="E1945" t="s">
        <v>1578</v>
      </c>
      <c r="F1945">
        <v>0</v>
      </c>
      <c r="G1945">
        <v>19</v>
      </c>
      <c r="H1945">
        <v>0</v>
      </c>
      <c r="I1945" t="s">
        <v>24</v>
      </c>
      <c r="J1945" t="s">
        <v>25</v>
      </c>
      <c r="K1945">
        <v>0</v>
      </c>
      <c r="L1945">
        <v>0</v>
      </c>
      <c r="M1945" t="s">
        <v>25</v>
      </c>
      <c r="N1945" t="s">
        <v>25</v>
      </c>
      <c r="O1945" t="s">
        <v>26</v>
      </c>
      <c r="P1945" t="s">
        <v>25</v>
      </c>
      <c r="Q1945" t="s">
        <v>27</v>
      </c>
      <c r="R1945" t="s">
        <v>1590</v>
      </c>
    </row>
    <row r="1946" spans="1:20">
      <c r="A1946">
        <v>1956</v>
      </c>
      <c r="B1946" t="s">
        <v>2178</v>
      </c>
      <c r="C1946" t="s">
        <v>102</v>
      </c>
      <c r="D1946" t="s">
        <v>22</v>
      </c>
      <c r="E1946" t="s">
        <v>1578</v>
      </c>
      <c r="F1946">
        <v>0</v>
      </c>
      <c r="G1946">
        <v>19</v>
      </c>
      <c r="H1946">
        <v>0</v>
      </c>
      <c r="I1946" t="s">
        <v>24</v>
      </c>
      <c r="J1946" t="s">
        <v>25</v>
      </c>
      <c r="K1946">
        <v>0</v>
      </c>
      <c r="L1946">
        <v>0</v>
      </c>
      <c r="M1946" t="s">
        <v>25</v>
      </c>
      <c r="N1946" t="s">
        <v>25</v>
      </c>
      <c r="O1946" t="s">
        <v>26</v>
      </c>
      <c r="P1946" t="s">
        <v>25</v>
      </c>
      <c r="Q1946" t="s">
        <v>27</v>
      </c>
      <c r="R1946" t="s">
        <v>1590</v>
      </c>
    </row>
    <row r="1947" spans="1:20">
      <c r="A1947">
        <v>1957</v>
      </c>
      <c r="B1947" t="s">
        <v>2179</v>
      </c>
      <c r="C1947" t="s">
        <v>102</v>
      </c>
      <c r="D1947" t="s">
        <v>22</v>
      </c>
      <c r="E1947" t="s">
        <v>1578</v>
      </c>
      <c r="F1947">
        <v>0</v>
      </c>
      <c r="G1947">
        <v>19</v>
      </c>
      <c r="H1947">
        <v>0</v>
      </c>
      <c r="I1947" t="s">
        <v>24</v>
      </c>
      <c r="J1947" t="s">
        <v>25</v>
      </c>
      <c r="K1947">
        <v>0</v>
      </c>
      <c r="L1947">
        <v>0</v>
      </c>
      <c r="M1947" t="s">
        <v>25</v>
      </c>
      <c r="N1947" t="s">
        <v>25</v>
      </c>
      <c r="O1947" t="s">
        <v>26</v>
      </c>
      <c r="P1947" t="s">
        <v>25</v>
      </c>
      <c r="Q1947" t="s">
        <v>27</v>
      </c>
      <c r="R1947" t="s">
        <v>1590</v>
      </c>
    </row>
    <row r="1948" spans="1:20">
      <c r="A1948">
        <v>1958</v>
      </c>
      <c r="B1948" t="s">
        <v>2180</v>
      </c>
      <c r="C1948" t="s">
        <v>102</v>
      </c>
      <c r="D1948" t="s">
        <v>22</v>
      </c>
      <c r="E1948" t="s">
        <v>23</v>
      </c>
      <c r="F1948">
        <v>0</v>
      </c>
      <c r="G1948">
        <v>19</v>
      </c>
      <c r="H1948">
        <v>0</v>
      </c>
      <c r="I1948" t="s">
        <v>24</v>
      </c>
      <c r="J1948" t="s">
        <v>25</v>
      </c>
      <c r="K1948">
        <v>0</v>
      </c>
      <c r="L1948">
        <v>0</v>
      </c>
      <c r="M1948" t="s">
        <v>25</v>
      </c>
      <c r="N1948" t="s">
        <v>25</v>
      </c>
      <c r="O1948" t="s">
        <v>26</v>
      </c>
      <c r="P1948" t="s">
        <v>25</v>
      </c>
      <c r="Q1948" t="s">
        <v>2023</v>
      </c>
      <c r="R1948" t="s">
        <v>1590</v>
      </c>
    </row>
    <row r="1949" spans="1:20">
      <c r="A1949">
        <v>1959</v>
      </c>
      <c r="B1949" t="s">
        <v>2181</v>
      </c>
      <c r="C1949" t="s">
        <v>102</v>
      </c>
      <c r="D1949" t="s">
        <v>22</v>
      </c>
      <c r="E1949" t="s">
        <v>23</v>
      </c>
      <c r="F1949">
        <v>0</v>
      </c>
      <c r="G1949">
        <v>19</v>
      </c>
      <c r="H1949">
        <v>0</v>
      </c>
      <c r="I1949" t="s">
        <v>24</v>
      </c>
      <c r="J1949" t="s">
        <v>25</v>
      </c>
      <c r="K1949">
        <v>0</v>
      </c>
      <c r="L1949">
        <v>0</v>
      </c>
      <c r="M1949" t="s">
        <v>25</v>
      </c>
      <c r="N1949" t="s">
        <v>25</v>
      </c>
      <c r="O1949" t="s">
        <v>26</v>
      </c>
      <c r="P1949" t="s">
        <v>25</v>
      </c>
      <c r="Q1949" t="s">
        <v>2023</v>
      </c>
      <c r="R1949" t="s">
        <v>1590</v>
      </c>
    </row>
    <row r="1950" spans="1:20">
      <c r="A1950">
        <v>1960</v>
      </c>
      <c r="B1950" t="s">
        <v>2182</v>
      </c>
      <c r="C1950" t="s">
        <v>102</v>
      </c>
      <c r="D1950" t="s">
        <v>22</v>
      </c>
      <c r="E1950" t="s">
        <v>23</v>
      </c>
      <c r="F1950">
        <v>0</v>
      </c>
      <c r="G1950">
        <v>19</v>
      </c>
      <c r="H1950">
        <v>0</v>
      </c>
      <c r="I1950" t="s">
        <v>24</v>
      </c>
      <c r="J1950" t="s">
        <v>25</v>
      </c>
      <c r="K1950">
        <v>0</v>
      </c>
      <c r="L1950">
        <v>0</v>
      </c>
      <c r="M1950" t="s">
        <v>25</v>
      </c>
      <c r="N1950" t="s">
        <v>25</v>
      </c>
      <c r="O1950" t="s">
        <v>26</v>
      </c>
      <c r="P1950" t="s">
        <v>25</v>
      </c>
      <c r="Q1950" t="s">
        <v>2023</v>
      </c>
      <c r="R1950" t="s">
        <v>1590</v>
      </c>
    </row>
    <row r="1951" spans="1:20">
      <c r="A1951">
        <v>1961</v>
      </c>
      <c r="B1951" t="s">
        <v>2183</v>
      </c>
      <c r="C1951" t="s">
        <v>102</v>
      </c>
      <c r="D1951" t="s">
        <v>22</v>
      </c>
      <c r="E1951" t="s">
        <v>23</v>
      </c>
      <c r="F1951">
        <v>0</v>
      </c>
      <c r="G1951">
        <v>19</v>
      </c>
      <c r="H1951">
        <v>0</v>
      </c>
      <c r="I1951" t="s">
        <v>24</v>
      </c>
      <c r="J1951" t="s">
        <v>25</v>
      </c>
      <c r="K1951">
        <v>0</v>
      </c>
      <c r="L1951">
        <v>0</v>
      </c>
      <c r="M1951" t="s">
        <v>25</v>
      </c>
      <c r="N1951" t="s">
        <v>25</v>
      </c>
      <c r="O1951" t="s">
        <v>26</v>
      </c>
      <c r="P1951" t="s">
        <v>25</v>
      </c>
      <c r="Q1951" t="s">
        <v>2023</v>
      </c>
      <c r="R1951" t="s">
        <v>1590</v>
      </c>
    </row>
    <row r="1952" spans="1:20">
      <c r="A1952">
        <v>1962</v>
      </c>
      <c r="B1952" t="s">
        <v>2184</v>
      </c>
      <c r="C1952" t="s">
        <v>102</v>
      </c>
      <c r="D1952" t="s">
        <v>22</v>
      </c>
      <c r="E1952" t="s">
        <v>23</v>
      </c>
      <c r="F1952">
        <v>0</v>
      </c>
      <c r="G1952">
        <v>19</v>
      </c>
      <c r="H1952">
        <v>0</v>
      </c>
      <c r="I1952" t="s">
        <v>24</v>
      </c>
      <c r="J1952" t="s">
        <v>25</v>
      </c>
      <c r="K1952">
        <v>0</v>
      </c>
      <c r="L1952">
        <v>0</v>
      </c>
      <c r="M1952" t="s">
        <v>25</v>
      </c>
      <c r="N1952" t="s">
        <v>25</v>
      </c>
      <c r="O1952" t="s">
        <v>26</v>
      </c>
      <c r="P1952" t="s">
        <v>25</v>
      </c>
      <c r="Q1952" t="s">
        <v>2023</v>
      </c>
      <c r="R1952" t="s">
        <v>1590</v>
      </c>
    </row>
    <row r="1953" spans="1:20">
      <c r="A1953">
        <v>1963</v>
      </c>
      <c r="B1953" t="s">
        <v>2185</v>
      </c>
      <c r="C1953" t="s">
        <v>102</v>
      </c>
      <c r="D1953" t="s">
        <v>22</v>
      </c>
      <c r="E1953" t="s">
        <v>23</v>
      </c>
      <c r="F1953">
        <v>0</v>
      </c>
      <c r="G1953">
        <v>19</v>
      </c>
      <c r="H1953">
        <v>0</v>
      </c>
      <c r="I1953" t="s">
        <v>24</v>
      </c>
      <c r="J1953" t="s">
        <v>25</v>
      </c>
      <c r="K1953">
        <v>0</v>
      </c>
      <c r="L1953">
        <v>0</v>
      </c>
      <c r="M1953" t="s">
        <v>25</v>
      </c>
      <c r="N1953" t="s">
        <v>25</v>
      </c>
      <c r="O1953" t="s">
        <v>26</v>
      </c>
      <c r="P1953" t="s">
        <v>25</v>
      </c>
      <c r="Q1953" t="s">
        <v>2023</v>
      </c>
      <c r="R1953" t="s">
        <v>1590</v>
      </c>
    </row>
    <row r="1954" spans="1:20">
      <c r="A1954">
        <v>1964</v>
      </c>
      <c r="B1954" t="s">
        <v>2186</v>
      </c>
      <c r="C1954" t="s">
        <v>102</v>
      </c>
      <c r="D1954" t="s">
        <v>22</v>
      </c>
      <c r="E1954" t="s">
        <v>23</v>
      </c>
      <c r="F1954">
        <v>0</v>
      </c>
      <c r="G1954">
        <v>19</v>
      </c>
      <c r="H1954">
        <v>0</v>
      </c>
      <c r="I1954" t="s">
        <v>24</v>
      </c>
      <c r="J1954" t="s">
        <v>25</v>
      </c>
      <c r="K1954">
        <v>0</v>
      </c>
      <c r="L1954">
        <v>0</v>
      </c>
      <c r="M1954" t="s">
        <v>25</v>
      </c>
      <c r="N1954" t="s">
        <v>25</v>
      </c>
      <c r="O1954" t="s">
        <v>26</v>
      </c>
      <c r="P1954" t="s">
        <v>25</v>
      </c>
      <c r="Q1954" t="s">
        <v>2023</v>
      </c>
      <c r="R1954" t="s">
        <v>1590</v>
      </c>
    </row>
    <row r="1955" spans="1:20">
      <c r="A1955">
        <v>1965</v>
      </c>
      <c r="B1955" t="s">
        <v>2187</v>
      </c>
      <c r="C1955" t="s">
        <v>102</v>
      </c>
      <c r="D1955" t="s">
        <v>22</v>
      </c>
      <c r="E1955" t="s">
        <v>23</v>
      </c>
      <c r="F1955">
        <v>0</v>
      </c>
      <c r="G1955">
        <v>19</v>
      </c>
      <c r="H1955">
        <v>0</v>
      </c>
      <c r="I1955" t="s">
        <v>24</v>
      </c>
      <c r="J1955" t="s">
        <v>25</v>
      </c>
      <c r="K1955">
        <v>0</v>
      </c>
      <c r="L1955">
        <v>0</v>
      </c>
      <c r="M1955" t="s">
        <v>25</v>
      </c>
      <c r="N1955" t="s">
        <v>25</v>
      </c>
      <c r="O1955" t="s">
        <v>26</v>
      </c>
      <c r="P1955" t="s">
        <v>25</v>
      </c>
      <c r="Q1955" t="s">
        <v>2023</v>
      </c>
      <c r="R1955" t="s">
        <v>1590</v>
      </c>
    </row>
    <row r="1956" spans="1:20">
      <c r="A1956">
        <v>1966</v>
      </c>
      <c r="B1956" t="s">
        <v>2188</v>
      </c>
      <c r="C1956" t="s">
        <v>102</v>
      </c>
      <c r="D1956" t="s">
        <v>22</v>
      </c>
      <c r="E1956" t="s">
        <v>23</v>
      </c>
      <c r="F1956">
        <v>0</v>
      </c>
      <c r="G1956">
        <v>19</v>
      </c>
      <c r="H1956">
        <v>0</v>
      </c>
      <c r="I1956" t="s">
        <v>24</v>
      </c>
      <c r="J1956" t="s">
        <v>25</v>
      </c>
      <c r="K1956">
        <v>0</v>
      </c>
      <c r="L1956">
        <v>0</v>
      </c>
      <c r="M1956" t="s">
        <v>25</v>
      </c>
      <c r="N1956" t="s">
        <v>25</v>
      </c>
      <c r="O1956" t="s">
        <v>26</v>
      </c>
      <c r="P1956" t="s">
        <v>25</v>
      </c>
      <c r="Q1956" t="s">
        <v>2023</v>
      </c>
      <c r="R1956" t="s">
        <v>1590</v>
      </c>
    </row>
    <row r="1957" spans="1:20">
      <c r="A1957">
        <v>1967</v>
      </c>
      <c r="B1957" t="s">
        <v>2189</v>
      </c>
      <c r="C1957" t="s">
        <v>102</v>
      </c>
      <c r="D1957" t="s">
        <v>22</v>
      </c>
      <c r="E1957" t="s">
        <v>23</v>
      </c>
      <c r="F1957">
        <v>0</v>
      </c>
      <c r="G1957">
        <v>19</v>
      </c>
      <c r="H1957">
        <v>0</v>
      </c>
      <c r="I1957" t="s">
        <v>24</v>
      </c>
      <c r="J1957" t="s">
        <v>25</v>
      </c>
      <c r="K1957">
        <v>0</v>
      </c>
      <c r="L1957">
        <v>0</v>
      </c>
      <c r="M1957" t="s">
        <v>25</v>
      </c>
      <c r="N1957" t="s">
        <v>25</v>
      </c>
      <c r="O1957" t="s">
        <v>26</v>
      </c>
      <c r="P1957" t="s">
        <v>25</v>
      </c>
      <c r="Q1957" t="s">
        <v>2023</v>
      </c>
      <c r="R1957" t="s">
        <v>1590</v>
      </c>
      <c r="S1957" t="s">
        <v>48</v>
      </c>
      <c r="T1957" t="s">
        <v>643</v>
      </c>
    </row>
    <row r="1958" spans="1:20">
      <c r="A1958">
        <v>1968</v>
      </c>
      <c r="B1958" t="s">
        <v>2190</v>
      </c>
      <c r="C1958" t="s">
        <v>102</v>
      </c>
      <c r="D1958" t="s">
        <v>22</v>
      </c>
      <c r="E1958" t="s">
        <v>23</v>
      </c>
      <c r="F1958">
        <v>0</v>
      </c>
      <c r="G1958">
        <v>19</v>
      </c>
      <c r="H1958">
        <v>0</v>
      </c>
      <c r="I1958" t="s">
        <v>24</v>
      </c>
      <c r="J1958" t="s">
        <v>25</v>
      </c>
      <c r="K1958">
        <v>0</v>
      </c>
      <c r="L1958">
        <v>0</v>
      </c>
      <c r="M1958" t="s">
        <v>25</v>
      </c>
      <c r="N1958" t="s">
        <v>25</v>
      </c>
      <c r="O1958" t="s">
        <v>26</v>
      </c>
      <c r="P1958" t="s">
        <v>25</v>
      </c>
      <c r="Q1958" t="s">
        <v>2023</v>
      </c>
      <c r="R1958" t="s">
        <v>1590</v>
      </c>
    </row>
    <row r="1959" spans="1:20">
      <c r="A1959">
        <v>1969</v>
      </c>
      <c r="B1959" t="s">
        <v>2191</v>
      </c>
      <c r="C1959" t="s">
        <v>102</v>
      </c>
      <c r="D1959" t="s">
        <v>22</v>
      </c>
      <c r="E1959" t="s">
        <v>23</v>
      </c>
      <c r="F1959">
        <v>0</v>
      </c>
      <c r="G1959">
        <v>19</v>
      </c>
      <c r="H1959">
        <v>0</v>
      </c>
      <c r="I1959" t="s">
        <v>24</v>
      </c>
      <c r="J1959" t="s">
        <v>25</v>
      </c>
      <c r="K1959">
        <v>0</v>
      </c>
      <c r="L1959">
        <v>0</v>
      </c>
      <c r="M1959" t="s">
        <v>25</v>
      </c>
      <c r="N1959" t="s">
        <v>25</v>
      </c>
      <c r="O1959" t="s">
        <v>26</v>
      </c>
      <c r="P1959" t="s">
        <v>25</v>
      </c>
      <c r="Q1959" t="s">
        <v>2023</v>
      </c>
      <c r="R1959" t="s">
        <v>1590</v>
      </c>
    </row>
    <row r="1960" spans="1:20">
      <c r="A1960">
        <v>1970</v>
      </c>
      <c r="B1960" t="s">
        <v>2192</v>
      </c>
      <c r="C1960" t="s">
        <v>102</v>
      </c>
      <c r="D1960" t="s">
        <v>22</v>
      </c>
      <c r="E1960" t="s">
        <v>23</v>
      </c>
      <c r="F1960">
        <v>0</v>
      </c>
      <c r="G1960">
        <v>19</v>
      </c>
      <c r="H1960">
        <v>0</v>
      </c>
      <c r="I1960" t="s">
        <v>24</v>
      </c>
      <c r="J1960" t="s">
        <v>25</v>
      </c>
      <c r="K1960">
        <v>0</v>
      </c>
      <c r="L1960">
        <v>0</v>
      </c>
      <c r="M1960" t="s">
        <v>25</v>
      </c>
      <c r="N1960" t="s">
        <v>25</v>
      </c>
      <c r="O1960" t="s">
        <v>26</v>
      </c>
      <c r="P1960" t="s">
        <v>25</v>
      </c>
      <c r="Q1960" t="s">
        <v>2023</v>
      </c>
      <c r="R1960" t="s">
        <v>1976</v>
      </c>
    </row>
    <row r="1961" spans="1:20">
      <c r="A1961">
        <v>1971</v>
      </c>
      <c r="B1961" t="s">
        <v>2193</v>
      </c>
      <c r="C1961" t="s">
        <v>102</v>
      </c>
      <c r="D1961" t="s">
        <v>22</v>
      </c>
      <c r="E1961" t="s">
        <v>1746</v>
      </c>
      <c r="F1961">
        <v>0</v>
      </c>
      <c r="G1961">
        <v>19</v>
      </c>
      <c r="H1961">
        <v>0</v>
      </c>
      <c r="I1961" t="s">
        <v>24</v>
      </c>
      <c r="J1961" t="s">
        <v>25</v>
      </c>
      <c r="K1961">
        <v>0</v>
      </c>
      <c r="L1961">
        <v>0</v>
      </c>
      <c r="M1961" t="s">
        <v>25</v>
      </c>
      <c r="N1961" t="s">
        <v>25</v>
      </c>
      <c r="O1961" t="s">
        <v>26</v>
      </c>
      <c r="P1961" t="s">
        <v>25</v>
      </c>
      <c r="Q1961" t="s">
        <v>2023</v>
      </c>
      <c r="R1961" t="s">
        <v>1976</v>
      </c>
      <c r="S1961" t="s">
        <v>231</v>
      </c>
      <c r="T1961" t="s">
        <v>1167</v>
      </c>
    </row>
    <row r="1962" spans="1:20">
      <c r="A1962">
        <v>1972</v>
      </c>
      <c r="B1962" t="s">
        <v>2194</v>
      </c>
      <c r="C1962" t="s">
        <v>102</v>
      </c>
      <c r="D1962" t="s">
        <v>22</v>
      </c>
      <c r="E1962" t="s">
        <v>1578</v>
      </c>
      <c r="F1962">
        <v>0</v>
      </c>
      <c r="G1962">
        <v>0</v>
      </c>
      <c r="H1962">
        <v>0</v>
      </c>
      <c r="I1962" t="s">
        <v>24</v>
      </c>
      <c r="J1962" t="s">
        <v>25</v>
      </c>
      <c r="K1962">
        <v>0</v>
      </c>
      <c r="L1962">
        <v>0</v>
      </c>
      <c r="M1962" t="s">
        <v>25</v>
      </c>
      <c r="N1962" t="s">
        <v>25</v>
      </c>
      <c r="O1962" t="s">
        <v>26</v>
      </c>
      <c r="P1962" t="s">
        <v>25</v>
      </c>
      <c r="Q1962" t="s">
        <v>27</v>
      </c>
      <c r="R1962" t="s">
        <v>1976</v>
      </c>
    </row>
    <row r="1963" spans="1:20">
      <c r="A1963">
        <v>1973</v>
      </c>
      <c r="B1963" t="s">
        <v>2195</v>
      </c>
      <c r="C1963" t="s">
        <v>102</v>
      </c>
      <c r="D1963" t="s">
        <v>22</v>
      </c>
      <c r="E1963" t="s">
        <v>23</v>
      </c>
      <c r="F1963">
        <v>0</v>
      </c>
      <c r="G1963">
        <v>19</v>
      </c>
      <c r="H1963">
        <v>0</v>
      </c>
      <c r="I1963" t="s">
        <v>24</v>
      </c>
      <c r="J1963" t="s">
        <v>25</v>
      </c>
      <c r="K1963">
        <v>0</v>
      </c>
      <c r="L1963">
        <v>0</v>
      </c>
      <c r="M1963" t="s">
        <v>25</v>
      </c>
      <c r="N1963" t="s">
        <v>25</v>
      </c>
      <c r="O1963" t="s">
        <v>26</v>
      </c>
      <c r="P1963" t="s">
        <v>25</v>
      </c>
      <c r="Q1963" t="s">
        <v>2023</v>
      </c>
      <c r="R1963" t="s">
        <v>1976</v>
      </c>
    </row>
    <row r="1964" spans="1:20">
      <c r="A1964">
        <v>1974</v>
      </c>
      <c r="B1964" t="s">
        <v>2196</v>
      </c>
      <c r="C1964" t="s">
        <v>102</v>
      </c>
      <c r="D1964" t="s">
        <v>22</v>
      </c>
      <c r="E1964" t="s">
        <v>1578</v>
      </c>
      <c r="F1964">
        <v>0</v>
      </c>
      <c r="G1964">
        <v>0</v>
      </c>
      <c r="H1964">
        <v>0</v>
      </c>
      <c r="I1964" t="s">
        <v>24</v>
      </c>
      <c r="J1964" t="s">
        <v>25</v>
      </c>
      <c r="K1964">
        <v>0</v>
      </c>
      <c r="L1964">
        <v>0</v>
      </c>
      <c r="M1964" t="s">
        <v>25</v>
      </c>
      <c r="N1964" t="s">
        <v>25</v>
      </c>
      <c r="O1964" t="s">
        <v>26</v>
      </c>
      <c r="P1964" t="s">
        <v>25</v>
      </c>
      <c r="Q1964" t="s">
        <v>27</v>
      </c>
      <c r="R1964" t="s">
        <v>1976</v>
      </c>
    </row>
    <row r="1965" spans="1:20">
      <c r="A1965">
        <v>1975</v>
      </c>
      <c r="B1965" t="s">
        <v>2197</v>
      </c>
      <c r="C1965" t="s">
        <v>102</v>
      </c>
      <c r="D1965" t="s">
        <v>22</v>
      </c>
      <c r="E1965" t="s">
        <v>23</v>
      </c>
      <c r="F1965">
        <v>0</v>
      </c>
      <c r="G1965">
        <v>19</v>
      </c>
      <c r="H1965">
        <v>0</v>
      </c>
      <c r="I1965" t="s">
        <v>24</v>
      </c>
      <c r="J1965" t="s">
        <v>25</v>
      </c>
      <c r="K1965">
        <v>0</v>
      </c>
      <c r="L1965">
        <v>0</v>
      </c>
      <c r="M1965" t="s">
        <v>25</v>
      </c>
      <c r="N1965" t="s">
        <v>25</v>
      </c>
      <c r="O1965" t="s">
        <v>26</v>
      </c>
      <c r="P1965" t="s">
        <v>25</v>
      </c>
      <c r="Q1965" t="s">
        <v>2023</v>
      </c>
      <c r="R1965" t="s">
        <v>1976</v>
      </c>
    </row>
    <row r="1966" spans="1:20">
      <c r="A1966">
        <v>1976</v>
      </c>
      <c r="B1966" t="s">
        <v>2198</v>
      </c>
      <c r="C1966" t="s">
        <v>102</v>
      </c>
      <c r="D1966" t="s">
        <v>22</v>
      </c>
      <c r="E1966" t="s">
        <v>1578</v>
      </c>
      <c r="F1966">
        <v>0</v>
      </c>
      <c r="G1966">
        <v>19</v>
      </c>
      <c r="H1966">
        <v>0</v>
      </c>
      <c r="I1966" t="s">
        <v>24</v>
      </c>
      <c r="J1966" t="s">
        <v>25</v>
      </c>
      <c r="K1966">
        <v>0</v>
      </c>
      <c r="L1966">
        <v>0</v>
      </c>
      <c r="M1966" t="s">
        <v>25</v>
      </c>
      <c r="N1966" t="s">
        <v>25</v>
      </c>
      <c r="O1966" t="s">
        <v>26</v>
      </c>
      <c r="P1966" t="s">
        <v>25</v>
      </c>
      <c r="Q1966" t="s">
        <v>27</v>
      </c>
      <c r="R1966" t="s">
        <v>1976</v>
      </c>
    </row>
    <row r="1967" spans="1:20">
      <c r="A1967">
        <v>1977</v>
      </c>
      <c r="B1967" t="s">
        <v>2199</v>
      </c>
      <c r="C1967" t="s">
        <v>102</v>
      </c>
      <c r="D1967" t="s">
        <v>22</v>
      </c>
      <c r="E1967" t="s">
        <v>1578</v>
      </c>
      <c r="F1967">
        <v>0</v>
      </c>
      <c r="G1967">
        <v>19</v>
      </c>
      <c r="H1967">
        <v>0</v>
      </c>
      <c r="I1967" t="s">
        <v>24</v>
      </c>
      <c r="J1967" t="s">
        <v>25</v>
      </c>
      <c r="K1967">
        <v>0</v>
      </c>
      <c r="L1967">
        <v>0</v>
      </c>
      <c r="M1967" t="s">
        <v>25</v>
      </c>
      <c r="N1967" t="s">
        <v>25</v>
      </c>
      <c r="O1967" t="s">
        <v>26</v>
      </c>
      <c r="P1967" t="s">
        <v>25</v>
      </c>
      <c r="Q1967" t="s">
        <v>27</v>
      </c>
      <c r="R1967" t="s">
        <v>1976</v>
      </c>
    </row>
    <row r="1968" spans="1:20">
      <c r="A1968">
        <v>1978</v>
      </c>
      <c r="B1968" t="s">
        <v>2200</v>
      </c>
      <c r="C1968" t="s">
        <v>102</v>
      </c>
      <c r="D1968" t="s">
        <v>22</v>
      </c>
      <c r="E1968" t="s">
        <v>1578</v>
      </c>
      <c r="F1968">
        <v>0</v>
      </c>
      <c r="G1968">
        <v>0</v>
      </c>
      <c r="H1968">
        <v>0</v>
      </c>
      <c r="I1968" t="s">
        <v>24</v>
      </c>
      <c r="J1968" t="s">
        <v>25</v>
      </c>
      <c r="K1968">
        <v>0</v>
      </c>
      <c r="L1968">
        <v>0</v>
      </c>
      <c r="M1968" t="s">
        <v>25</v>
      </c>
      <c r="N1968" t="s">
        <v>25</v>
      </c>
      <c r="O1968" t="s">
        <v>26</v>
      </c>
      <c r="P1968" t="s">
        <v>25</v>
      </c>
      <c r="Q1968" t="s">
        <v>27</v>
      </c>
      <c r="R1968" t="s">
        <v>1976</v>
      </c>
    </row>
    <row r="1969" spans="1:18">
      <c r="A1969">
        <v>1979</v>
      </c>
      <c r="B1969" t="s">
        <v>2201</v>
      </c>
      <c r="C1969" t="s">
        <v>102</v>
      </c>
      <c r="D1969" t="s">
        <v>22</v>
      </c>
      <c r="E1969" t="s">
        <v>1578</v>
      </c>
      <c r="F1969">
        <v>0</v>
      </c>
      <c r="G1969">
        <v>19</v>
      </c>
      <c r="H1969">
        <v>0</v>
      </c>
      <c r="I1969" t="s">
        <v>24</v>
      </c>
      <c r="J1969" t="s">
        <v>25</v>
      </c>
      <c r="K1969">
        <v>0</v>
      </c>
      <c r="L1969">
        <v>0</v>
      </c>
      <c r="M1969" t="s">
        <v>25</v>
      </c>
      <c r="N1969" t="s">
        <v>25</v>
      </c>
      <c r="O1969" t="s">
        <v>26</v>
      </c>
      <c r="P1969" t="s">
        <v>25</v>
      </c>
      <c r="Q1969" t="s">
        <v>27</v>
      </c>
      <c r="R1969" t="s">
        <v>1976</v>
      </c>
    </row>
    <row r="1970" spans="1:18">
      <c r="A1970">
        <v>1980</v>
      </c>
      <c r="B1970" t="s">
        <v>2202</v>
      </c>
      <c r="C1970" t="s">
        <v>21</v>
      </c>
      <c r="D1970" t="s">
        <v>22</v>
      </c>
      <c r="E1970" t="s">
        <v>1578</v>
      </c>
      <c r="F1970">
        <v>0</v>
      </c>
      <c r="G1970">
        <v>19</v>
      </c>
      <c r="H1970">
        <v>0</v>
      </c>
      <c r="I1970" t="s">
        <v>24</v>
      </c>
      <c r="J1970" t="s">
        <v>25</v>
      </c>
      <c r="K1970">
        <v>0</v>
      </c>
      <c r="L1970">
        <v>0</v>
      </c>
      <c r="M1970" t="s">
        <v>25</v>
      </c>
      <c r="N1970" t="s">
        <v>25</v>
      </c>
      <c r="O1970" t="s">
        <v>26</v>
      </c>
      <c r="P1970" t="s">
        <v>25</v>
      </c>
      <c r="Q1970" t="s">
        <v>27</v>
      </c>
      <c r="R1970" t="s">
        <v>1976</v>
      </c>
    </row>
    <row r="1971" spans="1:18">
      <c r="A1971">
        <v>1981</v>
      </c>
      <c r="B1971" t="s">
        <v>2203</v>
      </c>
      <c r="C1971" t="s">
        <v>2204</v>
      </c>
      <c r="D1971" t="s">
        <v>217</v>
      </c>
      <c r="E1971" t="s">
        <v>1975</v>
      </c>
      <c r="F1971">
        <v>0</v>
      </c>
      <c r="G1971">
        <v>0</v>
      </c>
      <c r="H1971">
        <v>0</v>
      </c>
      <c r="I1971" t="s">
        <v>24</v>
      </c>
      <c r="J1971" t="s">
        <v>25</v>
      </c>
      <c r="K1971">
        <v>0</v>
      </c>
      <c r="L1971">
        <v>0</v>
      </c>
      <c r="M1971" t="s">
        <v>25</v>
      </c>
      <c r="N1971" t="s">
        <v>25</v>
      </c>
      <c r="O1971" t="s">
        <v>26</v>
      </c>
      <c r="P1971" t="s">
        <v>25</v>
      </c>
      <c r="Q1971" t="s">
        <v>297</v>
      </c>
      <c r="R1971" t="s">
        <v>1976</v>
      </c>
    </row>
    <row r="1972" spans="1:18">
      <c r="A1972">
        <v>1982</v>
      </c>
      <c r="B1972" t="s">
        <v>2205</v>
      </c>
      <c r="C1972" t="s">
        <v>21</v>
      </c>
      <c r="D1972" t="s">
        <v>22</v>
      </c>
      <c r="E1972" t="s">
        <v>1578</v>
      </c>
      <c r="F1972">
        <v>0</v>
      </c>
      <c r="G1972">
        <v>19</v>
      </c>
      <c r="H1972">
        <v>0</v>
      </c>
      <c r="I1972" t="s">
        <v>24</v>
      </c>
      <c r="J1972" t="s">
        <v>25</v>
      </c>
      <c r="K1972">
        <v>0</v>
      </c>
      <c r="L1972">
        <v>0</v>
      </c>
      <c r="M1972" t="s">
        <v>25</v>
      </c>
      <c r="N1972" t="s">
        <v>25</v>
      </c>
      <c r="O1972" t="s">
        <v>26</v>
      </c>
      <c r="P1972" t="s">
        <v>25</v>
      </c>
      <c r="Q1972" t="s">
        <v>27</v>
      </c>
      <c r="R1972" t="s">
        <v>1976</v>
      </c>
    </row>
    <row r="1973" spans="1:18">
      <c r="A1973">
        <v>1983</v>
      </c>
      <c r="B1973" t="s">
        <v>2206</v>
      </c>
      <c r="C1973" t="s">
        <v>21</v>
      </c>
      <c r="D1973" t="s">
        <v>22</v>
      </c>
      <c r="E1973" t="s">
        <v>1578</v>
      </c>
      <c r="F1973">
        <v>0</v>
      </c>
      <c r="G1973">
        <v>19</v>
      </c>
      <c r="H1973">
        <v>0</v>
      </c>
      <c r="I1973" t="s">
        <v>24</v>
      </c>
      <c r="J1973" t="s">
        <v>25</v>
      </c>
      <c r="K1973">
        <v>0</v>
      </c>
      <c r="L1973">
        <v>0</v>
      </c>
      <c r="M1973" t="s">
        <v>25</v>
      </c>
      <c r="N1973" t="s">
        <v>25</v>
      </c>
      <c r="O1973" t="s">
        <v>26</v>
      </c>
      <c r="P1973" t="s">
        <v>25</v>
      </c>
      <c r="Q1973" t="s">
        <v>27</v>
      </c>
      <c r="R1973" t="s">
        <v>1976</v>
      </c>
    </row>
    <row r="1974" spans="1:18">
      <c r="A1974">
        <v>1984</v>
      </c>
      <c r="B1974" t="s">
        <v>2207</v>
      </c>
      <c r="C1974" t="s">
        <v>21</v>
      </c>
      <c r="D1974" t="s">
        <v>22</v>
      </c>
      <c r="E1974" t="s">
        <v>1578</v>
      </c>
      <c r="F1974">
        <v>0</v>
      </c>
      <c r="G1974">
        <v>19</v>
      </c>
      <c r="H1974">
        <v>0</v>
      </c>
      <c r="I1974" t="s">
        <v>24</v>
      </c>
      <c r="J1974" t="s">
        <v>25</v>
      </c>
      <c r="K1974">
        <v>0</v>
      </c>
      <c r="L1974">
        <v>0</v>
      </c>
      <c r="M1974" t="s">
        <v>25</v>
      </c>
      <c r="N1974" t="s">
        <v>25</v>
      </c>
      <c r="O1974" t="s">
        <v>26</v>
      </c>
      <c r="P1974" t="s">
        <v>25</v>
      </c>
      <c r="Q1974" t="s">
        <v>27</v>
      </c>
      <c r="R1974" t="s">
        <v>1976</v>
      </c>
    </row>
    <row r="1975" spans="1:18">
      <c r="A1975">
        <v>1985</v>
      </c>
      <c r="B1975" t="s">
        <v>2208</v>
      </c>
      <c r="C1975" t="s">
        <v>21</v>
      </c>
      <c r="D1975" t="s">
        <v>22</v>
      </c>
      <c r="E1975" t="s">
        <v>1578</v>
      </c>
      <c r="F1975">
        <v>0</v>
      </c>
      <c r="G1975">
        <v>19</v>
      </c>
      <c r="H1975">
        <v>0</v>
      </c>
      <c r="I1975" t="s">
        <v>24</v>
      </c>
      <c r="J1975" t="s">
        <v>25</v>
      </c>
      <c r="K1975">
        <v>0</v>
      </c>
      <c r="L1975">
        <v>0</v>
      </c>
      <c r="M1975" t="s">
        <v>25</v>
      </c>
      <c r="N1975" t="s">
        <v>25</v>
      </c>
      <c r="O1975" t="s">
        <v>26</v>
      </c>
      <c r="P1975" t="s">
        <v>25</v>
      </c>
      <c r="Q1975" t="s">
        <v>27</v>
      </c>
      <c r="R1975" t="s">
        <v>1976</v>
      </c>
    </row>
    <row r="1976" spans="1:18">
      <c r="A1976">
        <v>1986</v>
      </c>
      <c r="B1976" t="s">
        <v>2209</v>
      </c>
      <c r="C1976" t="s">
        <v>21</v>
      </c>
      <c r="D1976" t="s">
        <v>22</v>
      </c>
      <c r="E1976" t="s">
        <v>1578</v>
      </c>
      <c r="F1976">
        <v>0</v>
      </c>
      <c r="G1976">
        <v>19</v>
      </c>
      <c r="H1976">
        <v>0</v>
      </c>
      <c r="I1976" t="s">
        <v>24</v>
      </c>
      <c r="J1976" t="s">
        <v>25</v>
      </c>
      <c r="K1976">
        <v>0</v>
      </c>
      <c r="L1976">
        <v>0</v>
      </c>
      <c r="M1976" t="s">
        <v>25</v>
      </c>
      <c r="N1976" t="s">
        <v>25</v>
      </c>
      <c r="O1976" t="s">
        <v>26</v>
      </c>
      <c r="P1976" t="s">
        <v>25</v>
      </c>
      <c r="Q1976" t="s">
        <v>27</v>
      </c>
      <c r="R1976" t="s">
        <v>1976</v>
      </c>
    </row>
    <row r="1977" spans="1:18">
      <c r="A1977">
        <v>1987</v>
      </c>
      <c r="B1977" t="s">
        <v>2210</v>
      </c>
      <c r="C1977" t="s">
        <v>102</v>
      </c>
      <c r="D1977" t="s">
        <v>22</v>
      </c>
      <c r="E1977" t="s">
        <v>1578</v>
      </c>
      <c r="F1977">
        <v>0</v>
      </c>
      <c r="G1977">
        <v>19</v>
      </c>
      <c r="H1977">
        <v>0</v>
      </c>
      <c r="I1977" t="s">
        <v>24</v>
      </c>
      <c r="J1977" t="s">
        <v>25</v>
      </c>
      <c r="K1977">
        <v>0</v>
      </c>
      <c r="L1977">
        <v>0</v>
      </c>
      <c r="M1977" t="s">
        <v>25</v>
      </c>
      <c r="N1977" t="s">
        <v>25</v>
      </c>
      <c r="O1977" t="s">
        <v>26</v>
      </c>
      <c r="P1977" t="s">
        <v>25</v>
      </c>
      <c r="Q1977" t="s">
        <v>27</v>
      </c>
      <c r="R1977" t="s">
        <v>1976</v>
      </c>
    </row>
    <row r="1978" spans="1:18">
      <c r="A1978">
        <v>1988</v>
      </c>
      <c r="B1978" t="s">
        <v>2211</v>
      </c>
      <c r="C1978" t="s">
        <v>102</v>
      </c>
      <c r="D1978" t="s">
        <v>22</v>
      </c>
      <c r="E1978" t="s">
        <v>23</v>
      </c>
      <c r="F1978">
        <v>0</v>
      </c>
      <c r="G1978">
        <v>19</v>
      </c>
      <c r="H1978">
        <v>0</v>
      </c>
      <c r="I1978" t="s">
        <v>24</v>
      </c>
      <c r="J1978" t="s">
        <v>25</v>
      </c>
      <c r="K1978">
        <v>0</v>
      </c>
      <c r="L1978">
        <v>0</v>
      </c>
      <c r="M1978" t="s">
        <v>25</v>
      </c>
      <c r="N1978" t="s">
        <v>25</v>
      </c>
      <c r="O1978" t="s">
        <v>26</v>
      </c>
      <c r="P1978" t="s">
        <v>25</v>
      </c>
      <c r="Q1978" t="s">
        <v>2023</v>
      </c>
      <c r="R1978" t="s">
        <v>1976</v>
      </c>
    </row>
    <row r="1979" spans="1:18">
      <c r="A1979">
        <v>1989</v>
      </c>
      <c r="B1979" t="s">
        <v>2212</v>
      </c>
      <c r="C1979" t="s">
        <v>102</v>
      </c>
      <c r="D1979" t="s">
        <v>22</v>
      </c>
      <c r="E1979" t="s">
        <v>23</v>
      </c>
      <c r="F1979">
        <v>0</v>
      </c>
      <c r="G1979">
        <v>19</v>
      </c>
      <c r="H1979">
        <v>0</v>
      </c>
      <c r="I1979" t="s">
        <v>24</v>
      </c>
      <c r="J1979" t="s">
        <v>25</v>
      </c>
      <c r="K1979">
        <v>0</v>
      </c>
      <c r="L1979">
        <v>0</v>
      </c>
      <c r="M1979" t="s">
        <v>25</v>
      </c>
      <c r="N1979" t="s">
        <v>25</v>
      </c>
      <c r="O1979" t="s">
        <v>26</v>
      </c>
      <c r="P1979" t="s">
        <v>25</v>
      </c>
      <c r="Q1979" t="s">
        <v>2023</v>
      </c>
      <c r="R1979" t="s">
        <v>1976</v>
      </c>
    </row>
    <row r="1980" spans="1:18">
      <c r="A1980">
        <v>1990</v>
      </c>
      <c r="B1980" t="s">
        <v>2213</v>
      </c>
      <c r="C1980" t="s">
        <v>102</v>
      </c>
      <c r="D1980" t="s">
        <v>22</v>
      </c>
      <c r="E1980" t="s">
        <v>23</v>
      </c>
      <c r="F1980">
        <v>0</v>
      </c>
      <c r="G1980">
        <v>19</v>
      </c>
      <c r="H1980">
        <v>0</v>
      </c>
      <c r="I1980" t="s">
        <v>24</v>
      </c>
      <c r="J1980" t="s">
        <v>25</v>
      </c>
      <c r="K1980">
        <v>0</v>
      </c>
      <c r="L1980">
        <v>0</v>
      </c>
      <c r="M1980" t="s">
        <v>25</v>
      </c>
      <c r="N1980" t="s">
        <v>25</v>
      </c>
      <c r="O1980" t="s">
        <v>26</v>
      </c>
      <c r="P1980" t="s">
        <v>25</v>
      </c>
      <c r="Q1980" t="s">
        <v>2023</v>
      </c>
      <c r="R1980" t="s">
        <v>1976</v>
      </c>
    </row>
    <row r="1981" spans="1:18">
      <c r="A1981">
        <v>1991</v>
      </c>
      <c r="B1981" t="s">
        <v>2214</v>
      </c>
      <c r="C1981" t="s">
        <v>102</v>
      </c>
      <c r="D1981" t="s">
        <v>22</v>
      </c>
      <c r="E1981" t="s">
        <v>23</v>
      </c>
      <c r="F1981">
        <v>0</v>
      </c>
      <c r="G1981">
        <v>19</v>
      </c>
      <c r="H1981">
        <v>0</v>
      </c>
      <c r="I1981" t="s">
        <v>24</v>
      </c>
      <c r="J1981" t="s">
        <v>25</v>
      </c>
      <c r="K1981">
        <v>0</v>
      </c>
      <c r="L1981">
        <v>0</v>
      </c>
      <c r="M1981" t="s">
        <v>25</v>
      </c>
      <c r="N1981" t="s">
        <v>25</v>
      </c>
      <c r="O1981" t="s">
        <v>26</v>
      </c>
      <c r="P1981" t="s">
        <v>25</v>
      </c>
      <c r="Q1981" t="s">
        <v>2023</v>
      </c>
      <c r="R1981" t="s">
        <v>1976</v>
      </c>
    </row>
    <row r="1982" spans="1:18">
      <c r="A1982">
        <v>1992</v>
      </c>
      <c r="B1982" t="s">
        <v>2215</v>
      </c>
      <c r="C1982" t="s">
        <v>102</v>
      </c>
      <c r="D1982" t="s">
        <v>22</v>
      </c>
      <c r="E1982" t="s">
        <v>1578</v>
      </c>
      <c r="F1982">
        <v>0</v>
      </c>
      <c r="G1982">
        <v>19</v>
      </c>
      <c r="H1982">
        <v>0</v>
      </c>
      <c r="I1982" t="s">
        <v>24</v>
      </c>
      <c r="J1982" t="s">
        <v>25</v>
      </c>
      <c r="K1982">
        <v>0</v>
      </c>
      <c r="L1982">
        <v>0</v>
      </c>
      <c r="M1982" t="s">
        <v>25</v>
      </c>
      <c r="N1982" t="s">
        <v>25</v>
      </c>
      <c r="O1982" t="s">
        <v>26</v>
      </c>
      <c r="P1982" t="s">
        <v>25</v>
      </c>
      <c r="Q1982" t="s">
        <v>27</v>
      </c>
      <c r="R1982" t="s">
        <v>1976</v>
      </c>
    </row>
    <row r="1983" spans="1:18">
      <c r="A1983">
        <v>1993</v>
      </c>
      <c r="B1983" t="s">
        <v>2216</v>
      </c>
      <c r="C1983" t="s">
        <v>247</v>
      </c>
      <c r="D1983" t="s">
        <v>22</v>
      </c>
      <c r="E1983" t="s">
        <v>1578</v>
      </c>
      <c r="F1983">
        <v>0</v>
      </c>
      <c r="G1983">
        <v>19</v>
      </c>
      <c r="H1983">
        <v>0</v>
      </c>
      <c r="I1983" t="s">
        <v>24</v>
      </c>
      <c r="J1983" t="s">
        <v>25</v>
      </c>
      <c r="K1983">
        <v>0</v>
      </c>
      <c r="L1983">
        <v>0</v>
      </c>
      <c r="M1983" t="s">
        <v>25</v>
      </c>
      <c r="N1983" t="s">
        <v>25</v>
      </c>
      <c r="O1983" t="s">
        <v>26</v>
      </c>
      <c r="P1983" t="s">
        <v>25</v>
      </c>
      <c r="Q1983" t="s">
        <v>27</v>
      </c>
      <c r="R1983" t="s">
        <v>1976</v>
      </c>
    </row>
    <row r="1984" spans="1:18">
      <c r="A1984">
        <v>1994</v>
      </c>
      <c r="B1984" t="s">
        <v>2217</v>
      </c>
      <c r="C1984" t="s">
        <v>247</v>
      </c>
      <c r="D1984" t="s">
        <v>22</v>
      </c>
      <c r="E1984" t="s">
        <v>1578</v>
      </c>
      <c r="F1984">
        <v>0</v>
      </c>
      <c r="G1984">
        <v>0</v>
      </c>
      <c r="H1984">
        <v>0</v>
      </c>
      <c r="I1984" t="s">
        <v>24</v>
      </c>
      <c r="J1984" t="s">
        <v>25</v>
      </c>
      <c r="K1984">
        <v>0</v>
      </c>
      <c r="L1984">
        <v>0</v>
      </c>
      <c r="M1984" t="s">
        <v>25</v>
      </c>
      <c r="N1984" t="s">
        <v>25</v>
      </c>
      <c r="O1984" t="s">
        <v>26</v>
      </c>
      <c r="P1984" t="s">
        <v>25</v>
      </c>
      <c r="Q1984" t="s">
        <v>27</v>
      </c>
      <c r="R1984" t="s">
        <v>1976</v>
      </c>
    </row>
    <row r="1985" spans="1:18">
      <c r="A1985">
        <v>1995</v>
      </c>
      <c r="B1985" t="s">
        <v>2218</v>
      </c>
      <c r="C1985" t="s">
        <v>247</v>
      </c>
      <c r="D1985" t="s">
        <v>22</v>
      </c>
      <c r="E1985" t="s">
        <v>1578</v>
      </c>
      <c r="F1985">
        <v>0</v>
      </c>
      <c r="G1985">
        <v>19</v>
      </c>
      <c r="H1985">
        <v>0</v>
      </c>
      <c r="I1985" t="s">
        <v>24</v>
      </c>
      <c r="J1985" t="s">
        <v>25</v>
      </c>
      <c r="K1985">
        <v>0</v>
      </c>
      <c r="L1985">
        <v>0</v>
      </c>
      <c r="M1985" t="s">
        <v>25</v>
      </c>
      <c r="N1985" t="s">
        <v>25</v>
      </c>
      <c r="O1985" t="s">
        <v>26</v>
      </c>
      <c r="P1985" t="s">
        <v>25</v>
      </c>
      <c r="Q1985" t="s">
        <v>27</v>
      </c>
      <c r="R1985" t="s">
        <v>1976</v>
      </c>
    </row>
    <row r="1986" spans="1:18">
      <c r="A1986">
        <v>1996</v>
      </c>
      <c r="B1986" t="s">
        <v>2219</v>
      </c>
      <c r="C1986" t="s">
        <v>247</v>
      </c>
      <c r="D1986" t="s">
        <v>22</v>
      </c>
      <c r="E1986" t="s">
        <v>23</v>
      </c>
      <c r="F1986">
        <v>0</v>
      </c>
      <c r="G1986">
        <v>19</v>
      </c>
      <c r="H1986">
        <v>0</v>
      </c>
      <c r="I1986" t="s">
        <v>24</v>
      </c>
      <c r="J1986" t="s">
        <v>25</v>
      </c>
      <c r="K1986">
        <v>0</v>
      </c>
      <c r="L1986">
        <v>0</v>
      </c>
      <c r="M1986" t="s">
        <v>25</v>
      </c>
      <c r="N1986" t="s">
        <v>25</v>
      </c>
      <c r="O1986" t="s">
        <v>26</v>
      </c>
      <c r="P1986" t="s">
        <v>25</v>
      </c>
      <c r="Q1986" t="s">
        <v>27</v>
      </c>
      <c r="R1986" t="s">
        <v>1976</v>
      </c>
    </row>
    <row r="1987" spans="1:18">
      <c r="A1987">
        <v>1997</v>
      </c>
      <c r="B1987" t="s">
        <v>2220</v>
      </c>
      <c r="C1987" t="s">
        <v>247</v>
      </c>
      <c r="D1987" t="s">
        <v>22</v>
      </c>
      <c r="E1987" t="s">
        <v>23</v>
      </c>
      <c r="F1987">
        <v>0</v>
      </c>
      <c r="G1987">
        <v>19</v>
      </c>
      <c r="H1987">
        <v>0</v>
      </c>
      <c r="I1987" t="s">
        <v>24</v>
      </c>
      <c r="J1987" t="s">
        <v>25</v>
      </c>
      <c r="K1987">
        <v>0</v>
      </c>
      <c r="L1987">
        <v>0</v>
      </c>
      <c r="M1987" t="s">
        <v>25</v>
      </c>
      <c r="N1987" t="s">
        <v>25</v>
      </c>
      <c r="O1987" t="s">
        <v>26</v>
      </c>
      <c r="P1987" t="s">
        <v>25</v>
      </c>
      <c r="Q1987" t="s">
        <v>27</v>
      </c>
      <c r="R1987" t="s">
        <v>1976</v>
      </c>
    </row>
    <row r="1988" spans="1:18">
      <c r="A1988">
        <v>1998</v>
      </c>
      <c r="B1988" t="s">
        <v>2221</v>
      </c>
      <c r="C1988" t="s">
        <v>102</v>
      </c>
      <c r="D1988" t="s">
        <v>22</v>
      </c>
      <c r="E1988" t="s">
        <v>1578</v>
      </c>
      <c r="F1988">
        <v>0</v>
      </c>
      <c r="G1988">
        <v>19</v>
      </c>
      <c r="H1988">
        <v>0</v>
      </c>
      <c r="I1988" t="s">
        <v>24</v>
      </c>
      <c r="J1988" t="s">
        <v>25</v>
      </c>
      <c r="K1988">
        <v>0</v>
      </c>
      <c r="L1988">
        <v>0</v>
      </c>
      <c r="M1988" t="s">
        <v>25</v>
      </c>
      <c r="N1988" t="s">
        <v>25</v>
      </c>
      <c r="O1988" t="s">
        <v>26</v>
      </c>
      <c r="P1988" t="s">
        <v>25</v>
      </c>
      <c r="Q1988" t="s">
        <v>27</v>
      </c>
      <c r="R1988" t="s">
        <v>1976</v>
      </c>
    </row>
    <row r="1989" spans="1:18">
      <c r="A1989">
        <v>1999</v>
      </c>
      <c r="B1989" t="s">
        <v>2222</v>
      </c>
      <c r="C1989" t="s">
        <v>102</v>
      </c>
      <c r="D1989" t="s">
        <v>22</v>
      </c>
      <c r="E1989" t="s">
        <v>23</v>
      </c>
      <c r="F1989">
        <v>0</v>
      </c>
      <c r="G1989">
        <v>19</v>
      </c>
      <c r="H1989">
        <v>0</v>
      </c>
      <c r="I1989" t="s">
        <v>24</v>
      </c>
      <c r="J1989" t="s">
        <v>25</v>
      </c>
      <c r="K1989">
        <v>0</v>
      </c>
      <c r="L1989">
        <v>0</v>
      </c>
      <c r="M1989" t="s">
        <v>25</v>
      </c>
      <c r="N1989" t="s">
        <v>25</v>
      </c>
      <c r="O1989" t="s">
        <v>26</v>
      </c>
      <c r="P1989" t="s">
        <v>25</v>
      </c>
      <c r="Q1989" t="s">
        <v>2023</v>
      </c>
      <c r="R1989" t="s">
        <v>1976</v>
      </c>
    </row>
    <row r="1990" spans="1:18">
      <c r="A1990">
        <v>2000</v>
      </c>
      <c r="B1990" t="s">
        <v>2223</v>
      </c>
      <c r="C1990" t="s">
        <v>102</v>
      </c>
      <c r="D1990" t="s">
        <v>22</v>
      </c>
      <c r="E1990" t="s">
        <v>23</v>
      </c>
      <c r="F1990">
        <v>0</v>
      </c>
      <c r="G1990">
        <v>19</v>
      </c>
      <c r="H1990">
        <v>0</v>
      </c>
      <c r="I1990" t="s">
        <v>24</v>
      </c>
      <c r="J1990" t="s">
        <v>25</v>
      </c>
      <c r="K1990">
        <v>0</v>
      </c>
      <c r="L1990">
        <v>0</v>
      </c>
      <c r="M1990" t="s">
        <v>25</v>
      </c>
      <c r="N1990" t="s">
        <v>25</v>
      </c>
      <c r="O1990" t="s">
        <v>26</v>
      </c>
      <c r="P1990" t="s">
        <v>25</v>
      </c>
      <c r="Q1990" t="s">
        <v>2023</v>
      </c>
      <c r="R1990" t="s">
        <v>1976</v>
      </c>
    </row>
    <row r="1991" spans="1:18">
      <c r="A1991">
        <v>2001</v>
      </c>
      <c r="B1991" t="s">
        <v>2224</v>
      </c>
      <c r="C1991" t="s">
        <v>102</v>
      </c>
      <c r="D1991" t="s">
        <v>22</v>
      </c>
      <c r="E1991" t="s">
        <v>23</v>
      </c>
      <c r="F1991">
        <v>0</v>
      </c>
      <c r="G1991">
        <v>19</v>
      </c>
      <c r="H1991">
        <v>0</v>
      </c>
      <c r="I1991" t="s">
        <v>24</v>
      </c>
      <c r="J1991" t="s">
        <v>25</v>
      </c>
      <c r="K1991">
        <v>0</v>
      </c>
      <c r="L1991">
        <v>0</v>
      </c>
      <c r="M1991" t="s">
        <v>25</v>
      </c>
      <c r="N1991" t="s">
        <v>25</v>
      </c>
      <c r="O1991" t="s">
        <v>26</v>
      </c>
      <c r="P1991" t="s">
        <v>25</v>
      </c>
      <c r="Q1991" t="s">
        <v>2023</v>
      </c>
      <c r="R1991" t="s">
        <v>1976</v>
      </c>
    </row>
    <row r="1992" spans="1:18">
      <c r="A1992">
        <v>2002</v>
      </c>
      <c r="B1992" t="s">
        <v>2225</v>
      </c>
      <c r="C1992" t="s">
        <v>102</v>
      </c>
      <c r="D1992" t="s">
        <v>22</v>
      </c>
      <c r="E1992" t="s">
        <v>23</v>
      </c>
      <c r="F1992">
        <v>0</v>
      </c>
      <c r="G1992">
        <v>19</v>
      </c>
      <c r="H1992">
        <v>0</v>
      </c>
      <c r="I1992" t="s">
        <v>24</v>
      </c>
      <c r="J1992" t="s">
        <v>25</v>
      </c>
      <c r="K1992">
        <v>0</v>
      </c>
      <c r="L1992">
        <v>0</v>
      </c>
      <c r="M1992" t="s">
        <v>25</v>
      </c>
      <c r="N1992" t="s">
        <v>25</v>
      </c>
      <c r="O1992" t="s">
        <v>26</v>
      </c>
      <c r="P1992" t="s">
        <v>25</v>
      </c>
      <c r="Q1992" t="s">
        <v>2023</v>
      </c>
      <c r="R1992" t="s">
        <v>1976</v>
      </c>
    </row>
    <row r="1993" spans="1:18">
      <c r="A1993">
        <v>2003</v>
      </c>
      <c r="B1993" t="s">
        <v>2226</v>
      </c>
      <c r="C1993" t="s">
        <v>102</v>
      </c>
      <c r="D1993" t="s">
        <v>22</v>
      </c>
      <c r="E1993" t="s">
        <v>23</v>
      </c>
      <c r="F1993">
        <v>0</v>
      </c>
      <c r="G1993">
        <v>19</v>
      </c>
      <c r="H1993">
        <v>0</v>
      </c>
      <c r="I1993" t="s">
        <v>24</v>
      </c>
      <c r="J1993" t="s">
        <v>25</v>
      </c>
      <c r="K1993">
        <v>0</v>
      </c>
      <c r="L1993">
        <v>0</v>
      </c>
      <c r="M1993" t="s">
        <v>25</v>
      </c>
      <c r="N1993" t="s">
        <v>25</v>
      </c>
      <c r="O1993" t="s">
        <v>26</v>
      </c>
      <c r="P1993" t="s">
        <v>25</v>
      </c>
      <c r="Q1993" t="s">
        <v>2023</v>
      </c>
      <c r="R1993" t="s">
        <v>1976</v>
      </c>
    </row>
    <row r="1994" spans="1:18">
      <c r="A1994">
        <v>2004</v>
      </c>
      <c r="B1994" t="s">
        <v>2227</v>
      </c>
      <c r="C1994" t="s">
        <v>102</v>
      </c>
      <c r="D1994" t="s">
        <v>22</v>
      </c>
      <c r="E1994" t="s">
        <v>23</v>
      </c>
      <c r="F1994">
        <v>0</v>
      </c>
      <c r="G1994">
        <v>19</v>
      </c>
      <c r="H1994">
        <v>0</v>
      </c>
      <c r="I1994" t="s">
        <v>24</v>
      </c>
      <c r="J1994" t="s">
        <v>25</v>
      </c>
      <c r="K1994">
        <v>0</v>
      </c>
      <c r="L1994">
        <v>0</v>
      </c>
      <c r="M1994" t="s">
        <v>25</v>
      </c>
      <c r="N1994" t="s">
        <v>25</v>
      </c>
      <c r="O1994" t="s">
        <v>26</v>
      </c>
      <c r="P1994" t="s">
        <v>25</v>
      </c>
      <c r="Q1994" t="s">
        <v>2023</v>
      </c>
      <c r="R1994" t="s">
        <v>1976</v>
      </c>
    </row>
    <row r="1995" spans="1:18">
      <c r="A1995">
        <v>2005</v>
      </c>
      <c r="B1995" t="s">
        <v>2228</v>
      </c>
      <c r="C1995" t="s">
        <v>102</v>
      </c>
      <c r="D1995" t="s">
        <v>22</v>
      </c>
      <c r="E1995" t="s">
        <v>23</v>
      </c>
      <c r="F1995">
        <v>0</v>
      </c>
      <c r="G1995">
        <v>19</v>
      </c>
      <c r="H1995">
        <v>0</v>
      </c>
      <c r="I1995" t="s">
        <v>24</v>
      </c>
      <c r="J1995" t="s">
        <v>25</v>
      </c>
      <c r="K1995">
        <v>0</v>
      </c>
      <c r="L1995">
        <v>0</v>
      </c>
      <c r="M1995" t="s">
        <v>25</v>
      </c>
      <c r="N1995" t="s">
        <v>25</v>
      </c>
      <c r="O1995" t="s">
        <v>26</v>
      </c>
      <c r="P1995" t="s">
        <v>25</v>
      </c>
      <c r="Q1995" t="s">
        <v>2023</v>
      </c>
      <c r="R1995" t="s">
        <v>1976</v>
      </c>
    </row>
    <row r="1996" spans="1:18">
      <c r="A1996">
        <v>2006</v>
      </c>
      <c r="B1996" t="s">
        <v>2229</v>
      </c>
      <c r="C1996" t="s">
        <v>102</v>
      </c>
      <c r="D1996" t="s">
        <v>22</v>
      </c>
      <c r="E1996" t="s">
        <v>23</v>
      </c>
      <c r="F1996">
        <v>0</v>
      </c>
      <c r="G1996">
        <v>19</v>
      </c>
      <c r="H1996">
        <v>0</v>
      </c>
      <c r="I1996" t="s">
        <v>24</v>
      </c>
      <c r="J1996" t="s">
        <v>25</v>
      </c>
      <c r="K1996">
        <v>0</v>
      </c>
      <c r="L1996">
        <v>0</v>
      </c>
      <c r="M1996" t="s">
        <v>25</v>
      </c>
      <c r="N1996" t="s">
        <v>25</v>
      </c>
      <c r="O1996" t="s">
        <v>26</v>
      </c>
      <c r="P1996" t="s">
        <v>25</v>
      </c>
      <c r="Q1996" t="s">
        <v>2023</v>
      </c>
      <c r="R1996" t="s">
        <v>1976</v>
      </c>
    </row>
    <row r="1997" spans="1:18">
      <c r="A1997">
        <v>2007</v>
      </c>
      <c r="B1997" t="s">
        <v>2230</v>
      </c>
      <c r="C1997" t="s">
        <v>102</v>
      </c>
      <c r="D1997" t="s">
        <v>22</v>
      </c>
      <c r="E1997" t="s">
        <v>23</v>
      </c>
      <c r="F1997">
        <v>0</v>
      </c>
      <c r="G1997">
        <v>19</v>
      </c>
      <c r="H1997">
        <v>0</v>
      </c>
      <c r="I1997" t="s">
        <v>24</v>
      </c>
      <c r="J1997" t="s">
        <v>25</v>
      </c>
      <c r="K1997">
        <v>0</v>
      </c>
      <c r="L1997">
        <v>0</v>
      </c>
      <c r="M1997" t="s">
        <v>25</v>
      </c>
      <c r="N1997" t="s">
        <v>25</v>
      </c>
      <c r="O1997" t="s">
        <v>26</v>
      </c>
      <c r="P1997" t="s">
        <v>25</v>
      </c>
      <c r="Q1997" t="s">
        <v>2023</v>
      </c>
      <c r="R1997" t="s">
        <v>1976</v>
      </c>
    </row>
    <row r="1998" spans="1:18">
      <c r="A1998">
        <v>2008</v>
      </c>
      <c r="B1998" t="s">
        <v>2231</v>
      </c>
      <c r="C1998" t="s">
        <v>102</v>
      </c>
      <c r="D1998" t="s">
        <v>22</v>
      </c>
      <c r="E1998" t="s">
        <v>23</v>
      </c>
      <c r="F1998">
        <v>0</v>
      </c>
      <c r="G1998">
        <v>19</v>
      </c>
      <c r="H1998">
        <v>0</v>
      </c>
      <c r="I1998" t="s">
        <v>24</v>
      </c>
      <c r="J1998" t="s">
        <v>25</v>
      </c>
      <c r="K1998">
        <v>0</v>
      </c>
      <c r="L1998">
        <v>0</v>
      </c>
      <c r="M1998" t="s">
        <v>25</v>
      </c>
      <c r="N1998" t="s">
        <v>25</v>
      </c>
      <c r="O1998" t="s">
        <v>26</v>
      </c>
      <c r="P1998" t="s">
        <v>25</v>
      </c>
      <c r="Q1998" t="s">
        <v>2023</v>
      </c>
      <c r="R1998" t="s">
        <v>1976</v>
      </c>
    </row>
    <row r="1999" spans="1:18">
      <c r="A1999">
        <v>2009</v>
      </c>
      <c r="B1999" t="s">
        <v>2232</v>
      </c>
      <c r="C1999" t="s">
        <v>102</v>
      </c>
      <c r="D1999" t="s">
        <v>22</v>
      </c>
      <c r="E1999" t="s">
        <v>1578</v>
      </c>
      <c r="F1999">
        <v>0</v>
      </c>
      <c r="G1999">
        <v>19</v>
      </c>
      <c r="H1999">
        <v>0</v>
      </c>
      <c r="I1999" t="s">
        <v>24</v>
      </c>
      <c r="J1999" t="s">
        <v>25</v>
      </c>
      <c r="K1999">
        <v>0</v>
      </c>
      <c r="L1999">
        <v>0</v>
      </c>
      <c r="M1999" t="s">
        <v>25</v>
      </c>
      <c r="N1999" t="s">
        <v>25</v>
      </c>
      <c r="O1999" t="s">
        <v>26</v>
      </c>
      <c r="P1999" t="s">
        <v>25</v>
      </c>
      <c r="Q1999" t="s">
        <v>27</v>
      </c>
      <c r="R1999" t="s">
        <v>2005</v>
      </c>
    </row>
    <row r="2000" spans="1:18">
      <c r="A2000">
        <v>2010</v>
      </c>
      <c r="B2000" t="s">
        <v>2233</v>
      </c>
      <c r="C2000" t="s">
        <v>36</v>
      </c>
      <c r="D2000" t="s">
        <v>22</v>
      </c>
      <c r="E2000" t="s">
        <v>1971</v>
      </c>
      <c r="F2000">
        <v>0</v>
      </c>
      <c r="G2000">
        <v>0</v>
      </c>
      <c r="H2000">
        <v>0</v>
      </c>
      <c r="I2000" t="s">
        <v>24</v>
      </c>
      <c r="J2000" t="s">
        <v>25</v>
      </c>
      <c r="K2000">
        <v>0</v>
      </c>
      <c r="L2000">
        <v>0</v>
      </c>
      <c r="M2000" t="s">
        <v>25</v>
      </c>
      <c r="N2000" t="s">
        <v>25</v>
      </c>
      <c r="O2000" t="s">
        <v>26</v>
      </c>
      <c r="P2000" t="s">
        <v>25</v>
      </c>
      <c r="Q2000" t="s">
        <v>581</v>
      </c>
      <c r="R2000" t="s">
        <v>2005</v>
      </c>
    </row>
    <row r="2001" spans="1:20">
      <c r="A2001">
        <v>2011</v>
      </c>
      <c r="B2001" t="s">
        <v>2234</v>
      </c>
      <c r="C2001" t="s">
        <v>36</v>
      </c>
      <c r="D2001" t="s">
        <v>22</v>
      </c>
      <c r="E2001" t="s">
        <v>827</v>
      </c>
      <c r="F2001">
        <v>0</v>
      </c>
      <c r="G2001">
        <v>0</v>
      </c>
      <c r="H2001">
        <v>0</v>
      </c>
      <c r="I2001" t="s">
        <v>24</v>
      </c>
      <c r="J2001" t="s">
        <v>25</v>
      </c>
      <c r="K2001">
        <v>0</v>
      </c>
      <c r="L2001">
        <v>0</v>
      </c>
      <c r="M2001" t="s">
        <v>25</v>
      </c>
      <c r="N2001" t="s">
        <v>25</v>
      </c>
      <c r="O2001" t="s">
        <v>26</v>
      </c>
      <c r="P2001" t="s">
        <v>25</v>
      </c>
      <c r="Q2001" t="s">
        <v>581</v>
      </c>
      <c r="R2001" t="s">
        <v>2005</v>
      </c>
      <c r="S2001" t="s">
        <v>581</v>
      </c>
      <c r="T2001" t="s">
        <v>2005</v>
      </c>
    </row>
    <row r="2002" spans="1:20">
      <c r="A2002">
        <v>2012</v>
      </c>
      <c r="B2002" t="s">
        <v>2235</v>
      </c>
      <c r="C2002" t="s">
        <v>102</v>
      </c>
      <c r="D2002" t="s">
        <v>22</v>
      </c>
      <c r="E2002" t="s">
        <v>23</v>
      </c>
      <c r="F2002">
        <v>0</v>
      </c>
      <c r="G2002">
        <v>19</v>
      </c>
      <c r="H2002">
        <v>0</v>
      </c>
      <c r="I2002" t="s">
        <v>24</v>
      </c>
      <c r="J2002" t="s">
        <v>25</v>
      </c>
      <c r="K2002">
        <v>0</v>
      </c>
      <c r="L2002">
        <v>0</v>
      </c>
      <c r="M2002" t="s">
        <v>25</v>
      </c>
      <c r="N2002" t="s">
        <v>25</v>
      </c>
      <c r="O2002" t="s">
        <v>26</v>
      </c>
      <c r="P2002" t="s">
        <v>25</v>
      </c>
      <c r="Q2002" t="s">
        <v>2023</v>
      </c>
      <c r="R2002" t="s">
        <v>2236</v>
      </c>
    </row>
    <row r="2003" spans="1:20">
      <c r="A2003">
        <v>2013</v>
      </c>
      <c r="B2003" t="s">
        <v>2237</v>
      </c>
      <c r="C2003" t="s">
        <v>102</v>
      </c>
      <c r="D2003" t="s">
        <v>22</v>
      </c>
      <c r="E2003" t="s">
        <v>23</v>
      </c>
      <c r="F2003">
        <v>0</v>
      </c>
      <c r="G2003">
        <v>19</v>
      </c>
      <c r="H2003">
        <v>0</v>
      </c>
      <c r="I2003" t="s">
        <v>24</v>
      </c>
      <c r="J2003" t="s">
        <v>25</v>
      </c>
      <c r="K2003">
        <v>0</v>
      </c>
      <c r="L2003">
        <v>0</v>
      </c>
      <c r="M2003" t="s">
        <v>25</v>
      </c>
      <c r="N2003" t="s">
        <v>25</v>
      </c>
      <c r="O2003" t="s">
        <v>26</v>
      </c>
      <c r="P2003" t="s">
        <v>25</v>
      </c>
      <c r="Q2003" t="s">
        <v>2023</v>
      </c>
      <c r="R2003" t="s">
        <v>2238</v>
      </c>
    </row>
    <row r="2004" spans="1:20">
      <c r="A2004">
        <v>2014</v>
      </c>
      <c r="B2004" t="s">
        <v>2239</v>
      </c>
      <c r="C2004" t="s">
        <v>102</v>
      </c>
      <c r="D2004" t="s">
        <v>22</v>
      </c>
      <c r="E2004" t="s">
        <v>23</v>
      </c>
      <c r="F2004">
        <v>0</v>
      </c>
      <c r="G2004">
        <v>19</v>
      </c>
      <c r="H2004">
        <v>0</v>
      </c>
      <c r="I2004" t="s">
        <v>24</v>
      </c>
      <c r="J2004" t="s">
        <v>25</v>
      </c>
      <c r="K2004">
        <v>0</v>
      </c>
      <c r="L2004">
        <v>0</v>
      </c>
      <c r="M2004" t="s">
        <v>25</v>
      </c>
      <c r="N2004" t="s">
        <v>25</v>
      </c>
      <c r="O2004" t="s">
        <v>26</v>
      </c>
      <c r="P2004" t="s">
        <v>25</v>
      </c>
      <c r="Q2004" t="s">
        <v>2023</v>
      </c>
      <c r="R2004" t="s">
        <v>2238</v>
      </c>
    </row>
    <row r="2005" spans="1:20">
      <c r="A2005">
        <v>2015</v>
      </c>
      <c r="B2005" t="s">
        <v>2240</v>
      </c>
      <c r="C2005" t="s">
        <v>102</v>
      </c>
      <c r="D2005" t="s">
        <v>22</v>
      </c>
      <c r="E2005" t="s">
        <v>23</v>
      </c>
      <c r="F2005">
        <v>0</v>
      </c>
      <c r="G2005">
        <v>19</v>
      </c>
      <c r="H2005">
        <v>0</v>
      </c>
      <c r="I2005" t="s">
        <v>24</v>
      </c>
      <c r="J2005" t="s">
        <v>25</v>
      </c>
      <c r="K2005">
        <v>0</v>
      </c>
      <c r="L2005">
        <v>0</v>
      </c>
      <c r="M2005" t="s">
        <v>25</v>
      </c>
      <c r="N2005" t="s">
        <v>25</v>
      </c>
      <c r="O2005" t="s">
        <v>26</v>
      </c>
      <c r="P2005" t="s">
        <v>25</v>
      </c>
      <c r="Q2005" t="s">
        <v>2023</v>
      </c>
      <c r="R2005" t="s">
        <v>2238</v>
      </c>
    </row>
    <row r="2006" spans="1:20">
      <c r="A2006">
        <v>2016</v>
      </c>
      <c r="B2006" t="s">
        <v>2241</v>
      </c>
      <c r="C2006" t="s">
        <v>102</v>
      </c>
      <c r="D2006" t="s">
        <v>22</v>
      </c>
      <c r="E2006" t="s">
        <v>23</v>
      </c>
      <c r="F2006">
        <v>0</v>
      </c>
      <c r="G2006">
        <v>19</v>
      </c>
      <c r="H2006">
        <v>0</v>
      </c>
      <c r="I2006" t="s">
        <v>24</v>
      </c>
      <c r="J2006" t="s">
        <v>25</v>
      </c>
      <c r="K2006">
        <v>0</v>
      </c>
      <c r="L2006">
        <v>0</v>
      </c>
      <c r="M2006" t="s">
        <v>25</v>
      </c>
      <c r="N2006" t="s">
        <v>25</v>
      </c>
      <c r="O2006" t="s">
        <v>26</v>
      </c>
      <c r="P2006" t="s">
        <v>25</v>
      </c>
      <c r="Q2006" t="s">
        <v>2023</v>
      </c>
      <c r="R2006" t="s">
        <v>2238</v>
      </c>
    </row>
    <row r="2007" spans="1:20">
      <c r="A2007">
        <v>2017</v>
      </c>
      <c r="B2007" t="s">
        <v>2242</v>
      </c>
      <c r="C2007" t="s">
        <v>102</v>
      </c>
      <c r="D2007" t="s">
        <v>22</v>
      </c>
      <c r="E2007" t="s">
        <v>23</v>
      </c>
      <c r="F2007">
        <v>0</v>
      </c>
      <c r="G2007">
        <v>19</v>
      </c>
      <c r="H2007">
        <v>0</v>
      </c>
      <c r="I2007" t="s">
        <v>24</v>
      </c>
      <c r="J2007" t="s">
        <v>25</v>
      </c>
      <c r="K2007">
        <v>0</v>
      </c>
      <c r="L2007">
        <v>0</v>
      </c>
      <c r="M2007" t="s">
        <v>25</v>
      </c>
      <c r="N2007" t="s">
        <v>25</v>
      </c>
      <c r="O2007" t="s">
        <v>26</v>
      </c>
      <c r="P2007" t="s">
        <v>25</v>
      </c>
      <c r="Q2007" t="s">
        <v>2023</v>
      </c>
      <c r="R2007" t="s">
        <v>2238</v>
      </c>
    </row>
    <row r="2008" spans="1:20">
      <c r="A2008">
        <v>2018</v>
      </c>
      <c r="B2008" t="s">
        <v>2243</v>
      </c>
      <c r="C2008" t="s">
        <v>102</v>
      </c>
      <c r="D2008" t="s">
        <v>22</v>
      </c>
      <c r="E2008" t="s">
        <v>23</v>
      </c>
      <c r="F2008">
        <v>0</v>
      </c>
      <c r="G2008">
        <v>19</v>
      </c>
      <c r="H2008">
        <v>0</v>
      </c>
      <c r="I2008" t="s">
        <v>24</v>
      </c>
      <c r="J2008" t="s">
        <v>25</v>
      </c>
      <c r="K2008">
        <v>0</v>
      </c>
      <c r="L2008">
        <v>0</v>
      </c>
      <c r="M2008" t="s">
        <v>25</v>
      </c>
      <c r="N2008" t="s">
        <v>25</v>
      </c>
      <c r="O2008" t="s">
        <v>26</v>
      </c>
      <c r="P2008" t="s">
        <v>25</v>
      </c>
      <c r="Q2008" t="s">
        <v>2023</v>
      </c>
      <c r="R2008" t="s">
        <v>2238</v>
      </c>
    </row>
    <row r="2009" spans="1:20">
      <c r="A2009">
        <v>2019</v>
      </c>
      <c r="B2009" t="s">
        <v>2244</v>
      </c>
      <c r="C2009" t="s">
        <v>102</v>
      </c>
      <c r="D2009" t="s">
        <v>22</v>
      </c>
      <c r="E2009" t="s">
        <v>23</v>
      </c>
      <c r="F2009">
        <v>0</v>
      </c>
      <c r="G2009">
        <v>19</v>
      </c>
      <c r="H2009">
        <v>0</v>
      </c>
      <c r="I2009" t="s">
        <v>24</v>
      </c>
      <c r="J2009" t="s">
        <v>25</v>
      </c>
      <c r="K2009">
        <v>0</v>
      </c>
      <c r="L2009">
        <v>0</v>
      </c>
      <c r="M2009" t="s">
        <v>25</v>
      </c>
      <c r="N2009" t="s">
        <v>25</v>
      </c>
      <c r="O2009" t="s">
        <v>26</v>
      </c>
      <c r="P2009" t="s">
        <v>25</v>
      </c>
      <c r="Q2009" t="s">
        <v>2023</v>
      </c>
      <c r="R2009" t="s">
        <v>2238</v>
      </c>
    </row>
    <row r="2010" spans="1:20">
      <c r="A2010">
        <v>2020</v>
      </c>
      <c r="B2010" t="s">
        <v>2245</v>
      </c>
      <c r="C2010" t="s">
        <v>102</v>
      </c>
      <c r="D2010" t="s">
        <v>22</v>
      </c>
      <c r="E2010" t="s">
        <v>23</v>
      </c>
      <c r="F2010">
        <v>0</v>
      </c>
      <c r="G2010">
        <v>19</v>
      </c>
      <c r="H2010">
        <v>0</v>
      </c>
      <c r="I2010" t="s">
        <v>24</v>
      </c>
      <c r="J2010" t="s">
        <v>25</v>
      </c>
      <c r="K2010">
        <v>0</v>
      </c>
      <c r="L2010">
        <v>0</v>
      </c>
      <c r="M2010" t="s">
        <v>25</v>
      </c>
      <c r="N2010" t="s">
        <v>25</v>
      </c>
      <c r="O2010" t="s">
        <v>26</v>
      </c>
      <c r="P2010" t="s">
        <v>25</v>
      </c>
      <c r="Q2010" t="s">
        <v>2023</v>
      </c>
      <c r="R2010" t="s">
        <v>2238</v>
      </c>
    </row>
    <row r="2011" spans="1:20">
      <c r="A2011">
        <v>2021</v>
      </c>
      <c r="B2011" t="s">
        <v>2246</v>
      </c>
      <c r="C2011" t="s">
        <v>102</v>
      </c>
      <c r="D2011" t="s">
        <v>22</v>
      </c>
      <c r="E2011" t="s">
        <v>23</v>
      </c>
      <c r="F2011">
        <v>0</v>
      </c>
      <c r="G2011">
        <v>19</v>
      </c>
      <c r="H2011">
        <v>0</v>
      </c>
      <c r="I2011" t="s">
        <v>24</v>
      </c>
      <c r="J2011" t="s">
        <v>25</v>
      </c>
      <c r="K2011">
        <v>0</v>
      </c>
      <c r="L2011">
        <v>0</v>
      </c>
      <c r="M2011" t="s">
        <v>25</v>
      </c>
      <c r="N2011" t="s">
        <v>25</v>
      </c>
      <c r="O2011" t="s">
        <v>26</v>
      </c>
      <c r="P2011" t="s">
        <v>25</v>
      </c>
      <c r="Q2011" t="s">
        <v>2023</v>
      </c>
      <c r="R2011" t="s">
        <v>2238</v>
      </c>
    </row>
    <row r="2012" spans="1:20">
      <c r="A2012">
        <v>2022</v>
      </c>
      <c r="B2012" t="s">
        <v>2247</v>
      </c>
      <c r="C2012" t="s">
        <v>102</v>
      </c>
      <c r="D2012" t="s">
        <v>22</v>
      </c>
      <c r="E2012" t="s">
        <v>23</v>
      </c>
      <c r="F2012">
        <v>0</v>
      </c>
      <c r="G2012">
        <v>19</v>
      </c>
      <c r="H2012">
        <v>0</v>
      </c>
      <c r="I2012" t="s">
        <v>24</v>
      </c>
      <c r="J2012" t="s">
        <v>25</v>
      </c>
      <c r="K2012">
        <v>0</v>
      </c>
      <c r="L2012">
        <v>0</v>
      </c>
      <c r="M2012" t="s">
        <v>25</v>
      </c>
      <c r="N2012" t="s">
        <v>25</v>
      </c>
      <c r="O2012" t="s">
        <v>26</v>
      </c>
      <c r="P2012" t="s">
        <v>25</v>
      </c>
      <c r="Q2012" t="s">
        <v>2023</v>
      </c>
      <c r="R2012" t="s">
        <v>2238</v>
      </c>
    </row>
    <row r="2013" spans="1:20">
      <c r="A2013">
        <v>2023</v>
      </c>
      <c r="B2013" t="s">
        <v>2248</v>
      </c>
      <c r="C2013" t="s">
        <v>102</v>
      </c>
      <c r="D2013" t="s">
        <v>22</v>
      </c>
      <c r="E2013" t="s">
        <v>23</v>
      </c>
      <c r="F2013">
        <v>0</v>
      </c>
      <c r="G2013">
        <v>19</v>
      </c>
      <c r="H2013">
        <v>0</v>
      </c>
      <c r="I2013" t="s">
        <v>24</v>
      </c>
      <c r="J2013" t="s">
        <v>25</v>
      </c>
      <c r="K2013">
        <v>0</v>
      </c>
      <c r="L2013">
        <v>0</v>
      </c>
      <c r="M2013" t="s">
        <v>25</v>
      </c>
      <c r="N2013" t="s">
        <v>25</v>
      </c>
      <c r="O2013" t="s">
        <v>26</v>
      </c>
      <c r="P2013" t="s">
        <v>25</v>
      </c>
      <c r="Q2013" t="s">
        <v>2023</v>
      </c>
      <c r="R2013" t="s">
        <v>2249</v>
      </c>
    </row>
    <row r="2014" spans="1:20">
      <c r="A2014">
        <v>2024</v>
      </c>
      <c r="B2014" t="s">
        <v>2250</v>
      </c>
      <c r="C2014" t="s">
        <v>102</v>
      </c>
      <c r="D2014" t="s">
        <v>22</v>
      </c>
      <c r="E2014" t="s">
        <v>23</v>
      </c>
      <c r="F2014">
        <v>0</v>
      </c>
      <c r="G2014">
        <v>19</v>
      </c>
      <c r="H2014">
        <v>0</v>
      </c>
      <c r="I2014" t="s">
        <v>24</v>
      </c>
      <c r="J2014" t="s">
        <v>25</v>
      </c>
      <c r="K2014">
        <v>0</v>
      </c>
      <c r="L2014">
        <v>0</v>
      </c>
      <c r="M2014" t="s">
        <v>25</v>
      </c>
      <c r="N2014" t="s">
        <v>25</v>
      </c>
      <c r="O2014" t="s">
        <v>26</v>
      </c>
      <c r="P2014" t="s">
        <v>25</v>
      </c>
      <c r="Q2014" t="s">
        <v>2023</v>
      </c>
      <c r="R2014" t="s">
        <v>2249</v>
      </c>
    </row>
    <row r="2015" spans="1:20">
      <c r="A2015">
        <v>2025</v>
      </c>
      <c r="B2015" t="s">
        <v>2251</v>
      </c>
      <c r="C2015" t="s">
        <v>102</v>
      </c>
      <c r="D2015" t="s">
        <v>22</v>
      </c>
      <c r="E2015" t="s">
        <v>23</v>
      </c>
      <c r="F2015">
        <v>0</v>
      </c>
      <c r="G2015">
        <v>19</v>
      </c>
      <c r="H2015">
        <v>0</v>
      </c>
      <c r="I2015" t="s">
        <v>24</v>
      </c>
      <c r="J2015" t="s">
        <v>25</v>
      </c>
      <c r="K2015">
        <v>0</v>
      </c>
      <c r="L2015">
        <v>0</v>
      </c>
      <c r="M2015" t="s">
        <v>25</v>
      </c>
      <c r="N2015" t="s">
        <v>25</v>
      </c>
      <c r="O2015" t="s">
        <v>26</v>
      </c>
      <c r="P2015" t="s">
        <v>25</v>
      </c>
      <c r="Q2015" t="s">
        <v>2023</v>
      </c>
      <c r="R2015" t="s">
        <v>2249</v>
      </c>
    </row>
    <row r="2016" spans="1:20">
      <c r="A2016">
        <v>2026</v>
      </c>
      <c r="B2016" t="s">
        <v>2252</v>
      </c>
      <c r="C2016" t="s">
        <v>102</v>
      </c>
      <c r="D2016" t="s">
        <v>22</v>
      </c>
      <c r="E2016" t="s">
        <v>23</v>
      </c>
      <c r="F2016">
        <v>0</v>
      </c>
      <c r="G2016">
        <v>19</v>
      </c>
      <c r="H2016">
        <v>0</v>
      </c>
      <c r="I2016" t="s">
        <v>24</v>
      </c>
      <c r="J2016" t="s">
        <v>25</v>
      </c>
      <c r="K2016">
        <v>0</v>
      </c>
      <c r="L2016">
        <v>0</v>
      </c>
      <c r="M2016" t="s">
        <v>25</v>
      </c>
      <c r="N2016" t="s">
        <v>25</v>
      </c>
      <c r="O2016" t="s">
        <v>26</v>
      </c>
      <c r="P2016" t="s">
        <v>25</v>
      </c>
      <c r="Q2016" t="s">
        <v>2023</v>
      </c>
      <c r="R2016" t="s">
        <v>2249</v>
      </c>
    </row>
    <row r="2017" spans="1:20">
      <c r="A2017">
        <v>2027</v>
      </c>
      <c r="B2017" t="s">
        <v>2253</v>
      </c>
      <c r="C2017" t="s">
        <v>102</v>
      </c>
      <c r="D2017" t="s">
        <v>22</v>
      </c>
      <c r="E2017" t="s">
        <v>23</v>
      </c>
      <c r="F2017">
        <v>0</v>
      </c>
      <c r="G2017">
        <v>19</v>
      </c>
      <c r="H2017">
        <v>0</v>
      </c>
      <c r="I2017" t="s">
        <v>24</v>
      </c>
      <c r="J2017" t="s">
        <v>25</v>
      </c>
      <c r="K2017">
        <v>0</v>
      </c>
      <c r="L2017">
        <v>0</v>
      </c>
      <c r="M2017" t="s">
        <v>25</v>
      </c>
      <c r="N2017" t="s">
        <v>25</v>
      </c>
      <c r="O2017" t="s">
        <v>26</v>
      </c>
      <c r="P2017" t="s">
        <v>25</v>
      </c>
      <c r="Q2017" t="s">
        <v>2023</v>
      </c>
      <c r="R2017" t="s">
        <v>2249</v>
      </c>
    </row>
    <row r="2018" spans="1:20">
      <c r="A2018">
        <v>2028</v>
      </c>
      <c r="B2018" t="s">
        <v>2254</v>
      </c>
      <c r="C2018" t="s">
        <v>102</v>
      </c>
      <c r="D2018" t="s">
        <v>22</v>
      </c>
      <c r="E2018" t="s">
        <v>23</v>
      </c>
      <c r="F2018">
        <v>0</v>
      </c>
      <c r="G2018">
        <v>19</v>
      </c>
      <c r="H2018">
        <v>0</v>
      </c>
      <c r="I2018" t="s">
        <v>24</v>
      </c>
      <c r="J2018" t="s">
        <v>25</v>
      </c>
      <c r="K2018">
        <v>0</v>
      </c>
      <c r="L2018">
        <v>0</v>
      </c>
      <c r="M2018" t="s">
        <v>25</v>
      </c>
      <c r="N2018" t="s">
        <v>25</v>
      </c>
      <c r="O2018" t="s">
        <v>26</v>
      </c>
      <c r="P2018" t="s">
        <v>25</v>
      </c>
      <c r="Q2018" t="s">
        <v>2023</v>
      </c>
      <c r="R2018" t="s">
        <v>2249</v>
      </c>
    </row>
    <row r="2019" spans="1:20">
      <c r="A2019">
        <v>2029</v>
      </c>
      <c r="B2019" t="s">
        <v>2255</v>
      </c>
      <c r="C2019" t="s">
        <v>102</v>
      </c>
      <c r="D2019" t="s">
        <v>22</v>
      </c>
      <c r="E2019" t="s">
        <v>23</v>
      </c>
      <c r="F2019">
        <v>0</v>
      </c>
      <c r="G2019">
        <v>19</v>
      </c>
      <c r="H2019">
        <v>0</v>
      </c>
      <c r="I2019" t="s">
        <v>24</v>
      </c>
      <c r="J2019" t="s">
        <v>25</v>
      </c>
      <c r="K2019">
        <v>0</v>
      </c>
      <c r="L2019">
        <v>0</v>
      </c>
      <c r="M2019" t="s">
        <v>25</v>
      </c>
      <c r="N2019" t="s">
        <v>25</v>
      </c>
      <c r="O2019" t="s">
        <v>26</v>
      </c>
      <c r="P2019" t="s">
        <v>25</v>
      </c>
      <c r="Q2019" t="s">
        <v>2023</v>
      </c>
      <c r="R2019" t="s">
        <v>2249</v>
      </c>
    </row>
    <row r="2020" spans="1:20">
      <c r="A2020">
        <v>2030</v>
      </c>
      <c r="B2020" t="s">
        <v>2256</v>
      </c>
      <c r="C2020" t="s">
        <v>102</v>
      </c>
      <c r="D2020" t="s">
        <v>22</v>
      </c>
      <c r="E2020" t="s">
        <v>23</v>
      </c>
      <c r="F2020">
        <v>0</v>
      </c>
      <c r="G2020">
        <v>19</v>
      </c>
      <c r="H2020">
        <v>0</v>
      </c>
      <c r="I2020" t="s">
        <v>24</v>
      </c>
      <c r="J2020" t="s">
        <v>25</v>
      </c>
      <c r="K2020">
        <v>0</v>
      </c>
      <c r="L2020">
        <v>0</v>
      </c>
      <c r="M2020" t="s">
        <v>25</v>
      </c>
      <c r="N2020" t="s">
        <v>25</v>
      </c>
      <c r="O2020" t="s">
        <v>26</v>
      </c>
      <c r="P2020" t="s">
        <v>25</v>
      </c>
      <c r="Q2020" t="s">
        <v>2023</v>
      </c>
      <c r="R2020" t="s">
        <v>2257</v>
      </c>
    </row>
    <row r="2021" spans="1:20">
      <c r="A2021">
        <v>2031</v>
      </c>
      <c r="B2021" t="s">
        <v>2258</v>
      </c>
      <c r="C2021" t="s">
        <v>102</v>
      </c>
      <c r="D2021" t="s">
        <v>22</v>
      </c>
      <c r="E2021" t="s">
        <v>23</v>
      </c>
      <c r="F2021">
        <v>0</v>
      </c>
      <c r="G2021">
        <v>19</v>
      </c>
      <c r="H2021">
        <v>0</v>
      </c>
      <c r="I2021" t="s">
        <v>24</v>
      </c>
      <c r="J2021" t="s">
        <v>25</v>
      </c>
      <c r="K2021">
        <v>0</v>
      </c>
      <c r="L2021">
        <v>0</v>
      </c>
      <c r="M2021" t="s">
        <v>25</v>
      </c>
      <c r="N2021" t="s">
        <v>25</v>
      </c>
      <c r="O2021" t="s">
        <v>26</v>
      </c>
      <c r="P2021" t="s">
        <v>25</v>
      </c>
      <c r="Q2021" t="s">
        <v>2023</v>
      </c>
      <c r="R2021" t="s">
        <v>2257</v>
      </c>
    </row>
    <row r="2022" spans="1:20">
      <c r="A2022">
        <v>2032</v>
      </c>
      <c r="B2022" t="s">
        <v>2259</v>
      </c>
      <c r="C2022" t="s">
        <v>102</v>
      </c>
      <c r="D2022" t="s">
        <v>22</v>
      </c>
      <c r="E2022" t="s">
        <v>23</v>
      </c>
      <c r="F2022">
        <v>0</v>
      </c>
      <c r="G2022">
        <v>19</v>
      </c>
      <c r="H2022">
        <v>0</v>
      </c>
      <c r="I2022" t="s">
        <v>24</v>
      </c>
      <c r="J2022" t="s">
        <v>25</v>
      </c>
      <c r="K2022">
        <v>0</v>
      </c>
      <c r="L2022">
        <v>0</v>
      </c>
      <c r="M2022" t="s">
        <v>25</v>
      </c>
      <c r="N2022" t="s">
        <v>25</v>
      </c>
      <c r="O2022" t="s">
        <v>26</v>
      </c>
      <c r="P2022" t="s">
        <v>25</v>
      </c>
      <c r="Q2022" t="s">
        <v>2023</v>
      </c>
      <c r="R2022" t="s">
        <v>2257</v>
      </c>
    </row>
    <row r="2023" spans="1:20">
      <c r="A2023">
        <v>2033</v>
      </c>
      <c r="B2023" t="s">
        <v>2260</v>
      </c>
      <c r="C2023" t="s">
        <v>102</v>
      </c>
      <c r="D2023" t="s">
        <v>22</v>
      </c>
      <c r="E2023" t="s">
        <v>23</v>
      </c>
      <c r="F2023">
        <v>0</v>
      </c>
      <c r="G2023">
        <v>19</v>
      </c>
      <c r="H2023">
        <v>0</v>
      </c>
      <c r="I2023" t="s">
        <v>24</v>
      </c>
      <c r="J2023" t="s">
        <v>25</v>
      </c>
      <c r="K2023">
        <v>0</v>
      </c>
      <c r="L2023">
        <v>0</v>
      </c>
      <c r="M2023" t="s">
        <v>25</v>
      </c>
      <c r="N2023" t="s">
        <v>25</v>
      </c>
      <c r="O2023" t="s">
        <v>26</v>
      </c>
      <c r="P2023" t="s">
        <v>25</v>
      </c>
      <c r="Q2023" t="s">
        <v>2023</v>
      </c>
      <c r="R2023" t="s">
        <v>2257</v>
      </c>
    </row>
    <row r="2024" spans="1:20">
      <c r="A2024">
        <v>2034</v>
      </c>
      <c r="B2024" t="s">
        <v>2261</v>
      </c>
      <c r="C2024" t="s">
        <v>102</v>
      </c>
      <c r="D2024" t="s">
        <v>22</v>
      </c>
      <c r="E2024" t="s">
        <v>23</v>
      </c>
      <c r="F2024">
        <v>0</v>
      </c>
      <c r="G2024">
        <v>19</v>
      </c>
      <c r="H2024">
        <v>0</v>
      </c>
      <c r="I2024" t="s">
        <v>24</v>
      </c>
      <c r="J2024" t="s">
        <v>25</v>
      </c>
      <c r="K2024">
        <v>0</v>
      </c>
      <c r="L2024">
        <v>0</v>
      </c>
      <c r="M2024" t="s">
        <v>25</v>
      </c>
      <c r="N2024" t="s">
        <v>25</v>
      </c>
      <c r="O2024" t="s">
        <v>26</v>
      </c>
      <c r="P2024" t="s">
        <v>25</v>
      </c>
      <c r="Q2024" t="s">
        <v>2023</v>
      </c>
      <c r="R2024" t="s">
        <v>2257</v>
      </c>
    </row>
    <row r="2025" spans="1:20">
      <c r="A2025">
        <v>2035</v>
      </c>
      <c r="B2025" t="s">
        <v>2262</v>
      </c>
      <c r="C2025" t="s">
        <v>102</v>
      </c>
      <c r="D2025" t="s">
        <v>22</v>
      </c>
      <c r="E2025" t="s">
        <v>23</v>
      </c>
      <c r="F2025">
        <v>0</v>
      </c>
      <c r="G2025">
        <v>19</v>
      </c>
      <c r="H2025">
        <v>0</v>
      </c>
      <c r="I2025" t="s">
        <v>24</v>
      </c>
      <c r="J2025" t="s">
        <v>25</v>
      </c>
      <c r="K2025">
        <v>0</v>
      </c>
      <c r="L2025">
        <v>0</v>
      </c>
      <c r="M2025" t="s">
        <v>25</v>
      </c>
      <c r="N2025" t="s">
        <v>25</v>
      </c>
      <c r="O2025" t="s">
        <v>26</v>
      </c>
      <c r="P2025" t="s">
        <v>25</v>
      </c>
      <c r="Q2025" t="s">
        <v>2023</v>
      </c>
      <c r="R2025" t="s">
        <v>2257</v>
      </c>
    </row>
    <row r="2026" spans="1:20">
      <c r="A2026">
        <v>2036</v>
      </c>
      <c r="B2026" t="s">
        <v>2263</v>
      </c>
      <c r="C2026" t="s">
        <v>21</v>
      </c>
      <c r="D2026" t="s">
        <v>22</v>
      </c>
      <c r="E2026" t="s">
        <v>23</v>
      </c>
      <c r="F2026">
        <v>38000</v>
      </c>
      <c r="G2026">
        <v>19</v>
      </c>
      <c r="H2026">
        <v>45220</v>
      </c>
      <c r="I2026" t="s">
        <v>24</v>
      </c>
      <c r="J2026" t="s">
        <v>25</v>
      </c>
      <c r="K2026">
        <v>0</v>
      </c>
      <c r="L2026">
        <v>0</v>
      </c>
      <c r="M2026" t="s">
        <v>25</v>
      </c>
      <c r="N2026" t="s">
        <v>25</v>
      </c>
      <c r="O2026" t="s">
        <v>26</v>
      </c>
      <c r="P2026" t="s">
        <v>25</v>
      </c>
      <c r="Q2026" t="s">
        <v>2023</v>
      </c>
      <c r="R2026" t="s">
        <v>2257</v>
      </c>
      <c r="S2026" t="s">
        <v>51</v>
      </c>
      <c r="T2026" t="s">
        <v>65</v>
      </c>
    </row>
    <row r="2027" spans="1:20">
      <c r="A2027">
        <v>2037</v>
      </c>
      <c r="B2027" t="s">
        <v>2264</v>
      </c>
      <c r="C2027" t="s">
        <v>21</v>
      </c>
      <c r="D2027" t="s">
        <v>22</v>
      </c>
      <c r="E2027" t="s">
        <v>23</v>
      </c>
      <c r="F2027">
        <v>0</v>
      </c>
      <c r="G2027">
        <v>19</v>
      </c>
      <c r="H2027">
        <v>0</v>
      </c>
      <c r="I2027" t="s">
        <v>24</v>
      </c>
      <c r="J2027" t="s">
        <v>25</v>
      </c>
      <c r="K2027">
        <v>0</v>
      </c>
      <c r="L2027">
        <v>0</v>
      </c>
      <c r="M2027" t="s">
        <v>25</v>
      </c>
      <c r="N2027" t="s">
        <v>25</v>
      </c>
      <c r="O2027" t="s">
        <v>26</v>
      </c>
      <c r="P2027" t="s">
        <v>25</v>
      </c>
      <c r="Q2027" t="s">
        <v>2023</v>
      </c>
      <c r="R2027" t="s">
        <v>2257</v>
      </c>
      <c r="S2027" t="s">
        <v>51</v>
      </c>
      <c r="T2027" t="s">
        <v>411</v>
      </c>
    </row>
    <row r="2028" spans="1:20">
      <c r="A2028">
        <v>2038</v>
      </c>
      <c r="B2028" t="s">
        <v>2265</v>
      </c>
      <c r="C2028" t="s">
        <v>102</v>
      </c>
      <c r="D2028" t="s">
        <v>22</v>
      </c>
      <c r="E2028" t="s">
        <v>2266</v>
      </c>
      <c r="F2028">
        <v>0</v>
      </c>
      <c r="G2028">
        <v>19</v>
      </c>
      <c r="H2028">
        <v>0</v>
      </c>
      <c r="I2028" t="s">
        <v>24</v>
      </c>
      <c r="J2028" t="s">
        <v>25</v>
      </c>
      <c r="K2028">
        <v>0</v>
      </c>
      <c r="L2028">
        <v>0</v>
      </c>
      <c r="M2028" t="s">
        <v>25</v>
      </c>
      <c r="N2028" t="s">
        <v>25</v>
      </c>
      <c r="O2028" t="s">
        <v>26</v>
      </c>
      <c r="P2028" t="s">
        <v>25</v>
      </c>
      <c r="Q2028" t="s">
        <v>2023</v>
      </c>
      <c r="R2028" t="s">
        <v>2257</v>
      </c>
      <c r="S2028" t="s">
        <v>231</v>
      </c>
      <c r="T2028" t="s">
        <v>1167</v>
      </c>
    </row>
    <row r="2029" spans="1:20">
      <c r="A2029">
        <v>2039</v>
      </c>
      <c r="B2029" t="s">
        <v>2267</v>
      </c>
      <c r="C2029" t="s">
        <v>102</v>
      </c>
      <c r="D2029" t="s">
        <v>22</v>
      </c>
      <c r="E2029" t="s">
        <v>23</v>
      </c>
      <c r="F2029">
        <v>0</v>
      </c>
      <c r="G2029">
        <v>19</v>
      </c>
      <c r="H2029">
        <v>0</v>
      </c>
      <c r="I2029" t="s">
        <v>24</v>
      </c>
      <c r="J2029" t="s">
        <v>25</v>
      </c>
      <c r="K2029">
        <v>0</v>
      </c>
      <c r="L2029">
        <v>0</v>
      </c>
      <c r="M2029" t="s">
        <v>25</v>
      </c>
      <c r="N2029" t="s">
        <v>25</v>
      </c>
      <c r="O2029" t="s">
        <v>26</v>
      </c>
      <c r="P2029" t="s">
        <v>25</v>
      </c>
      <c r="Q2029" t="s">
        <v>2023</v>
      </c>
      <c r="R2029" t="s">
        <v>2257</v>
      </c>
    </row>
    <row r="2030" spans="1:20">
      <c r="A2030">
        <v>2040</v>
      </c>
      <c r="B2030" t="s">
        <v>2268</v>
      </c>
      <c r="C2030" t="s">
        <v>102</v>
      </c>
      <c r="D2030" t="s">
        <v>22</v>
      </c>
      <c r="E2030" t="s">
        <v>23</v>
      </c>
      <c r="F2030">
        <v>0</v>
      </c>
      <c r="G2030">
        <v>19</v>
      </c>
      <c r="H2030">
        <v>0</v>
      </c>
      <c r="I2030" t="s">
        <v>24</v>
      </c>
      <c r="J2030" t="s">
        <v>25</v>
      </c>
      <c r="K2030">
        <v>0</v>
      </c>
      <c r="L2030">
        <v>0</v>
      </c>
      <c r="M2030" t="s">
        <v>25</v>
      </c>
      <c r="N2030" t="s">
        <v>25</v>
      </c>
      <c r="O2030" t="s">
        <v>26</v>
      </c>
      <c r="P2030" t="s">
        <v>25</v>
      </c>
      <c r="Q2030" t="s">
        <v>2023</v>
      </c>
      <c r="R2030" t="s">
        <v>2257</v>
      </c>
    </row>
    <row r="2031" spans="1:20">
      <c r="A2031">
        <v>2041</v>
      </c>
      <c r="B2031" t="s">
        <v>2269</v>
      </c>
      <c r="C2031" t="s">
        <v>102</v>
      </c>
      <c r="D2031" t="s">
        <v>22</v>
      </c>
      <c r="E2031" t="s">
        <v>23</v>
      </c>
      <c r="F2031">
        <v>0</v>
      </c>
      <c r="G2031">
        <v>19</v>
      </c>
      <c r="H2031">
        <v>0</v>
      </c>
      <c r="I2031" t="s">
        <v>24</v>
      </c>
      <c r="J2031" t="s">
        <v>25</v>
      </c>
      <c r="K2031">
        <v>0</v>
      </c>
      <c r="L2031">
        <v>0</v>
      </c>
      <c r="M2031" t="s">
        <v>25</v>
      </c>
      <c r="N2031" t="s">
        <v>25</v>
      </c>
      <c r="O2031" t="s">
        <v>26</v>
      </c>
      <c r="P2031" t="s">
        <v>25</v>
      </c>
      <c r="Q2031" t="s">
        <v>2023</v>
      </c>
      <c r="R2031" t="s">
        <v>2257</v>
      </c>
    </row>
    <row r="2032" spans="1:20">
      <c r="A2032">
        <v>2042</v>
      </c>
      <c r="B2032" t="s">
        <v>2270</v>
      </c>
      <c r="C2032" t="s">
        <v>102</v>
      </c>
      <c r="D2032" t="s">
        <v>22</v>
      </c>
      <c r="E2032" t="s">
        <v>23</v>
      </c>
      <c r="F2032">
        <v>0</v>
      </c>
      <c r="G2032">
        <v>19</v>
      </c>
      <c r="H2032">
        <v>0</v>
      </c>
      <c r="I2032" t="s">
        <v>24</v>
      </c>
      <c r="J2032" t="s">
        <v>25</v>
      </c>
      <c r="K2032">
        <v>0</v>
      </c>
      <c r="L2032">
        <v>0</v>
      </c>
      <c r="M2032" t="s">
        <v>25</v>
      </c>
      <c r="N2032" t="s">
        <v>25</v>
      </c>
      <c r="O2032" t="s">
        <v>26</v>
      </c>
      <c r="P2032" t="s">
        <v>25</v>
      </c>
      <c r="Q2032" t="s">
        <v>2023</v>
      </c>
      <c r="R2032" t="s">
        <v>2257</v>
      </c>
    </row>
    <row r="2033" spans="1:20">
      <c r="A2033">
        <v>2043</v>
      </c>
      <c r="B2033" t="s">
        <v>2271</v>
      </c>
      <c r="C2033" t="s">
        <v>102</v>
      </c>
      <c r="D2033" t="s">
        <v>22</v>
      </c>
      <c r="E2033" t="s">
        <v>23</v>
      </c>
      <c r="F2033">
        <v>0</v>
      </c>
      <c r="G2033">
        <v>19</v>
      </c>
      <c r="H2033">
        <v>0</v>
      </c>
      <c r="I2033" t="s">
        <v>24</v>
      </c>
      <c r="J2033" t="s">
        <v>25</v>
      </c>
      <c r="K2033">
        <v>0</v>
      </c>
      <c r="L2033">
        <v>0</v>
      </c>
      <c r="M2033" t="s">
        <v>25</v>
      </c>
      <c r="N2033" t="s">
        <v>25</v>
      </c>
      <c r="O2033" t="s">
        <v>26</v>
      </c>
      <c r="P2033" t="s">
        <v>25</v>
      </c>
      <c r="Q2033" t="s">
        <v>2023</v>
      </c>
      <c r="R2033" t="s">
        <v>2272</v>
      </c>
    </row>
    <row r="2034" spans="1:20">
      <c r="A2034">
        <v>2044</v>
      </c>
      <c r="B2034" t="s">
        <v>2273</v>
      </c>
      <c r="C2034" t="s">
        <v>102</v>
      </c>
      <c r="D2034" t="s">
        <v>22</v>
      </c>
      <c r="E2034" t="s">
        <v>1578</v>
      </c>
      <c r="F2034">
        <v>0</v>
      </c>
      <c r="G2034">
        <v>19</v>
      </c>
      <c r="H2034">
        <v>0</v>
      </c>
      <c r="I2034" t="s">
        <v>24</v>
      </c>
      <c r="J2034" t="s">
        <v>25</v>
      </c>
      <c r="K2034">
        <v>0</v>
      </c>
      <c r="L2034">
        <v>0</v>
      </c>
      <c r="M2034" t="s">
        <v>25</v>
      </c>
      <c r="N2034" t="s">
        <v>25</v>
      </c>
      <c r="O2034" t="s">
        <v>26</v>
      </c>
      <c r="P2034" t="s">
        <v>25</v>
      </c>
      <c r="Q2034" t="s">
        <v>27</v>
      </c>
      <c r="R2034" t="s">
        <v>2274</v>
      </c>
    </row>
    <row r="2035" spans="1:20">
      <c r="A2035">
        <v>2045</v>
      </c>
      <c r="B2035" t="s">
        <v>2275</v>
      </c>
      <c r="C2035" t="s">
        <v>102</v>
      </c>
      <c r="D2035" t="s">
        <v>22</v>
      </c>
      <c r="E2035" t="s">
        <v>1578</v>
      </c>
      <c r="F2035">
        <v>0</v>
      </c>
      <c r="G2035">
        <v>0</v>
      </c>
      <c r="H2035">
        <v>0</v>
      </c>
      <c r="I2035" t="s">
        <v>24</v>
      </c>
      <c r="J2035" t="s">
        <v>25</v>
      </c>
      <c r="K2035">
        <v>0</v>
      </c>
      <c r="L2035">
        <v>0</v>
      </c>
      <c r="M2035" t="s">
        <v>25</v>
      </c>
      <c r="N2035" t="s">
        <v>25</v>
      </c>
      <c r="O2035" t="s">
        <v>26</v>
      </c>
      <c r="P2035" t="s">
        <v>25</v>
      </c>
      <c r="Q2035" t="s">
        <v>27</v>
      </c>
      <c r="R2035" t="s">
        <v>2274</v>
      </c>
    </row>
    <row r="2036" spans="1:20">
      <c r="A2036">
        <v>2046</v>
      </c>
      <c r="B2036" t="s">
        <v>2276</v>
      </c>
      <c r="C2036" t="s">
        <v>247</v>
      </c>
      <c r="D2036" t="s">
        <v>22</v>
      </c>
      <c r="E2036" t="s">
        <v>23</v>
      </c>
      <c r="F2036">
        <v>0</v>
      </c>
      <c r="G2036">
        <v>0</v>
      </c>
      <c r="H2036">
        <v>0</v>
      </c>
      <c r="I2036" t="s">
        <v>24</v>
      </c>
      <c r="J2036" t="s">
        <v>25</v>
      </c>
      <c r="K2036">
        <v>0</v>
      </c>
      <c r="L2036">
        <v>0</v>
      </c>
      <c r="M2036" t="s">
        <v>25</v>
      </c>
      <c r="N2036" t="s">
        <v>25</v>
      </c>
      <c r="O2036" t="s">
        <v>26</v>
      </c>
      <c r="P2036" t="s">
        <v>25</v>
      </c>
      <c r="Q2036" t="s">
        <v>48</v>
      </c>
      <c r="R2036" t="s">
        <v>643</v>
      </c>
    </row>
    <row r="2037" spans="1:20">
      <c r="A2037">
        <v>2047</v>
      </c>
      <c r="B2037" t="s">
        <v>2277</v>
      </c>
      <c r="C2037" t="s">
        <v>247</v>
      </c>
      <c r="D2037" t="s">
        <v>22</v>
      </c>
      <c r="E2037" t="s">
        <v>23</v>
      </c>
      <c r="F2037">
        <v>77833</v>
      </c>
      <c r="G2037">
        <v>0</v>
      </c>
      <c r="H2037">
        <v>77833</v>
      </c>
      <c r="I2037" t="s">
        <v>24</v>
      </c>
      <c r="J2037" t="s">
        <v>25</v>
      </c>
      <c r="K2037">
        <v>0</v>
      </c>
      <c r="L2037">
        <v>0</v>
      </c>
      <c r="M2037" t="s">
        <v>25</v>
      </c>
      <c r="N2037" t="s">
        <v>25</v>
      </c>
      <c r="O2037" t="s">
        <v>26</v>
      </c>
      <c r="P2037" t="s">
        <v>25</v>
      </c>
      <c r="Q2037" t="s">
        <v>48</v>
      </c>
      <c r="R2037" t="s">
        <v>643</v>
      </c>
    </row>
    <row r="2038" spans="1:20">
      <c r="A2038">
        <v>2048</v>
      </c>
      <c r="B2038" t="s">
        <v>2278</v>
      </c>
      <c r="C2038" t="s">
        <v>102</v>
      </c>
      <c r="D2038" t="s">
        <v>22</v>
      </c>
      <c r="E2038" t="s">
        <v>23</v>
      </c>
      <c r="F2038">
        <v>0</v>
      </c>
      <c r="G2038">
        <v>19</v>
      </c>
      <c r="H2038">
        <v>0</v>
      </c>
      <c r="I2038" t="s">
        <v>24</v>
      </c>
      <c r="J2038" t="s">
        <v>25</v>
      </c>
      <c r="K2038">
        <v>0</v>
      </c>
      <c r="L2038">
        <v>0</v>
      </c>
      <c r="M2038" t="s">
        <v>25</v>
      </c>
      <c r="N2038" t="s">
        <v>25</v>
      </c>
      <c r="O2038" t="s">
        <v>26</v>
      </c>
      <c r="P2038" t="s">
        <v>25</v>
      </c>
      <c r="Q2038" t="s">
        <v>2023</v>
      </c>
      <c r="R2038" t="s">
        <v>643</v>
      </c>
    </row>
    <row r="2039" spans="1:20">
      <c r="A2039">
        <v>2049</v>
      </c>
      <c r="B2039" t="s">
        <v>2279</v>
      </c>
      <c r="C2039" t="s">
        <v>21</v>
      </c>
      <c r="D2039" t="s">
        <v>343</v>
      </c>
      <c r="E2039" t="s">
        <v>23</v>
      </c>
      <c r="F2039">
        <v>66300</v>
      </c>
      <c r="G2039">
        <v>19</v>
      </c>
      <c r="H2039">
        <v>78897</v>
      </c>
      <c r="I2039" t="s">
        <v>24</v>
      </c>
      <c r="J2039" t="s">
        <v>25</v>
      </c>
      <c r="K2039">
        <v>0</v>
      </c>
      <c r="L2039">
        <v>0</v>
      </c>
      <c r="M2039" t="s">
        <v>25</v>
      </c>
      <c r="N2039" t="s">
        <v>25</v>
      </c>
      <c r="O2039" t="s">
        <v>26</v>
      </c>
      <c r="P2039" t="s">
        <v>25</v>
      </c>
      <c r="Q2039" t="s">
        <v>48</v>
      </c>
      <c r="R2039" t="s">
        <v>643</v>
      </c>
      <c r="S2039" t="s">
        <v>48</v>
      </c>
      <c r="T2039" t="s">
        <v>643</v>
      </c>
    </row>
    <row r="2040" spans="1:20">
      <c r="A2040">
        <v>2050</v>
      </c>
      <c r="B2040" t="s">
        <v>2280</v>
      </c>
      <c r="C2040" t="s">
        <v>21</v>
      </c>
      <c r="D2040" t="s">
        <v>22</v>
      </c>
      <c r="E2040" t="s">
        <v>23</v>
      </c>
      <c r="F2040">
        <v>127925</v>
      </c>
      <c r="G2040">
        <v>19</v>
      </c>
      <c r="H2040">
        <v>152230.75</v>
      </c>
      <c r="I2040" t="s">
        <v>24</v>
      </c>
      <c r="J2040" t="s">
        <v>25</v>
      </c>
      <c r="K2040">
        <v>0</v>
      </c>
      <c r="L2040">
        <v>0</v>
      </c>
      <c r="M2040" t="s">
        <v>25</v>
      </c>
      <c r="N2040" t="s">
        <v>25</v>
      </c>
      <c r="O2040" t="s">
        <v>26</v>
      </c>
      <c r="P2040" t="s">
        <v>25</v>
      </c>
      <c r="Q2040" t="s">
        <v>48</v>
      </c>
      <c r="R2040" t="s">
        <v>643</v>
      </c>
      <c r="S2040" t="s">
        <v>51</v>
      </c>
      <c r="T2040" t="s">
        <v>656</v>
      </c>
    </row>
    <row r="2041" spans="1:20">
      <c r="A2041">
        <v>2051</v>
      </c>
      <c r="B2041" t="s">
        <v>2281</v>
      </c>
      <c r="C2041" t="s">
        <v>21</v>
      </c>
      <c r="D2041" t="s">
        <v>22</v>
      </c>
      <c r="E2041" t="s">
        <v>23</v>
      </c>
      <c r="F2041">
        <v>260</v>
      </c>
      <c r="G2041">
        <v>19</v>
      </c>
      <c r="H2041">
        <v>309.39999999999998</v>
      </c>
      <c r="I2041" t="s">
        <v>24</v>
      </c>
      <c r="J2041" t="s">
        <v>25</v>
      </c>
      <c r="K2041">
        <v>0</v>
      </c>
      <c r="L2041">
        <v>0</v>
      </c>
      <c r="M2041" t="s">
        <v>25</v>
      </c>
      <c r="N2041" t="s">
        <v>25</v>
      </c>
      <c r="O2041" t="s">
        <v>26</v>
      </c>
      <c r="P2041" t="s">
        <v>25</v>
      </c>
      <c r="Q2041" t="s">
        <v>48</v>
      </c>
      <c r="R2041" t="s">
        <v>643</v>
      </c>
    </row>
    <row r="2042" spans="1:20">
      <c r="A2042">
        <v>2052</v>
      </c>
      <c r="B2042" t="s">
        <v>2282</v>
      </c>
      <c r="C2042" t="s">
        <v>21</v>
      </c>
      <c r="D2042" t="s">
        <v>22</v>
      </c>
      <c r="E2042" t="s">
        <v>23</v>
      </c>
      <c r="F2042">
        <v>135</v>
      </c>
      <c r="G2042">
        <v>19</v>
      </c>
      <c r="H2042">
        <v>160.65</v>
      </c>
      <c r="I2042" t="s">
        <v>24</v>
      </c>
      <c r="J2042" t="s">
        <v>25</v>
      </c>
      <c r="K2042">
        <v>0</v>
      </c>
      <c r="L2042">
        <v>0</v>
      </c>
      <c r="M2042" t="s">
        <v>25</v>
      </c>
      <c r="N2042" t="s">
        <v>25</v>
      </c>
      <c r="O2042" t="s">
        <v>26</v>
      </c>
      <c r="P2042" t="s">
        <v>25</v>
      </c>
      <c r="Q2042" t="s">
        <v>48</v>
      </c>
      <c r="R2042" t="s">
        <v>643</v>
      </c>
    </row>
    <row r="2043" spans="1:20">
      <c r="A2043">
        <v>2053</v>
      </c>
      <c r="B2043" t="s">
        <v>2283</v>
      </c>
      <c r="C2043" t="s">
        <v>21</v>
      </c>
      <c r="D2043" t="s">
        <v>22</v>
      </c>
      <c r="E2043" t="s">
        <v>23</v>
      </c>
      <c r="F2043">
        <v>6400</v>
      </c>
      <c r="G2043">
        <v>19</v>
      </c>
      <c r="H2043">
        <v>7616</v>
      </c>
      <c r="I2043" t="s">
        <v>24</v>
      </c>
      <c r="J2043" t="s">
        <v>25</v>
      </c>
      <c r="K2043">
        <v>0</v>
      </c>
      <c r="L2043">
        <v>0</v>
      </c>
      <c r="M2043" t="s">
        <v>25</v>
      </c>
      <c r="N2043" t="s">
        <v>25</v>
      </c>
      <c r="O2043" t="s">
        <v>26</v>
      </c>
      <c r="P2043" t="s">
        <v>25</v>
      </c>
      <c r="Q2043" t="s">
        <v>48</v>
      </c>
      <c r="R2043" t="s">
        <v>643</v>
      </c>
    </row>
    <row r="2044" spans="1:20">
      <c r="A2044">
        <v>2054</v>
      </c>
      <c r="B2044" t="s">
        <v>2284</v>
      </c>
      <c r="C2044" t="s">
        <v>21</v>
      </c>
      <c r="D2044" t="s">
        <v>22</v>
      </c>
      <c r="E2044" t="s">
        <v>23</v>
      </c>
      <c r="F2044">
        <v>300</v>
      </c>
      <c r="G2044">
        <v>19</v>
      </c>
      <c r="H2044">
        <v>357</v>
      </c>
      <c r="I2044" t="s">
        <v>24</v>
      </c>
      <c r="J2044" t="s">
        <v>25</v>
      </c>
      <c r="K2044">
        <v>0</v>
      </c>
      <c r="L2044">
        <v>0</v>
      </c>
      <c r="M2044" t="s">
        <v>25</v>
      </c>
      <c r="N2044" t="s">
        <v>25</v>
      </c>
      <c r="O2044" t="s">
        <v>26</v>
      </c>
      <c r="P2044" t="s">
        <v>25</v>
      </c>
      <c r="Q2044" t="s">
        <v>48</v>
      </c>
      <c r="R2044" t="s">
        <v>643</v>
      </c>
    </row>
    <row r="2045" spans="1:20">
      <c r="A2045">
        <v>2055</v>
      </c>
      <c r="B2045" t="s">
        <v>2285</v>
      </c>
      <c r="C2045" t="s">
        <v>21</v>
      </c>
      <c r="D2045" t="s">
        <v>22</v>
      </c>
      <c r="E2045" t="s">
        <v>23</v>
      </c>
      <c r="F2045">
        <v>317600</v>
      </c>
      <c r="G2045">
        <v>19</v>
      </c>
      <c r="H2045">
        <v>377944</v>
      </c>
      <c r="I2045" t="s">
        <v>24</v>
      </c>
      <c r="J2045" t="s">
        <v>25</v>
      </c>
      <c r="K2045">
        <v>0</v>
      </c>
      <c r="L2045">
        <v>0</v>
      </c>
      <c r="M2045" t="s">
        <v>25</v>
      </c>
      <c r="N2045" t="s">
        <v>25</v>
      </c>
      <c r="O2045" t="s">
        <v>26</v>
      </c>
      <c r="P2045" t="s">
        <v>25</v>
      </c>
      <c r="Q2045" t="s">
        <v>48</v>
      </c>
      <c r="R2045" t="s">
        <v>643</v>
      </c>
    </row>
    <row r="2046" spans="1:20">
      <c r="A2046">
        <v>2056</v>
      </c>
      <c r="B2046" t="s">
        <v>2286</v>
      </c>
      <c r="C2046" t="s">
        <v>21</v>
      </c>
      <c r="D2046" t="s">
        <v>22</v>
      </c>
      <c r="E2046" t="s">
        <v>23</v>
      </c>
      <c r="F2046">
        <v>142000</v>
      </c>
      <c r="G2046">
        <v>19</v>
      </c>
      <c r="H2046">
        <v>168980</v>
      </c>
      <c r="I2046" t="s">
        <v>24</v>
      </c>
      <c r="J2046" t="s">
        <v>25</v>
      </c>
      <c r="K2046">
        <v>0</v>
      </c>
      <c r="L2046">
        <v>0</v>
      </c>
      <c r="M2046" t="s">
        <v>25</v>
      </c>
      <c r="N2046" t="s">
        <v>25</v>
      </c>
      <c r="O2046" t="s">
        <v>26</v>
      </c>
      <c r="P2046" t="s">
        <v>25</v>
      </c>
      <c r="Q2046" t="s">
        <v>48</v>
      </c>
      <c r="R2046" t="s">
        <v>643</v>
      </c>
    </row>
    <row r="2047" spans="1:20">
      <c r="A2047">
        <v>2057</v>
      </c>
      <c r="B2047" t="s">
        <v>2287</v>
      </c>
      <c r="C2047" t="s">
        <v>21</v>
      </c>
      <c r="D2047" t="s">
        <v>22</v>
      </c>
      <c r="E2047" t="s">
        <v>23</v>
      </c>
      <c r="F2047">
        <v>29100</v>
      </c>
      <c r="G2047">
        <v>19</v>
      </c>
      <c r="H2047">
        <v>34629</v>
      </c>
      <c r="I2047" t="s">
        <v>24</v>
      </c>
      <c r="J2047" t="s">
        <v>25</v>
      </c>
      <c r="K2047">
        <v>0</v>
      </c>
      <c r="L2047">
        <v>0</v>
      </c>
      <c r="M2047" t="s">
        <v>25</v>
      </c>
      <c r="N2047" t="s">
        <v>25</v>
      </c>
      <c r="O2047" t="s">
        <v>26</v>
      </c>
      <c r="P2047" t="s">
        <v>25</v>
      </c>
      <c r="Q2047" t="s">
        <v>48</v>
      </c>
      <c r="R2047" t="s">
        <v>643</v>
      </c>
    </row>
    <row r="2048" spans="1:20">
      <c r="A2048">
        <v>2058</v>
      </c>
      <c r="B2048" t="s">
        <v>2288</v>
      </c>
      <c r="C2048" t="s">
        <v>21</v>
      </c>
      <c r="D2048" t="s">
        <v>22</v>
      </c>
      <c r="E2048" t="s">
        <v>23</v>
      </c>
      <c r="F2048">
        <v>81300</v>
      </c>
      <c r="G2048">
        <v>19</v>
      </c>
      <c r="H2048">
        <v>96747</v>
      </c>
      <c r="I2048" t="s">
        <v>24</v>
      </c>
      <c r="J2048" t="s">
        <v>25</v>
      </c>
      <c r="K2048">
        <v>0</v>
      </c>
      <c r="L2048">
        <v>0</v>
      </c>
      <c r="M2048" t="s">
        <v>25</v>
      </c>
      <c r="N2048" t="s">
        <v>25</v>
      </c>
      <c r="O2048" t="s">
        <v>26</v>
      </c>
      <c r="P2048" t="s">
        <v>25</v>
      </c>
      <c r="Q2048" t="s">
        <v>48</v>
      </c>
      <c r="R2048" t="s">
        <v>643</v>
      </c>
    </row>
    <row r="2049" spans="1:20">
      <c r="A2049">
        <v>2059</v>
      </c>
      <c r="B2049" t="s">
        <v>2289</v>
      </c>
      <c r="C2049" t="s">
        <v>21</v>
      </c>
      <c r="D2049" t="s">
        <v>22</v>
      </c>
      <c r="E2049" t="s">
        <v>23</v>
      </c>
      <c r="F2049">
        <v>16200</v>
      </c>
      <c r="G2049">
        <v>19</v>
      </c>
      <c r="H2049">
        <v>19278</v>
      </c>
      <c r="I2049" t="s">
        <v>24</v>
      </c>
      <c r="J2049" t="s">
        <v>25</v>
      </c>
      <c r="K2049">
        <v>0</v>
      </c>
      <c r="L2049">
        <v>0</v>
      </c>
      <c r="M2049" t="s">
        <v>25</v>
      </c>
      <c r="N2049" t="s">
        <v>25</v>
      </c>
      <c r="O2049" t="s">
        <v>26</v>
      </c>
      <c r="P2049" t="s">
        <v>25</v>
      </c>
      <c r="Q2049" t="s">
        <v>48</v>
      </c>
      <c r="R2049" t="s">
        <v>643</v>
      </c>
    </row>
    <row r="2050" spans="1:20">
      <c r="A2050">
        <v>2060</v>
      </c>
      <c r="B2050" t="s">
        <v>2290</v>
      </c>
      <c r="C2050" t="s">
        <v>21</v>
      </c>
      <c r="D2050" t="s">
        <v>22</v>
      </c>
      <c r="E2050" t="s">
        <v>23</v>
      </c>
      <c r="F2050">
        <v>32000</v>
      </c>
      <c r="G2050">
        <v>19</v>
      </c>
      <c r="H2050">
        <v>38080</v>
      </c>
      <c r="I2050" t="s">
        <v>24</v>
      </c>
      <c r="J2050" t="s">
        <v>25</v>
      </c>
      <c r="K2050">
        <v>0</v>
      </c>
      <c r="L2050">
        <v>0</v>
      </c>
      <c r="M2050" t="s">
        <v>25</v>
      </c>
      <c r="N2050" t="s">
        <v>25</v>
      </c>
      <c r="O2050" t="s">
        <v>26</v>
      </c>
      <c r="P2050" t="s">
        <v>25</v>
      </c>
      <c r="Q2050" t="s">
        <v>48</v>
      </c>
      <c r="R2050" t="s">
        <v>49</v>
      </c>
      <c r="S2050" t="s">
        <v>51</v>
      </c>
      <c r="T2050" t="s">
        <v>416</v>
      </c>
    </row>
    <row r="2051" spans="1:20">
      <c r="A2051">
        <v>2061</v>
      </c>
      <c r="B2051" t="s">
        <v>2291</v>
      </c>
      <c r="C2051" t="s">
        <v>21</v>
      </c>
      <c r="D2051" t="s">
        <v>22</v>
      </c>
      <c r="E2051" t="s">
        <v>23</v>
      </c>
      <c r="F2051">
        <v>32000</v>
      </c>
      <c r="G2051">
        <v>19</v>
      </c>
      <c r="H2051">
        <v>38080</v>
      </c>
      <c r="I2051" t="s">
        <v>24</v>
      </c>
      <c r="J2051" t="s">
        <v>25</v>
      </c>
      <c r="K2051">
        <v>0</v>
      </c>
      <c r="L2051">
        <v>0</v>
      </c>
      <c r="M2051" t="s">
        <v>25</v>
      </c>
      <c r="N2051" t="s">
        <v>25</v>
      </c>
      <c r="O2051" t="s">
        <v>26</v>
      </c>
      <c r="P2051" t="s">
        <v>25</v>
      </c>
      <c r="Q2051" t="s">
        <v>48</v>
      </c>
      <c r="R2051" t="s">
        <v>49</v>
      </c>
      <c r="S2051" t="s">
        <v>51</v>
      </c>
      <c r="T2051" t="s">
        <v>416</v>
      </c>
    </row>
    <row r="2052" spans="1:20">
      <c r="A2052">
        <v>2062</v>
      </c>
      <c r="B2052" t="s">
        <v>2292</v>
      </c>
      <c r="C2052" t="s">
        <v>21</v>
      </c>
      <c r="D2052" t="s">
        <v>22</v>
      </c>
      <c r="E2052" t="s">
        <v>23</v>
      </c>
      <c r="F2052">
        <v>5950</v>
      </c>
      <c r="G2052">
        <v>19</v>
      </c>
      <c r="H2052">
        <v>7080.5</v>
      </c>
      <c r="I2052" t="s">
        <v>24</v>
      </c>
      <c r="J2052" t="s">
        <v>25</v>
      </c>
      <c r="K2052">
        <v>0</v>
      </c>
      <c r="L2052">
        <v>0</v>
      </c>
      <c r="M2052" t="s">
        <v>25</v>
      </c>
      <c r="N2052" t="s">
        <v>25</v>
      </c>
      <c r="O2052" t="s">
        <v>26</v>
      </c>
      <c r="P2052" t="s">
        <v>25</v>
      </c>
      <c r="Q2052" t="s">
        <v>48</v>
      </c>
      <c r="R2052" t="s">
        <v>49</v>
      </c>
    </row>
    <row r="2053" spans="1:20">
      <c r="A2053">
        <v>2063</v>
      </c>
      <c r="B2053" t="s">
        <v>2293</v>
      </c>
      <c r="C2053" t="s">
        <v>21</v>
      </c>
      <c r="D2053" t="s">
        <v>22</v>
      </c>
      <c r="E2053" t="s">
        <v>23</v>
      </c>
      <c r="F2053">
        <v>5950</v>
      </c>
      <c r="G2053">
        <v>19</v>
      </c>
      <c r="H2053">
        <v>7080.5</v>
      </c>
      <c r="I2053" t="s">
        <v>24</v>
      </c>
      <c r="J2053" t="s">
        <v>25</v>
      </c>
      <c r="K2053">
        <v>0</v>
      </c>
      <c r="L2053">
        <v>0</v>
      </c>
      <c r="M2053" t="s">
        <v>25</v>
      </c>
      <c r="N2053" t="s">
        <v>25</v>
      </c>
      <c r="O2053" t="s">
        <v>26</v>
      </c>
      <c r="P2053" t="s">
        <v>25</v>
      </c>
      <c r="Q2053" t="s">
        <v>48</v>
      </c>
      <c r="R2053" t="s">
        <v>49</v>
      </c>
    </row>
    <row r="2054" spans="1:20">
      <c r="A2054">
        <v>2064</v>
      </c>
      <c r="B2054" t="s">
        <v>2294</v>
      </c>
      <c r="C2054" t="s">
        <v>21</v>
      </c>
      <c r="D2054" t="s">
        <v>22</v>
      </c>
      <c r="E2054" t="s">
        <v>23</v>
      </c>
      <c r="F2054">
        <v>0</v>
      </c>
      <c r="G2054">
        <v>19</v>
      </c>
      <c r="H2054">
        <v>0</v>
      </c>
      <c r="I2054" t="s">
        <v>24</v>
      </c>
      <c r="J2054" t="s">
        <v>25</v>
      </c>
      <c r="K2054">
        <v>0</v>
      </c>
      <c r="L2054">
        <v>0</v>
      </c>
      <c r="M2054" t="s">
        <v>25</v>
      </c>
      <c r="N2054" t="s">
        <v>25</v>
      </c>
      <c r="O2054" t="s">
        <v>26</v>
      </c>
      <c r="P2054" t="s">
        <v>25</v>
      </c>
      <c r="Q2054" t="s">
        <v>48</v>
      </c>
      <c r="R2054" t="s">
        <v>49</v>
      </c>
    </row>
    <row r="2055" spans="1:20">
      <c r="A2055">
        <v>2065</v>
      </c>
      <c r="B2055" t="s">
        <v>2295</v>
      </c>
      <c r="C2055" t="s">
        <v>1580</v>
      </c>
      <c r="D2055" t="s">
        <v>22</v>
      </c>
      <c r="E2055" t="s">
        <v>23</v>
      </c>
      <c r="F2055">
        <v>102000</v>
      </c>
      <c r="G2055">
        <v>19</v>
      </c>
      <c r="H2055">
        <v>121380</v>
      </c>
      <c r="I2055" t="s">
        <v>24</v>
      </c>
      <c r="J2055" t="s">
        <v>25</v>
      </c>
      <c r="K2055">
        <v>0</v>
      </c>
      <c r="L2055">
        <v>0</v>
      </c>
      <c r="M2055" t="s">
        <v>25</v>
      </c>
      <c r="N2055" t="s">
        <v>25</v>
      </c>
      <c r="O2055" t="s">
        <v>26</v>
      </c>
      <c r="P2055" t="s">
        <v>25</v>
      </c>
      <c r="Q2055" t="s">
        <v>48</v>
      </c>
      <c r="R2055" t="s">
        <v>49</v>
      </c>
    </row>
    <row r="2056" spans="1:20">
      <c r="A2056">
        <v>2066</v>
      </c>
      <c r="B2056" t="s">
        <v>2296</v>
      </c>
      <c r="C2056" t="s">
        <v>21</v>
      </c>
      <c r="D2056" t="s">
        <v>22</v>
      </c>
      <c r="E2056" t="s">
        <v>23</v>
      </c>
      <c r="F2056">
        <v>690</v>
      </c>
      <c r="G2056">
        <v>19</v>
      </c>
      <c r="H2056">
        <v>821.1</v>
      </c>
      <c r="I2056" t="s">
        <v>24</v>
      </c>
      <c r="J2056" t="s">
        <v>25</v>
      </c>
      <c r="K2056">
        <v>0</v>
      </c>
      <c r="L2056">
        <v>0</v>
      </c>
      <c r="M2056" t="s">
        <v>25</v>
      </c>
      <c r="N2056" t="s">
        <v>25</v>
      </c>
      <c r="O2056" t="s">
        <v>26</v>
      </c>
      <c r="P2056" t="s">
        <v>25</v>
      </c>
      <c r="Q2056" t="s">
        <v>48</v>
      </c>
      <c r="R2056" t="s">
        <v>49</v>
      </c>
      <c r="S2056" t="s">
        <v>51</v>
      </c>
      <c r="T2056" t="s">
        <v>792</v>
      </c>
    </row>
    <row r="2057" spans="1:20">
      <c r="A2057">
        <v>2067</v>
      </c>
      <c r="B2057" t="s">
        <v>2297</v>
      </c>
      <c r="C2057" t="s">
        <v>21</v>
      </c>
      <c r="D2057" t="s">
        <v>22</v>
      </c>
      <c r="E2057" t="s">
        <v>23</v>
      </c>
      <c r="F2057">
        <v>250</v>
      </c>
      <c r="G2057">
        <v>19</v>
      </c>
      <c r="H2057">
        <v>297.5</v>
      </c>
      <c r="I2057" t="s">
        <v>24</v>
      </c>
      <c r="J2057" t="s">
        <v>25</v>
      </c>
      <c r="K2057">
        <v>0</v>
      </c>
      <c r="L2057">
        <v>0</v>
      </c>
      <c r="M2057" t="s">
        <v>25</v>
      </c>
      <c r="N2057" t="s">
        <v>25</v>
      </c>
      <c r="O2057" t="s">
        <v>26</v>
      </c>
      <c r="P2057" t="s">
        <v>25</v>
      </c>
      <c r="Q2057" t="s">
        <v>48</v>
      </c>
      <c r="R2057" t="s">
        <v>49</v>
      </c>
      <c r="S2057" t="s">
        <v>51</v>
      </c>
      <c r="T2057" t="s">
        <v>792</v>
      </c>
    </row>
    <row r="2058" spans="1:20">
      <c r="A2058">
        <v>2068</v>
      </c>
      <c r="B2058" t="s">
        <v>2298</v>
      </c>
      <c r="C2058" t="s">
        <v>21</v>
      </c>
      <c r="D2058" t="s">
        <v>22</v>
      </c>
      <c r="E2058" t="s">
        <v>23</v>
      </c>
      <c r="F2058">
        <v>200</v>
      </c>
      <c r="G2058">
        <v>19</v>
      </c>
      <c r="H2058">
        <v>238</v>
      </c>
      <c r="I2058" t="s">
        <v>24</v>
      </c>
      <c r="J2058" t="s">
        <v>25</v>
      </c>
      <c r="K2058">
        <v>0</v>
      </c>
      <c r="L2058">
        <v>0</v>
      </c>
      <c r="M2058" t="s">
        <v>25</v>
      </c>
      <c r="N2058" t="s">
        <v>25</v>
      </c>
      <c r="O2058" t="s">
        <v>26</v>
      </c>
      <c r="P2058" t="s">
        <v>25</v>
      </c>
      <c r="Q2058" t="s">
        <v>48</v>
      </c>
      <c r="R2058" t="s">
        <v>49</v>
      </c>
      <c r="S2058" t="s">
        <v>51</v>
      </c>
      <c r="T2058" t="s">
        <v>792</v>
      </c>
    </row>
    <row r="2059" spans="1:20">
      <c r="A2059">
        <v>2069</v>
      </c>
      <c r="B2059" t="s">
        <v>2299</v>
      </c>
      <c r="C2059" t="s">
        <v>21</v>
      </c>
      <c r="D2059" t="s">
        <v>22</v>
      </c>
      <c r="E2059" t="s">
        <v>23</v>
      </c>
      <c r="F2059">
        <v>150</v>
      </c>
      <c r="G2059">
        <v>19</v>
      </c>
      <c r="H2059">
        <v>178.5</v>
      </c>
      <c r="I2059" t="s">
        <v>24</v>
      </c>
      <c r="J2059" t="s">
        <v>25</v>
      </c>
      <c r="K2059">
        <v>0</v>
      </c>
      <c r="L2059">
        <v>0</v>
      </c>
      <c r="M2059" t="s">
        <v>25</v>
      </c>
      <c r="N2059" t="s">
        <v>25</v>
      </c>
      <c r="O2059" t="s">
        <v>26</v>
      </c>
      <c r="P2059" t="s">
        <v>25</v>
      </c>
      <c r="Q2059" t="s">
        <v>48</v>
      </c>
      <c r="R2059" t="s">
        <v>49</v>
      </c>
      <c r="S2059" t="s">
        <v>51</v>
      </c>
      <c r="T2059" t="s">
        <v>792</v>
      </c>
    </row>
    <row r="2060" spans="1:20">
      <c r="A2060">
        <v>2070</v>
      </c>
      <c r="B2060" t="s">
        <v>2300</v>
      </c>
      <c r="C2060" t="s">
        <v>21</v>
      </c>
      <c r="D2060" t="s">
        <v>22</v>
      </c>
      <c r="E2060" t="s">
        <v>23</v>
      </c>
      <c r="F2060">
        <v>6950</v>
      </c>
      <c r="G2060">
        <v>19</v>
      </c>
      <c r="H2060">
        <v>8270.5</v>
      </c>
      <c r="I2060" t="s">
        <v>24</v>
      </c>
      <c r="J2060" t="s">
        <v>25</v>
      </c>
      <c r="K2060">
        <v>0</v>
      </c>
      <c r="L2060">
        <v>0</v>
      </c>
      <c r="M2060" t="s">
        <v>25</v>
      </c>
      <c r="N2060" t="s">
        <v>25</v>
      </c>
      <c r="O2060" t="s">
        <v>26</v>
      </c>
      <c r="P2060" t="s">
        <v>25</v>
      </c>
      <c r="Q2060" t="s">
        <v>48</v>
      </c>
      <c r="R2060" t="s">
        <v>49</v>
      </c>
      <c r="S2060" t="s">
        <v>48</v>
      </c>
      <c r="T2060" t="s">
        <v>49</v>
      </c>
    </row>
    <row r="2061" spans="1:20">
      <c r="A2061">
        <v>2071</v>
      </c>
      <c r="B2061" t="s">
        <v>2301</v>
      </c>
      <c r="C2061" t="s">
        <v>21</v>
      </c>
      <c r="D2061" t="s">
        <v>851</v>
      </c>
      <c r="E2061" t="s">
        <v>23</v>
      </c>
      <c r="F2061">
        <v>40669</v>
      </c>
      <c r="G2061">
        <v>19</v>
      </c>
      <c r="H2061">
        <v>48396.11</v>
      </c>
      <c r="I2061" t="s">
        <v>24</v>
      </c>
      <c r="J2061" t="s">
        <v>25</v>
      </c>
      <c r="K2061">
        <v>0</v>
      </c>
      <c r="L2061">
        <v>0</v>
      </c>
      <c r="M2061" t="s">
        <v>25</v>
      </c>
      <c r="N2061" t="s">
        <v>25</v>
      </c>
      <c r="O2061" t="s">
        <v>26</v>
      </c>
      <c r="P2061" t="s">
        <v>25</v>
      </c>
      <c r="Q2061" t="s">
        <v>48</v>
      </c>
      <c r="R2061" t="s">
        <v>49</v>
      </c>
    </row>
    <row r="2062" spans="1:20">
      <c r="A2062">
        <v>2072</v>
      </c>
      <c r="B2062" t="s">
        <v>2302</v>
      </c>
      <c r="C2062" t="s">
        <v>21</v>
      </c>
      <c r="D2062" t="s">
        <v>22</v>
      </c>
      <c r="E2062" t="s">
        <v>23</v>
      </c>
      <c r="F2062">
        <v>47000</v>
      </c>
      <c r="G2062">
        <v>19</v>
      </c>
      <c r="H2062">
        <v>55930</v>
      </c>
      <c r="I2062" t="s">
        <v>24</v>
      </c>
      <c r="J2062" t="s">
        <v>25</v>
      </c>
      <c r="K2062">
        <v>0</v>
      </c>
      <c r="L2062">
        <v>0</v>
      </c>
      <c r="M2062" t="s">
        <v>25</v>
      </c>
      <c r="N2062" t="s">
        <v>25</v>
      </c>
      <c r="O2062" t="s">
        <v>26</v>
      </c>
      <c r="P2062" t="s">
        <v>25</v>
      </c>
      <c r="Q2062" t="s">
        <v>48</v>
      </c>
      <c r="R2062" t="s">
        <v>844</v>
      </c>
      <c r="S2062" t="s">
        <v>51</v>
      </c>
      <c r="T2062" t="s">
        <v>305</v>
      </c>
    </row>
    <row r="2063" spans="1:20">
      <c r="A2063">
        <v>2073</v>
      </c>
      <c r="B2063" t="s">
        <v>2303</v>
      </c>
      <c r="C2063" t="s">
        <v>21</v>
      </c>
      <c r="D2063" t="s">
        <v>22</v>
      </c>
      <c r="E2063" t="s">
        <v>23</v>
      </c>
      <c r="F2063">
        <v>44621</v>
      </c>
      <c r="G2063">
        <v>19</v>
      </c>
      <c r="H2063">
        <v>53098.99</v>
      </c>
      <c r="I2063" t="s">
        <v>24</v>
      </c>
      <c r="J2063" t="s">
        <v>25</v>
      </c>
      <c r="K2063">
        <v>0</v>
      </c>
      <c r="L2063">
        <v>0</v>
      </c>
      <c r="M2063" t="s">
        <v>25</v>
      </c>
      <c r="N2063" t="s">
        <v>25</v>
      </c>
      <c r="O2063" t="s">
        <v>26</v>
      </c>
      <c r="P2063" t="s">
        <v>25</v>
      </c>
      <c r="Q2063" t="s">
        <v>51</v>
      </c>
      <c r="R2063" t="s">
        <v>656</v>
      </c>
      <c r="S2063" t="s">
        <v>51</v>
      </c>
      <c r="T2063" t="s">
        <v>52</v>
      </c>
    </row>
    <row r="2064" spans="1:20">
      <c r="A2064">
        <v>2074</v>
      </c>
      <c r="B2064" t="s">
        <v>2304</v>
      </c>
      <c r="C2064" t="s">
        <v>21</v>
      </c>
      <c r="D2064" t="s">
        <v>22</v>
      </c>
      <c r="E2064" t="s">
        <v>23</v>
      </c>
      <c r="F2064">
        <v>43000</v>
      </c>
      <c r="G2064">
        <v>19</v>
      </c>
      <c r="H2064">
        <v>51170</v>
      </c>
      <c r="I2064" t="s">
        <v>24</v>
      </c>
      <c r="J2064" t="s">
        <v>25</v>
      </c>
      <c r="K2064">
        <v>0</v>
      </c>
      <c r="L2064">
        <v>0</v>
      </c>
      <c r="M2064" t="s">
        <v>25</v>
      </c>
      <c r="N2064" t="s">
        <v>25</v>
      </c>
      <c r="O2064" t="s">
        <v>26</v>
      </c>
      <c r="P2064" t="s">
        <v>25</v>
      </c>
      <c r="Q2064" t="s">
        <v>51</v>
      </c>
      <c r="R2064" t="s">
        <v>656</v>
      </c>
      <c r="S2064" t="s">
        <v>51</v>
      </c>
      <c r="T2064" t="s">
        <v>656</v>
      </c>
    </row>
    <row r="2065" spans="1:20">
      <c r="A2065">
        <v>2075</v>
      </c>
      <c r="B2065" t="s">
        <v>2305</v>
      </c>
      <c r="C2065" t="s">
        <v>21</v>
      </c>
      <c r="D2065" t="s">
        <v>22</v>
      </c>
      <c r="E2065" t="s">
        <v>23</v>
      </c>
      <c r="F2065">
        <v>5187</v>
      </c>
      <c r="G2065">
        <v>19</v>
      </c>
      <c r="H2065">
        <v>6172.53</v>
      </c>
      <c r="I2065" t="s">
        <v>24</v>
      </c>
      <c r="J2065" t="s">
        <v>25</v>
      </c>
      <c r="K2065">
        <v>0</v>
      </c>
      <c r="L2065">
        <v>0</v>
      </c>
      <c r="M2065" t="s">
        <v>25</v>
      </c>
      <c r="N2065" t="s">
        <v>25</v>
      </c>
      <c r="O2065" t="s">
        <v>26</v>
      </c>
      <c r="P2065" t="s">
        <v>25</v>
      </c>
      <c r="Q2065" t="s">
        <v>51</v>
      </c>
      <c r="R2065" t="s">
        <v>656</v>
      </c>
    </row>
    <row r="2066" spans="1:20">
      <c r="A2066">
        <v>2076</v>
      </c>
      <c r="B2066" t="s">
        <v>2306</v>
      </c>
      <c r="C2066" t="s">
        <v>21</v>
      </c>
      <c r="D2066" t="s">
        <v>22</v>
      </c>
      <c r="E2066" t="s">
        <v>23</v>
      </c>
      <c r="F2066">
        <v>6703</v>
      </c>
      <c r="G2066">
        <v>19</v>
      </c>
      <c r="H2066">
        <v>7976.57</v>
      </c>
      <c r="I2066" t="s">
        <v>24</v>
      </c>
      <c r="J2066" t="s">
        <v>25</v>
      </c>
      <c r="K2066">
        <v>0</v>
      </c>
      <c r="L2066">
        <v>0</v>
      </c>
      <c r="M2066" t="s">
        <v>25</v>
      </c>
      <c r="N2066" t="s">
        <v>25</v>
      </c>
      <c r="O2066" t="s">
        <v>26</v>
      </c>
      <c r="P2066" t="s">
        <v>25</v>
      </c>
      <c r="Q2066" t="s">
        <v>51</v>
      </c>
      <c r="R2066" t="s">
        <v>656</v>
      </c>
    </row>
    <row r="2067" spans="1:20">
      <c r="A2067">
        <v>2077</v>
      </c>
      <c r="B2067" t="s">
        <v>2307</v>
      </c>
      <c r="C2067" t="s">
        <v>21</v>
      </c>
      <c r="D2067" t="s">
        <v>32</v>
      </c>
      <c r="E2067" t="s">
        <v>23</v>
      </c>
      <c r="F2067">
        <v>18513</v>
      </c>
      <c r="G2067">
        <v>19</v>
      </c>
      <c r="H2067">
        <v>22030.47</v>
      </c>
      <c r="I2067" t="s">
        <v>24</v>
      </c>
      <c r="J2067" t="s">
        <v>25</v>
      </c>
      <c r="K2067">
        <v>0</v>
      </c>
      <c r="L2067">
        <v>0</v>
      </c>
      <c r="M2067" t="s">
        <v>25</v>
      </c>
      <c r="N2067" t="s">
        <v>25</v>
      </c>
      <c r="O2067" t="s">
        <v>26</v>
      </c>
      <c r="P2067" t="s">
        <v>25</v>
      </c>
      <c r="Q2067" t="s">
        <v>51</v>
      </c>
      <c r="R2067" t="s">
        <v>656</v>
      </c>
    </row>
    <row r="2068" spans="1:20">
      <c r="A2068">
        <v>2078</v>
      </c>
      <c r="B2068" t="s">
        <v>2308</v>
      </c>
      <c r="C2068" t="s">
        <v>102</v>
      </c>
      <c r="D2068" t="s">
        <v>22</v>
      </c>
      <c r="E2068" t="s">
        <v>23</v>
      </c>
      <c r="F2068">
        <v>0</v>
      </c>
      <c r="G2068">
        <v>19</v>
      </c>
      <c r="H2068">
        <v>0</v>
      </c>
      <c r="I2068" t="s">
        <v>24</v>
      </c>
      <c r="J2068" t="s">
        <v>25</v>
      </c>
      <c r="K2068">
        <v>0</v>
      </c>
      <c r="L2068">
        <v>0</v>
      </c>
      <c r="M2068" t="s">
        <v>25</v>
      </c>
      <c r="N2068" t="s">
        <v>25</v>
      </c>
      <c r="O2068" t="s">
        <v>26</v>
      </c>
      <c r="P2068" t="s">
        <v>25</v>
      </c>
      <c r="Q2068" t="s">
        <v>2023</v>
      </c>
      <c r="R2068" t="s">
        <v>656</v>
      </c>
    </row>
    <row r="2069" spans="1:20">
      <c r="A2069">
        <v>2079</v>
      </c>
      <c r="B2069" t="s">
        <v>2309</v>
      </c>
      <c r="C2069" t="s">
        <v>21</v>
      </c>
      <c r="D2069" t="s">
        <v>32</v>
      </c>
      <c r="E2069" t="s">
        <v>23</v>
      </c>
      <c r="F2069">
        <v>4546</v>
      </c>
      <c r="G2069">
        <v>19</v>
      </c>
      <c r="H2069">
        <v>5409.74</v>
      </c>
      <c r="I2069" t="s">
        <v>24</v>
      </c>
      <c r="J2069" t="s">
        <v>25</v>
      </c>
      <c r="K2069">
        <v>0</v>
      </c>
      <c r="L2069">
        <v>0</v>
      </c>
      <c r="M2069" t="s">
        <v>25</v>
      </c>
      <c r="N2069" t="s">
        <v>25</v>
      </c>
      <c r="O2069" t="s">
        <v>26</v>
      </c>
      <c r="P2069" t="s">
        <v>25</v>
      </c>
      <c r="Q2069" t="s">
        <v>51</v>
      </c>
      <c r="R2069" t="s">
        <v>656</v>
      </c>
    </row>
    <row r="2070" spans="1:20">
      <c r="A2070">
        <v>2080</v>
      </c>
      <c r="B2070" t="s">
        <v>2310</v>
      </c>
      <c r="C2070" t="s">
        <v>21</v>
      </c>
      <c r="D2070" t="s">
        <v>22</v>
      </c>
      <c r="E2070" t="s">
        <v>23</v>
      </c>
      <c r="F2070">
        <v>14900</v>
      </c>
      <c r="G2070">
        <v>19</v>
      </c>
      <c r="H2070">
        <v>17731</v>
      </c>
      <c r="I2070" t="s">
        <v>24</v>
      </c>
      <c r="J2070" t="s">
        <v>25</v>
      </c>
      <c r="K2070">
        <v>0</v>
      </c>
      <c r="L2070">
        <v>0</v>
      </c>
      <c r="M2070" t="s">
        <v>25</v>
      </c>
      <c r="N2070" t="s">
        <v>25</v>
      </c>
      <c r="O2070" t="s">
        <v>26</v>
      </c>
      <c r="P2070" t="s">
        <v>25</v>
      </c>
      <c r="Q2070" t="s">
        <v>51</v>
      </c>
      <c r="R2070" t="s">
        <v>656</v>
      </c>
      <c r="S2070" t="s">
        <v>51</v>
      </c>
      <c r="T2070" t="s">
        <v>91</v>
      </c>
    </row>
    <row r="2071" spans="1:20">
      <c r="A2071">
        <v>2081</v>
      </c>
      <c r="B2071" t="s">
        <v>2311</v>
      </c>
      <c r="C2071" t="s">
        <v>21</v>
      </c>
      <c r="D2071" t="s">
        <v>22</v>
      </c>
      <c r="E2071" t="s">
        <v>23</v>
      </c>
      <c r="F2071">
        <v>30000</v>
      </c>
      <c r="G2071">
        <v>19</v>
      </c>
      <c r="H2071">
        <v>35700</v>
      </c>
      <c r="I2071" t="s">
        <v>24</v>
      </c>
      <c r="J2071" t="s">
        <v>25</v>
      </c>
      <c r="K2071">
        <v>0</v>
      </c>
      <c r="L2071">
        <v>0</v>
      </c>
      <c r="M2071" t="s">
        <v>25</v>
      </c>
      <c r="N2071" t="s">
        <v>25</v>
      </c>
      <c r="O2071" t="s">
        <v>26</v>
      </c>
      <c r="P2071" t="s">
        <v>25</v>
      </c>
      <c r="Q2071" t="s">
        <v>51</v>
      </c>
      <c r="R2071" t="s">
        <v>656</v>
      </c>
      <c r="S2071" t="s">
        <v>51</v>
      </c>
      <c r="T2071" t="s">
        <v>2312</v>
      </c>
    </row>
    <row r="2072" spans="1:20">
      <c r="A2072">
        <v>2082</v>
      </c>
      <c r="B2072" t="s">
        <v>2313</v>
      </c>
      <c r="C2072" t="s">
        <v>21</v>
      </c>
      <c r="D2072" t="s">
        <v>22</v>
      </c>
      <c r="E2072" t="s">
        <v>23</v>
      </c>
      <c r="F2072">
        <v>3216</v>
      </c>
      <c r="G2072">
        <v>19</v>
      </c>
      <c r="H2072">
        <v>3827.04</v>
      </c>
      <c r="I2072" t="s">
        <v>24</v>
      </c>
      <c r="J2072" t="s">
        <v>25</v>
      </c>
      <c r="K2072">
        <v>0</v>
      </c>
      <c r="L2072">
        <v>0</v>
      </c>
      <c r="M2072" t="s">
        <v>25</v>
      </c>
      <c r="N2072" t="s">
        <v>25</v>
      </c>
      <c r="O2072" t="s">
        <v>26</v>
      </c>
      <c r="P2072" t="s">
        <v>25</v>
      </c>
      <c r="Q2072" t="s">
        <v>51</v>
      </c>
      <c r="R2072" t="s">
        <v>656</v>
      </c>
    </row>
    <row r="2073" spans="1:20">
      <c r="A2073">
        <v>2083</v>
      </c>
      <c r="B2073" t="s">
        <v>2314</v>
      </c>
      <c r="C2073" t="s">
        <v>21</v>
      </c>
      <c r="D2073" t="s">
        <v>22</v>
      </c>
      <c r="E2073" t="s">
        <v>23</v>
      </c>
      <c r="F2073">
        <v>231000</v>
      </c>
      <c r="G2073">
        <v>19</v>
      </c>
      <c r="H2073">
        <v>274890</v>
      </c>
      <c r="I2073" t="s">
        <v>24</v>
      </c>
      <c r="J2073" t="s">
        <v>25</v>
      </c>
      <c r="K2073">
        <v>0</v>
      </c>
      <c r="L2073">
        <v>0</v>
      </c>
      <c r="M2073" t="s">
        <v>25</v>
      </c>
      <c r="N2073" t="s">
        <v>25</v>
      </c>
      <c r="O2073" t="s">
        <v>26</v>
      </c>
      <c r="P2073" t="s">
        <v>25</v>
      </c>
      <c r="Q2073" t="s">
        <v>51</v>
      </c>
      <c r="R2073" t="s">
        <v>656</v>
      </c>
    </row>
    <row r="2074" spans="1:20">
      <c r="A2074">
        <v>2084</v>
      </c>
      <c r="B2074" t="s">
        <v>2315</v>
      </c>
      <c r="C2074" t="s">
        <v>102</v>
      </c>
      <c r="D2074" t="s">
        <v>22</v>
      </c>
      <c r="E2074" t="s">
        <v>23</v>
      </c>
      <c r="F2074">
        <v>0</v>
      </c>
      <c r="G2074">
        <v>0</v>
      </c>
      <c r="H2074">
        <v>0</v>
      </c>
      <c r="I2074" t="s">
        <v>24</v>
      </c>
      <c r="J2074" t="s">
        <v>25</v>
      </c>
      <c r="K2074">
        <v>0</v>
      </c>
      <c r="L2074">
        <v>0</v>
      </c>
      <c r="M2074" t="s">
        <v>25</v>
      </c>
      <c r="N2074" t="s">
        <v>25</v>
      </c>
      <c r="O2074" t="s">
        <v>26</v>
      </c>
      <c r="P2074" t="s">
        <v>25</v>
      </c>
      <c r="Q2074" t="s">
        <v>2023</v>
      </c>
      <c r="R2074" t="s">
        <v>656</v>
      </c>
    </row>
    <row r="2075" spans="1:20">
      <c r="A2075">
        <v>2085</v>
      </c>
      <c r="B2075" t="s">
        <v>2316</v>
      </c>
      <c r="C2075" t="s">
        <v>102</v>
      </c>
      <c r="D2075" t="s">
        <v>22</v>
      </c>
      <c r="E2075" t="s">
        <v>23</v>
      </c>
      <c r="F2075">
        <v>0</v>
      </c>
      <c r="G2075">
        <v>0</v>
      </c>
      <c r="H2075">
        <v>0</v>
      </c>
      <c r="I2075" t="s">
        <v>24</v>
      </c>
      <c r="J2075" t="s">
        <v>25</v>
      </c>
      <c r="K2075">
        <v>0</v>
      </c>
      <c r="L2075">
        <v>0</v>
      </c>
      <c r="M2075" t="s">
        <v>25</v>
      </c>
      <c r="N2075" t="s">
        <v>25</v>
      </c>
      <c r="O2075" t="s">
        <v>26</v>
      </c>
      <c r="P2075" t="s">
        <v>25</v>
      </c>
      <c r="Q2075" t="s">
        <v>2023</v>
      </c>
      <c r="R2075" t="s">
        <v>656</v>
      </c>
    </row>
    <row r="2076" spans="1:20">
      <c r="A2076">
        <v>2086</v>
      </c>
      <c r="B2076" t="s">
        <v>2317</v>
      </c>
      <c r="C2076" t="s">
        <v>102</v>
      </c>
      <c r="D2076" t="s">
        <v>22</v>
      </c>
      <c r="E2076" t="s">
        <v>23</v>
      </c>
      <c r="F2076">
        <v>0</v>
      </c>
      <c r="G2076">
        <v>19</v>
      </c>
      <c r="H2076">
        <v>0</v>
      </c>
      <c r="I2076" t="s">
        <v>24</v>
      </c>
      <c r="J2076" t="s">
        <v>25</v>
      </c>
      <c r="K2076">
        <v>0</v>
      </c>
      <c r="L2076">
        <v>0</v>
      </c>
      <c r="M2076" t="s">
        <v>25</v>
      </c>
      <c r="N2076" t="s">
        <v>25</v>
      </c>
      <c r="O2076" t="s">
        <v>26</v>
      </c>
      <c r="P2076" t="s">
        <v>25</v>
      </c>
      <c r="Q2076" t="s">
        <v>2023</v>
      </c>
      <c r="R2076" t="s">
        <v>656</v>
      </c>
    </row>
    <row r="2077" spans="1:20">
      <c r="A2077">
        <v>2087</v>
      </c>
      <c r="B2077" t="s">
        <v>2318</v>
      </c>
      <c r="C2077" t="s">
        <v>102</v>
      </c>
      <c r="D2077" t="s">
        <v>22</v>
      </c>
      <c r="E2077" t="s">
        <v>23</v>
      </c>
      <c r="F2077">
        <v>0</v>
      </c>
      <c r="G2077">
        <v>19</v>
      </c>
      <c r="H2077">
        <v>0</v>
      </c>
      <c r="I2077" t="s">
        <v>24</v>
      </c>
      <c r="J2077" t="s">
        <v>25</v>
      </c>
      <c r="K2077">
        <v>0</v>
      </c>
      <c r="L2077">
        <v>0</v>
      </c>
      <c r="M2077" t="s">
        <v>25</v>
      </c>
      <c r="N2077" t="s">
        <v>25</v>
      </c>
      <c r="O2077" t="s">
        <v>26</v>
      </c>
      <c r="P2077" t="s">
        <v>25</v>
      </c>
      <c r="Q2077" t="s">
        <v>2023</v>
      </c>
      <c r="R2077" t="s">
        <v>656</v>
      </c>
    </row>
    <row r="2078" spans="1:20">
      <c r="A2078">
        <v>2088</v>
      </c>
      <c r="B2078" t="s">
        <v>2319</v>
      </c>
      <c r="C2078" t="s">
        <v>102</v>
      </c>
      <c r="D2078" t="s">
        <v>22</v>
      </c>
      <c r="E2078" t="s">
        <v>23</v>
      </c>
      <c r="F2078">
        <v>0</v>
      </c>
      <c r="G2078">
        <v>19</v>
      </c>
      <c r="H2078">
        <v>0</v>
      </c>
      <c r="I2078" t="s">
        <v>24</v>
      </c>
      <c r="J2078" t="s">
        <v>25</v>
      </c>
      <c r="K2078">
        <v>0</v>
      </c>
      <c r="L2078">
        <v>0</v>
      </c>
      <c r="M2078" t="s">
        <v>25</v>
      </c>
      <c r="N2078" t="s">
        <v>25</v>
      </c>
      <c r="O2078" t="s">
        <v>26</v>
      </c>
      <c r="P2078" t="s">
        <v>25</v>
      </c>
      <c r="Q2078" t="s">
        <v>2023</v>
      </c>
      <c r="R2078" t="s">
        <v>656</v>
      </c>
    </row>
    <row r="2079" spans="1:20">
      <c r="A2079">
        <v>2089</v>
      </c>
      <c r="B2079" t="s">
        <v>2320</v>
      </c>
      <c r="C2079" t="s">
        <v>102</v>
      </c>
      <c r="D2079" t="s">
        <v>22</v>
      </c>
      <c r="E2079" t="s">
        <v>23</v>
      </c>
      <c r="F2079">
        <v>0</v>
      </c>
      <c r="G2079">
        <v>19</v>
      </c>
      <c r="H2079">
        <v>0</v>
      </c>
      <c r="I2079" t="s">
        <v>532</v>
      </c>
      <c r="J2079" t="s">
        <v>25</v>
      </c>
      <c r="K2079">
        <v>0</v>
      </c>
      <c r="L2079">
        <v>0</v>
      </c>
      <c r="M2079" t="s">
        <v>25</v>
      </c>
      <c r="N2079" t="s">
        <v>25</v>
      </c>
      <c r="O2079" t="s">
        <v>26</v>
      </c>
      <c r="P2079" t="s">
        <v>25</v>
      </c>
      <c r="Q2079" t="s">
        <v>2023</v>
      </c>
      <c r="R2079" t="s">
        <v>656</v>
      </c>
      <c r="S2079" t="s">
        <v>51</v>
      </c>
      <c r="T2079" t="s">
        <v>52</v>
      </c>
    </row>
    <row r="2080" spans="1:20">
      <c r="A2080">
        <v>2090</v>
      </c>
      <c r="B2080" t="s">
        <v>2321</v>
      </c>
      <c r="C2080" t="s">
        <v>102</v>
      </c>
      <c r="D2080" t="s">
        <v>22</v>
      </c>
      <c r="E2080" t="s">
        <v>23</v>
      </c>
      <c r="F2080">
        <v>0</v>
      </c>
      <c r="G2080">
        <v>19</v>
      </c>
      <c r="H2080">
        <v>0</v>
      </c>
      <c r="I2080" t="s">
        <v>24</v>
      </c>
      <c r="J2080" t="s">
        <v>25</v>
      </c>
      <c r="K2080">
        <v>0</v>
      </c>
      <c r="L2080">
        <v>0</v>
      </c>
      <c r="M2080" t="s">
        <v>25</v>
      </c>
      <c r="N2080" t="s">
        <v>25</v>
      </c>
      <c r="O2080" t="s">
        <v>26</v>
      </c>
      <c r="P2080" t="s">
        <v>25</v>
      </c>
      <c r="Q2080" t="s">
        <v>2023</v>
      </c>
      <c r="R2080" t="s">
        <v>656</v>
      </c>
    </row>
    <row r="2081" spans="1:20">
      <c r="A2081">
        <v>2091</v>
      </c>
      <c r="B2081" t="s">
        <v>2322</v>
      </c>
      <c r="C2081" t="s">
        <v>102</v>
      </c>
      <c r="D2081" t="s">
        <v>22</v>
      </c>
      <c r="E2081" t="s">
        <v>23</v>
      </c>
      <c r="F2081">
        <v>0</v>
      </c>
      <c r="G2081">
        <v>19</v>
      </c>
      <c r="H2081">
        <v>0</v>
      </c>
      <c r="I2081" t="s">
        <v>24</v>
      </c>
      <c r="J2081" t="s">
        <v>25</v>
      </c>
      <c r="K2081">
        <v>0</v>
      </c>
      <c r="L2081">
        <v>0</v>
      </c>
      <c r="M2081" t="s">
        <v>25</v>
      </c>
      <c r="N2081" t="s">
        <v>25</v>
      </c>
      <c r="O2081" t="s">
        <v>26</v>
      </c>
      <c r="P2081" t="s">
        <v>25</v>
      </c>
      <c r="Q2081" t="s">
        <v>2023</v>
      </c>
      <c r="R2081" t="s">
        <v>656</v>
      </c>
    </row>
    <row r="2082" spans="1:20">
      <c r="A2082">
        <v>2092</v>
      </c>
      <c r="B2082" t="s">
        <v>2323</v>
      </c>
      <c r="C2082" t="s">
        <v>102</v>
      </c>
      <c r="D2082" t="s">
        <v>22</v>
      </c>
      <c r="E2082" t="s">
        <v>23</v>
      </c>
      <c r="F2082">
        <v>0</v>
      </c>
      <c r="G2082">
        <v>19</v>
      </c>
      <c r="H2082">
        <v>0</v>
      </c>
      <c r="I2082" t="s">
        <v>24</v>
      </c>
      <c r="J2082" t="s">
        <v>25</v>
      </c>
      <c r="K2082">
        <v>0</v>
      </c>
      <c r="L2082">
        <v>0</v>
      </c>
      <c r="M2082" t="s">
        <v>25</v>
      </c>
      <c r="N2082" t="s">
        <v>25</v>
      </c>
      <c r="O2082" t="s">
        <v>26</v>
      </c>
      <c r="P2082" t="s">
        <v>25</v>
      </c>
      <c r="Q2082" t="s">
        <v>2023</v>
      </c>
      <c r="R2082" t="s">
        <v>656</v>
      </c>
    </row>
    <row r="2083" spans="1:20">
      <c r="A2083">
        <v>2093</v>
      </c>
      <c r="B2083" t="s">
        <v>2324</v>
      </c>
      <c r="C2083" t="s">
        <v>102</v>
      </c>
      <c r="D2083" t="s">
        <v>22</v>
      </c>
      <c r="E2083" t="s">
        <v>23</v>
      </c>
      <c r="F2083">
        <v>0</v>
      </c>
      <c r="G2083">
        <v>19</v>
      </c>
      <c r="H2083">
        <v>0</v>
      </c>
      <c r="I2083" t="s">
        <v>24</v>
      </c>
      <c r="J2083" t="s">
        <v>25</v>
      </c>
      <c r="K2083">
        <v>0</v>
      </c>
      <c r="L2083">
        <v>0</v>
      </c>
      <c r="M2083" t="s">
        <v>25</v>
      </c>
      <c r="N2083" t="s">
        <v>25</v>
      </c>
      <c r="O2083" t="s">
        <v>26</v>
      </c>
      <c r="P2083" t="s">
        <v>25</v>
      </c>
      <c r="Q2083" t="s">
        <v>2023</v>
      </c>
      <c r="R2083" t="s">
        <v>656</v>
      </c>
    </row>
    <row r="2084" spans="1:20">
      <c r="A2084">
        <v>2094</v>
      </c>
      <c r="B2084" t="s">
        <v>2325</v>
      </c>
      <c r="C2084" t="s">
        <v>102</v>
      </c>
      <c r="D2084" t="s">
        <v>22</v>
      </c>
      <c r="E2084" t="s">
        <v>23</v>
      </c>
      <c r="F2084">
        <v>0</v>
      </c>
      <c r="G2084">
        <v>19</v>
      </c>
      <c r="H2084">
        <v>0</v>
      </c>
      <c r="I2084" t="s">
        <v>24</v>
      </c>
      <c r="J2084" t="s">
        <v>25</v>
      </c>
      <c r="K2084">
        <v>0</v>
      </c>
      <c r="L2084">
        <v>0</v>
      </c>
      <c r="M2084" t="s">
        <v>25</v>
      </c>
      <c r="N2084" t="s">
        <v>25</v>
      </c>
      <c r="O2084" t="s">
        <v>26</v>
      </c>
      <c r="P2084" t="s">
        <v>25</v>
      </c>
      <c r="Q2084" t="s">
        <v>2023</v>
      </c>
      <c r="R2084" t="s">
        <v>656</v>
      </c>
    </row>
    <row r="2085" spans="1:20">
      <c r="A2085">
        <v>2095</v>
      </c>
      <c r="B2085" t="s">
        <v>2326</v>
      </c>
      <c r="C2085" t="s">
        <v>102</v>
      </c>
      <c r="D2085" t="s">
        <v>22</v>
      </c>
      <c r="E2085" t="s">
        <v>23</v>
      </c>
      <c r="F2085">
        <v>0</v>
      </c>
      <c r="G2085">
        <v>19</v>
      </c>
      <c r="H2085">
        <v>0</v>
      </c>
      <c r="I2085" t="s">
        <v>24</v>
      </c>
      <c r="J2085" t="s">
        <v>25</v>
      </c>
      <c r="K2085">
        <v>0</v>
      </c>
      <c r="L2085">
        <v>0</v>
      </c>
      <c r="M2085" t="s">
        <v>25</v>
      </c>
      <c r="N2085" t="s">
        <v>25</v>
      </c>
      <c r="O2085" t="s">
        <v>26</v>
      </c>
      <c r="P2085" t="s">
        <v>25</v>
      </c>
      <c r="Q2085" t="s">
        <v>2023</v>
      </c>
      <c r="R2085" t="s">
        <v>656</v>
      </c>
    </row>
    <row r="2086" spans="1:20">
      <c r="A2086">
        <v>2096</v>
      </c>
      <c r="B2086" t="s">
        <v>2327</v>
      </c>
      <c r="C2086" t="s">
        <v>102</v>
      </c>
      <c r="D2086" t="s">
        <v>22</v>
      </c>
      <c r="E2086" t="s">
        <v>23</v>
      </c>
      <c r="F2086">
        <v>0</v>
      </c>
      <c r="G2086">
        <v>19</v>
      </c>
      <c r="H2086">
        <v>0</v>
      </c>
      <c r="I2086" t="s">
        <v>24</v>
      </c>
      <c r="J2086" t="s">
        <v>25</v>
      </c>
      <c r="K2086">
        <v>0</v>
      </c>
      <c r="L2086">
        <v>0</v>
      </c>
      <c r="M2086" t="s">
        <v>25</v>
      </c>
      <c r="N2086" t="s">
        <v>25</v>
      </c>
      <c r="O2086" t="s">
        <v>26</v>
      </c>
      <c r="P2086" t="s">
        <v>25</v>
      </c>
      <c r="Q2086" t="s">
        <v>2023</v>
      </c>
      <c r="R2086" t="s">
        <v>656</v>
      </c>
    </row>
    <row r="2087" spans="1:20">
      <c r="A2087">
        <v>2097</v>
      </c>
      <c r="B2087" t="s">
        <v>2328</v>
      </c>
      <c r="C2087" t="s">
        <v>102</v>
      </c>
      <c r="D2087" t="s">
        <v>22</v>
      </c>
      <c r="E2087" t="s">
        <v>23</v>
      </c>
      <c r="F2087">
        <v>0</v>
      </c>
      <c r="G2087">
        <v>19</v>
      </c>
      <c r="H2087">
        <v>0</v>
      </c>
      <c r="I2087" t="s">
        <v>532</v>
      </c>
      <c r="J2087" t="s">
        <v>25</v>
      </c>
      <c r="K2087">
        <v>0</v>
      </c>
      <c r="L2087">
        <v>0</v>
      </c>
      <c r="M2087" t="s">
        <v>25</v>
      </c>
      <c r="N2087" t="s">
        <v>25</v>
      </c>
      <c r="O2087" t="s">
        <v>26</v>
      </c>
      <c r="P2087" t="s">
        <v>25</v>
      </c>
      <c r="Q2087" t="s">
        <v>2023</v>
      </c>
      <c r="R2087" t="s">
        <v>656</v>
      </c>
      <c r="S2087" t="s">
        <v>51</v>
      </c>
      <c r="T2087" t="s">
        <v>52</v>
      </c>
    </row>
    <row r="2088" spans="1:20">
      <c r="A2088">
        <v>2098</v>
      </c>
      <c r="B2088" t="s">
        <v>2329</v>
      </c>
      <c r="C2088" t="s">
        <v>102</v>
      </c>
      <c r="D2088" t="s">
        <v>22</v>
      </c>
      <c r="E2088" t="s">
        <v>23</v>
      </c>
      <c r="F2088">
        <v>0</v>
      </c>
      <c r="G2088">
        <v>19</v>
      </c>
      <c r="H2088">
        <v>0</v>
      </c>
      <c r="I2088" t="s">
        <v>24</v>
      </c>
      <c r="J2088" t="s">
        <v>25</v>
      </c>
      <c r="K2088">
        <v>0</v>
      </c>
      <c r="L2088">
        <v>0</v>
      </c>
      <c r="M2088" t="s">
        <v>25</v>
      </c>
      <c r="N2088" t="s">
        <v>25</v>
      </c>
      <c r="O2088" t="s">
        <v>26</v>
      </c>
      <c r="P2088" t="s">
        <v>25</v>
      </c>
      <c r="Q2088" t="s">
        <v>2023</v>
      </c>
      <c r="R2088" t="s">
        <v>656</v>
      </c>
    </row>
    <row r="2089" spans="1:20">
      <c r="A2089">
        <v>2099</v>
      </c>
      <c r="B2089" t="s">
        <v>2330</v>
      </c>
      <c r="C2089" t="s">
        <v>102</v>
      </c>
      <c r="D2089" t="s">
        <v>22</v>
      </c>
      <c r="E2089" t="s">
        <v>23</v>
      </c>
      <c r="F2089">
        <v>0</v>
      </c>
      <c r="G2089">
        <v>19</v>
      </c>
      <c r="H2089">
        <v>0</v>
      </c>
      <c r="I2089" t="s">
        <v>24</v>
      </c>
      <c r="J2089" t="s">
        <v>25</v>
      </c>
      <c r="K2089">
        <v>0</v>
      </c>
      <c r="L2089">
        <v>0</v>
      </c>
      <c r="M2089" t="s">
        <v>25</v>
      </c>
      <c r="N2089" t="s">
        <v>25</v>
      </c>
      <c r="O2089" t="s">
        <v>26</v>
      </c>
      <c r="P2089" t="s">
        <v>25</v>
      </c>
      <c r="Q2089" t="s">
        <v>2023</v>
      </c>
      <c r="R2089" t="s">
        <v>656</v>
      </c>
    </row>
    <row r="2090" spans="1:20">
      <c r="A2090">
        <v>2100</v>
      </c>
      <c r="B2090" t="s">
        <v>2331</v>
      </c>
      <c r="C2090" t="s">
        <v>21</v>
      </c>
      <c r="D2090" t="s">
        <v>22</v>
      </c>
      <c r="E2090" t="s">
        <v>2332</v>
      </c>
      <c r="F2090">
        <v>0</v>
      </c>
      <c r="G2090">
        <v>0</v>
      </c>
      <c r="H2090">
        <v>0</v>
      </c>
      <c r="I2090" t="s">
        <v>24</v>
      </c>
      <c r="J2090" t="s">
        <v>25</v>
      </c>
      <c r="K2090">
        <v>0</v>
      </c>
      <c r="L2090">
        <v>0</v>
      </c>
      <c r="M2090" t="s">
        <v>25</v>
      </c>
      <c r="N2090" t="s">
        <v>25</v>
      </c>
      <c r="O2090" t="s">
        <v>26</v>
      </c>
      <c r="P2090" t="s">
        <v>25</v>
      </c>
      <c r="Q2090" t="s">
        <v>27</v>
      </c>
      <c r="R2090" t="s">
        <v>91</v>
      </c>
    </row>
    <row r="2091" spans="1:20">
      <c r="A2091">
        <v>2101</v>
      </c>
      <c r="B2091" t="s">
        <v>2333</v>
      </c>
      <c r="C2091" t="s">
        <v>102</v>
      </c>
      <c r="D2091" t="s">
        <v>229</v>
      </c>
      <c r="E2091" t="s">
        <v>23</v>
      </c>
      <c r="F2091">
        <v>0</v>
      </c>
      <c r="G2091">
        <v>0</v>
      </c>
      <c r="H2091">
        <v>0</v>
      </c>
      <c r="I2091" t="s">
        <v>24</v>
      </c>
      <c r="J2091" t="s">
        <v>25</v>
      </c>
      <c r="K2091">
        <v>0</v>
      </c>
      <c r="L2091">
        <v>0</v>
      </c>
      <c r="M2091" t="s">
        <v>25</v>
      </c>
      <c r="N2091" t="s">
        <v>25</v>
      </c>
      <c r="O2091" t="s">
        <v>26</v>
      </c>
      <c r="P2091" t="s">
        <v>25</v>
      </c>
      <c r="Q2091" t="s">
        <v>581</v>
      </c>
      <c r="R2091" t="s">
        <v>2334</v>
      </c>
      <c r="S2091" t="s">
        <v>581</v>
      </c>
      <c r="T2091" t="s">
        <v>2334</v>
      </c>
    </row>
    <row r="2092" spans="1:20">
      <c r="A2092">
        <v>2102</v>
      </c>
      <c r="B2092" t="s">
        <v>2335</v>
      </c>
      <c r="C2092" t="s">
        <v>102</v>
      </c>
      <c r="D2092" t="s">
        <v>229</v>
      </c>
      <c r="E2092" t="s">
        <v>23</v>
      </c>
      <c r="F2092">
        <v>0</v>
      </c>
      <c r="G2092">
        <v>0</v>
      </c>
      <c r="H2092">
        <v>0</v>
      </c>
      <c r="I2092" t="s">
        <v>24</v>
      </c>
      <c r="J2092" t="s">
        <v>25</v>
      </c>
      <c r="K2092">
        <v>0</v>
      </c>
      <c r="L2092">
        <v>0</v>
      </c>
      <c r="M2092" t="s">
        <v>25</v>
      </c>
      <c r="N2092" t="s">
        <v>25</v>
      </c>
      <c r="O2092" t="s">
        <v>26</v>
      </c>
      <c r="P2092" t="s">
        <v>25</v>
      </c>
      <c r="Q2092" t="s">
        <v>581</v>
      </c>
      <c r="R2092" t="s">
        <v>2334</v>
      </c>
    </row>
    <row r="2093" spans="1:20">
      <c r="A2093">
        <v>2103</v>
      </c>
      <c r="B2093" t="s">
        <v>2336</v>
      </c>
      <c r="C2093" t="s">
        <v>21</v>
      </c>
      <c r="D2093" t="s">
        <v>22</v>
      </c>
      <c r="E2093" t="s">
        <v>244</v>
      </c>
      <c r="F2093">
        <v>84034</v>
      </c>
      <c r="G2093">
        <v>19</v>
      </c>
      <c r="H2093">
        <v>100000.46</v>
      </c>
      <c r="I2093" t="s">
        <v>24</v>
      </c>
      <c r="J2093" t="s">
        <v>25</v>
      </c>
      <c r="K2093">
        <v>0</v>
      </c>
      <c r="L2093">
        <v>0</v>
      </c>
      <c r="M2093" t="s">
        <v>25</v>
      </c>
      <c r="N2093" t="s">
        <v>25</v>
      </c>
      <c r="O2093" t="s">
        <v>26</v>
      </c>
      <c r="P2093" t="s">
        <v>25</v>
      </c>
      <c r="Q2093" t="s">
        <v>238</v>
      </c>
      <c r="R2093" t="s">
        <v>416</v>
      </c>
      <c r="S2093" t="s">
        <v>51</v>
      </c>
      <c r="T2093" t="s">
        <v>1816</v>
      </c>
    </row>
    <row r="2094" spans="1:20">
      <c r="A2094">
        <v>2104</v>
      </c>
      <c r="B2094" t="s">
        <v>2337</v>
      </c>
      <c r="C2094" t="s">
        <v>21</v>
      </c>
      <c r="D2094" t="s">
        <v>22</v>
      </c>
      <c r="E2094" t="s">
        <v>244</v>
      </c>
      <c r="F2094">
        <v>67227</v>
      </c>
      <c r="G2094">
        <v>19</v>
      </c>
      <c r="H2094">
        <v>80000.13</v>
      </c>
      <c r="I2094" t="s">
        <v>24</v>
      </c>
      <c r="J2094" t="s">
        <v>25</v>
      </c>
      <c r="K2094">
        <v>0</v>
      </c>
      <c r="L2094">
        <v>0</v>
      </c>
      <c r="M2094" t="s">
        <v>25</v>
      </c>
      <c r="N2094" t="s">
        <v>25</v>
      </c>
      <c r="O2094" t="s">
        <v>26</v>
      </c>
      <c r="P2094" t="s">
        <v>25</v>
      </c>
      <c r="Q2094" t="s">
        <v>238</v>
      </c>
      <c r="R2094" t="s">
        <v>416</v>
      </c>
      <c r="S2094" t="s">
        <v>51</v>
      </c>
      <c r="T2094" t="s">
        <v>1816</v>
      </c>
    </row>
    <row r="2095" spans="1:20">
      <c r="A2095">
        <v>2105</v>
      </c>
      <c r="B2095" t="s">
        <v>2338</v>
      </c>
      <c r="C2095" t="s">
        <v>21</v>
      </c>
      <c r="D2095" t="s">
        <v>22</v>
      </c>
      <c r="E2095" t="s">
        <v>244</v>
      </c>
      <c r="F2095">
        <v>92437</v>
      </c>
      <c r="G2095">
        <v>19</v>
      </c>
      <c r="H2095">
        <v>110000.03</v>
      </c>
      <c r="I2095" t="s">
        <v>24</v>
      </c>
      <c r="J2095" t="s">
        <v>25</v>
      </c>
      <c r="K2095">
        <v>0</v>
      </c>
      <c r="L2095">
        <v>0</v>
      </c>
      <c r="M2095" t="s">
        <v>25</v>
      </c>
      <c r="N2095" t="s">
        <v>25</v>
      </c>
      <c r="O2095" t="s">
        <v>26</v>
      </c>
      <c r="P2095" t="s">
        <v>25</v>
      </c>
      <c r="Q2095" t="s">
        <v>238</v>
      </c>
      <c r="R2095" t="s">
        <v>416</v>
      </c>
      <c r="S2095" t="s">
        <v>51</v>
      </c>
      <c r="T2095" t="s">
        <v>1816</v>
      </c>
    </row>
    <row r="2096" spans="1:20">
      <c r="A2096">
        <v>2106</v>
      </c>
      <c r="B2096" t="s">
        <v>2339</v>
      </c>
      <c r="C2096" t="s">
        <v>102</v>
      </c>
      <c r="D2096" t="s">
        <v>22</v>
      </c>
      <c r="E2096" t="s">
        <v>1990</v>
      </c>
      <c r="F2096">
        <v>0</v>
      </c>
      <c r="G2096">
        <v>19</v>
      </c>
      <c r="H2096">
        <v>0</v>
      </c>
      <c r="I2096" t="s">
        <v>532</v>
      </c>
      <c r="J2096" t="s">
        <v>25</v>
      </c>
      <c r="K2096">
        <v>0</v>
      </c>
      <c r="L2096">
        <v>0</v>
      </c>
      <c r="M2096" t="s">
        <v>25</v>
      </c>
      <c r="N2096" t="s">
        <v>25</v>
      </c>
      <c r="O2096" t="s">
        <v>26</v>
      </c>
      <c r="P2096" t="s">
        <v>25</v>
      </c>
      <c r="Q2096" t="s">
        <v>238</v>
      </c>
      <c r="R2096" t="s">
        <v>416</v>
      </c>
      <c r="S2096" t="s">
        <v>231</v>
      </c>
      <c r="T2096" t="s">
        <v>828</v>
      </c>
    </row>
    <row r="2097" spans="1:20">
      <c r="A2097">
        <v>2107</v>
      </c>
      <c r="B2097" t="s">
        <v>2340</v>
      </c>
      <c r="C2097" t="s">
        <v>102</v>
      </c>
      <c r="D2097" t="s">
        <v>22</v>
      </c>
      <c r="E2097" t="s">
        <v>244</v>
      </c>
      <c r="F2097">
        <v>0</v>
      </c>
      <c r="G2097">
        <v>0</v>
      </c>
      <c r="H2097">
        <v>0</v>
      </c>
      <c r="I2097" t="s">
        <v>24</v>
      </c>
      <c r="J2097" t="s">
        <v>25</v>
      </c>
      <c r="K2097">
        <v>0</v>
      </c>
      <c r="L2097">
        <v>0</v>
      </c>
      <c r="M2097" t="s">
        <v>25</v>
      </c>
      <c r="N2097" t="s">
        <v>25</v>
      </c>
      <c r="O2097" t="s">
        <v>26</v>
      </c>
      <c r="P2097" t="s">
        <v>25</v>
      </c>
      <c r="Q2097" t="s">
        <v>27</v>
      </c>
      <c r="R2097" t="s">
        <v>416</v>
      </c>
    </row>
    <row r="2098" spans="1:20">
      <c r="A2098">
        <v>2108</v>
      </c>
      <c r="B2098" t="s">
        <v>2341</v>
      </c>
      <c r="C2098" t="s">
        <v>102</v>
      </c>
      <c r="D2098" t="s">
        <v>22</v>
      </c>
      <c r="E2098" t="s">
        <v>244</v>
      </c>
      <c r="F2098">
        <v>0</v>
      </c>
      <c r="G2098">
        <v>0</v>
      </c>
      <c r="H2098">
        <v>0</v>
      </c>
      <c r="I2098" t="s">
        <v>24</v>
      </c>
      <c r="J2098" t="s">
        <v>25</v>
      </c>
      <c r="K2098">
        <v>0</v>
      </c>
      <c r="L2098">
        <v>0</v>
      </c>
      <c r="M2098" t="s">
        <v>25</v>
      </c>
      <c r="N2098" t="s">
        <v>25</v>
      </c>
      <c r="O2098" t="s">
        <v>26</v>
      </c>
      <c r="P2098" t="s">
        <v>25</v>
      </c>
      <c r="Q2098" t="s">
        <v>27</v>
      </c>
      <c r="R2098" t="s">
        <v>416</v>
      </c>
    </row>
    <row r="2099" spans="1:20">
      <c r="A2099">
        <v>2109</v>
      </c>
      <c r="B2099" t="s">
        <v>2342</v>
      </c>
      <c r="C2099" t="s">
        <v>21</v>
      </c>
      <c r="D2099" t="s">
        <v>851</v>
      </c>
      <c r="E2099" t="s">
        <v>23</v>
      </c>
      <c r="F2099">
        <v>0</v>
      </c>
      <c r="G2099">
        <v>19</v>
      </c>
      <c r="H2099">
        <v>0</v>
      </c>
      <c r="I2099" t="s">
        <v>24</v>
      </c>
      <c r="J2099" t="s">
        <v>25</v>
      </c>
      <c r="K2099">
        <v>0</v>
      </c>
      <c r="L2099">
        <v>0</v>
      </c>
      <c r="M2099" t="s">
        <v>25</v>
      </c>
      <c r="N2099" t="s">
        <v>25</v>
      </c>
      <c r="O2099" t="s">
        <v>26</v>
      </c>
      <c r="P2099" t="s">
        <v>25</v>
      </c>
      <c r="Q2099" t="s">
        <v>51</v>
      </c>
      <c r="R2099" t="s">
        <v>1762</v>
      </c>
      <c r="S2099" t="s">
        <v>51</v>
      </c>
      <c r="T2099" t="s">
        <v>1762</v>
      </c>
    </row>
    <row r="2100" spans="1:20">
      <c r="A2100">
        <v>2110</v>
      </c>
      <c r="B2100" t="s">
        <v>2343</v>
      </c>
      <c r="C2100" t="s">
        <v>21</v>
      </c>
      <c r="D2100" t="s">
        <v>851</v>
      </c>
      <c r="E2100" t="s">
        <v>23</v>
      </c>
      <c r="F2100">
        <v>0</v>
      </c>
      <c r="G2100">
        <v>19</v>
      </c>
      <c r="H2100">
        <v>0</v>
      </c>
      <c r="I2100" t="s">
        <v>24</v>
      </c>
      <c r="J2100" t="s">
        <v>25</v>
      </c>
      <c r="K2100">
        <v>0</v>
      </c>
      <c r="L2100">
        <v>0</v>
      </c>
      <c r="M2100" t="s">
        <v>25</v>
      </c>
      <c r="N2100" t="s">
        <v>25</v>
      </c>
      <c r="O2100" t="s">
        <v>26</v>
      </c>
      <c r="P2100" t="s">
        <v>25</v>
      </c>
      <c r="Q2100" t="s">
        <v>51</v>
      </c>
      <c r="R2100" t="s">
        <v>1762</v>
      </c>
    </row>
    <row r="2101" spans="1:20">
      <c r="A2101">
        <v>2111</v>
      </c>
      <c r="B2101" t="s">
        <v>2344</v>
      </c>
      <c r="C2101" t="s">
        <v>21</v>
      </c>
      <c r="D2101" t="s">
        <v>851</v>
      </c>
      <c r="E2101" t="s">
        <v>23</v>
      </c>
      <c r="F2101">
        <v>0</v>
      </c>
      <c r="G2101">
        <v>19</v>
      </c>
      <c r="H2101">
        <v>0</v>
      </c>
      <c r="I2101" t="s">
        <v>24</v>
      </c>
      <c r="J2101" t="s">
        <v>25</v>
      </c>
      <c r="K2101">
        <v>0</v>
      </c>
      <c r="L2101">
        <v>0</v>
      </c>
      <c r="M2101" t="s">
        <v>25</v>
      </c>
      <c r="N2101" t="s">
        <v>25</v>
      </c>
      <c r="O2101" t="s">
        <v>26</v>
      </c>
      <c r="P2101" t="s">
        <v>25</v>
      </c>
      <c r="Q2101" t="s">
        <v>51</v>
      </c>
      <c r="R2101" t="s">
        <v>1762</v>
      </c>
    </row>
    <row r="2102" spans="1:20">
      <c r="A2102">
        <v>2112</v>
      </c>
      <c r="B2102" t="s">
        <v>2345</v>
      </c>
      <c r="C2102" t="s">
        <v>21</v>
      </c>
      <c r="D2102" t="s">
        <v>22</v>
      </c>
      <c r="E2102" t="s">
        <v>23</v>
      </c>
      <c r="F2102">
        <v>0</v>
      </c>
      <c r="G2102">
        <v>19</v>
      </c>
      <c r="H2102">
        <v>0</v>
      </c>
      <c r="I2102" t="s">
        <v>24</v>
      </c>
      <c r="J2102" t="s">
        <v>25</v>
      </c>
      <c r="K2102">
        <v>0</v>
      </c>
      <c r="L2102">
        <v>0</v>
      </c>
      <c r="M2102" t="s">
        <v>25</v>
      </c>
      <c r="N2102" t="s">
        <v>25</v>
      </c>
      <c r="O2102" t="s">
        <v>26</v>
      </c>
      <c r="P2102" t="s">
        <v>25</v>
      </c>
      <c r="Q2102" t="s">
        <v>51</v>
      </c>
      <c r="R2102" t="s">
        <v>1762</v>
      </c>
    </row>
    <row r="2103" spans="1:20">
      <c r="A2103">
        <v>2113</v>
      </c>
      <c r="B2103" t="s">
        <v>2346</v>
      </c>
      <c r="C2103" t="s">
        <v>21</v>
      </c>
      <c r="D2103" t="s">
        <v>22</v>
      </c>
      <c r="E2103" t="s">
        <v>23</v>
      </c>
      <c r="F2103">
        <v>0</v>
      </c>
      <c r="G2103">
        <v>19</v>
      </c>
      <c r="H2103">
        <v>0</v>
      </c>
      <c r="I2103" t="s">
        <v>24</v>
      </c>
      <c r="J2103" t="s">
        <v>25</v>
      </c>
      <c r="K2103">
        <v>0</v>
      </c>
      <c r="L2103">
        <v>0</v>
      </c>
      <c r="M2103" t="s">
        <v>25</v>
      </c>
      <c r="N2103" t="s">
        <v>25</v>
      </c>
      <c r="O2103" t="s">
        <v>26</v>
      </c>
      <c r="P2103" t="s">
        <v>25</v>
      </c>
      <c r="Q2103" t="s">
        <v>51</v>
      </c>
      <c r="R2103" t="s">
        <v>1762</v>
      </c>
    </row>
    <row r="2104" spans="1:20">
      <c r="A2104">
        <v>2114</v>
      </c>
      <c r="B2104" t="s">
        <v>2347</v>
      </c>
      <c r="C2104" t="s">
        <v>21</v>
      </c>
      <c r="D2104" t="s">
        <v>22</v>
      </c>
      <c r="E2104" t="s">
        <v>23</v>
      </c>
      <c r="F2104">
        <v>0</v>
      </c>
      <c r="G2104">
        <v>19</v>
      </c>
      <c r="H2104">
        <v>0</v>
      </c>
      <c r="I2104" t="s">
        <v>24</v>
      </c>
      <c r="J2104" t="s">
        <v>25</v>
      </c>
      <c r="K2104">
        <v>0</v>
      </c>
      <c r="L2104">
        <v>0</v>
      </c>
      <c r="M2104" t="s">
        <v>25</v>
      </c>
      <c r="N2104" t="s">
        <v>25</v>
      </c>
      <c r="O2104" t="s">
        <v>26</v>
      </c>
      <c r="P2104" t="s">
        <v>25</v>
      </c>
      <c r="Q2104" t="s">
        <v>51</v>
      </c>
      <c r="R2104" t="s">
        <v>1762</v>
      </c>
    </row>
    <row r="2105" spans="1:20">
      <c r="A2105">
        <v>2115</v>
      </c>
      <c r="B2105" t="s">
        <v>2348</v>
      </c>
      <c r="C2105" t="s">
        <v>21</v>
      </c>
      <c r="D2105" t="s">
        <v>22</v>
      </c>
      <c r="E2105" t="s">
        <v>23</v>
      </c>
      <c r="F2105">
        <v>0</v>
      </c>
      <c r="G2105">
        <v>19</v>
      </c>
      <c r="H2105">
        <v>0</v>
      </c>
      <c r="I2105" t="s">
        <v>24</v>
      </c>
      <c r="J2105" t="s">
        <v>25</v>
      </c>
      <c r="K2105">
        <v>0</v>
      </c>
      <c r="L2105">
        <v>0</v>
      </c>
      <c r="M2105" t="s">
        <v>25</v>
      </c>
      <c r="N2105" t="s">
        <v>25</v>
      </c>
      <c r="O2105" t="s">
        <v>26</v>
      </c>
      <c r="P2105" t="s">
        <v>25</v>
      </c>
      <c r="Q2105" t="s">
        <v>51</v>
      </c>
      <c r="R2105" t="s">
        <v>1762</v>
      </c>
    </row>
    <row r="2106" spans="1:20">
      <c r="A2106">
        <v>2116</v>
      </c>
      <c r="B2106" t="s">
        <v>2349</v>
      </c>
      <c r="C2106" t="s">
        <v>21</v>
      </c>
      <c r="D2106" t="s">
        <v>22</v>
      </c>
      <c r="E2106" t="s">
        <v>23</v>
      </c>
      <c r="F2106">
        <v>0</v>
      </c>
      <c r="G2106">
        <v>19</v>
      </c>
      <c r="H2106">
        <v>0</v>
      </c>
      <c r="I2106" t="s">
        <v>24</v>
      </c>
      <c r="J2106" t="s">
        <v>25</v>
      </c>
      <c r="K2106">
        <v>0</v>
      </c>
      <c r="L2106">
        <v>0</v>
      </c>
      <c r="M2106" t="s">
        <v>25</v>
      </c>
      <c r="N2106" t="s">
        <v>25</v>
      </c>
      <c r="O2106" t="s">
        <v>26</v>
      </c>
      <c r="P2106" t="s">
        <v>25</v>
      </c>
      <c r="Q2106" t="s">
        <v>51</v>
      </c>
      <c r="R2106" t="s">
        <v>1762</v>
      </c>
    </row>
    <row r="2107" spans="1:20">
      <c r="A2107">
        <v>2117</v>
      </c>
      <c r="B2107" t="s">
        <v>2350</v>
      </c>
      <c r="C2107" t="s">
        <v>21</v>
      </c>
      <c r="D2107" t="s">
        <v>22</v>
      </c>
      <c r="E2107" t="s">
        <v>23</v>
      </c>
      <c r="F2107">
        <v>0</v>
      </c>
      <c r="G2107">
        <v>19</v>
      </c>
      <c r="H2107">
        <v>0</v>
      </c>
      <c r="I2107" t="s">
        <v>24</v>
      </c>
      <c r="J2107" t="s">
        <v>25</v>
      </c>
      <c r="K2107">
        <v>0</v>
      </c>
      <c r="L2107">
        <v>0</v>
      </c>
      <c r="M2107" t="s">
        <v>25</v>
      </c>
      <c r="N2107" t="s">
        <v>25</v>
      </c>
      <c r="O2107" t="s">
        <v>26</v>
      </c>
      <c r="P2107" t="s">
        <v>25</v>
      </c>
      <c r="Q2107" t="s">
        <v>51</v>
      </c>
      <c r="R2107" t="s">
        <v>1762</v>
      </c>
    </row>
    <row r="2108" spans="1:20">
      <c r="A2108">
        <v>2118</v>
      </c>
      <c r="B2108" t="s">
        <v>2351</v>
      </c>
      <c r="C2108" t="s">
        <v>21</v>
      </c>
      <c r="D2108" t="s">
        <v>22</v>
      </c>
      <c r="E2108" t="s">
        <v>23</v>
      </c>
      <c r="F2108">
        <v>0</v>
      </c>
      <c r="G2108">
        <v>19</v>
      </c>
      <c r="H2108">
        <v>0</v>
      </c>
      <c r="I2108" t="s">
        <v>24</v>
      </c>
      <c r="J2108" t="s">
        <v>25</v>
      </c>
      <c r="K2108">
        <v>0</v>
      </c>
      <c r="L2108">
        <v>0</v>
      </c>
      <c r="M2108" t="s">
        <v>25</v>
      </c>
      <c r="N2108" t="s">
        <v>25</v>
      </c>
      <c r="O2108" t="s">
        <v>26</v>
      </c>
      <c r="P2108" t="s">
        <v>25</v>
      </c>
      <c r="Q2108" t="s">
        <v>51</v>
      </c>
      <c r="R2108" t="s">
        <v>1762</v>
      </c>
    </row>
    <row r="2109" spans="1:20">
      <c r="A2109">
        <v>2119</v>
      </c>
      <c r="B2109" t="s">
        <v>2352</v>
      </c>
      <c r="C2109" t="s">
        <v>21</v>
      </c>
      <c r="D2109" t="s">
        <v>22</v>
      </c>
      <c r="E2109" t="s">
        <v>23</v>
      </c>
      <c r="F2109">
        <v>0</v>
      </c>
      <c r="G2109">
        <v>19</v>
      </c>
      <c r="H2109">
        <v>0</v>
      </c>
      <c r="I2109" t="s">
        <v>24</v>
      </c>
      <c r="J2109" t="s">
        <v>25</v>
      </c>
      <c r="K2109">
        <v>0</v>
      </c>
      <c r="L2109">
        <v>0</v>
      </c>
      <c r="M2109" t="s">
        <v>25</v>
      </c>
      <c r="N2109" t="s">
        <v>25</v>
      </c>
      <c r="O2109" t="s">
        <v>26</v>
      </c>
      <c r="P2109" t="s">
        <v>25</v>
      </c>
      <c r="Q2109" t="s">
        <v>51</v>
      </c>
      <c r="R2109" t="s">
        <v>1762</v>
      </c>
      <c r="S2109" t="s">
        <v>51</v>
      </c>
      <c r="T2109" t="s">
        <v>1762</v>
      </c>
    </row>
    <row r="2110" spans="1:20">
      <c r="A2110">
        <v>2120</v>
      </c>
      <c r="B2110" t="s">
        <v>2353</v>
      </c>
      <c r="C2110" t="s">
        <v>21</v>
      </c>
      <c r="D2110" t="s">
        <v>22</v>
      </c>
      <c r="E2110" t="s">
        <v>1951</v>
      </c>
      <c r="F2110">
        <v>151000</v>
      </c>
      <c r="G2110">
        <v>19</v>
      </c>
      <c r="H2110">
        <v>179690</v>
      </c>
      <c r="I2110" t="s">
        <v>24</v>
      </c>
      <c r="J2110" t="s">
        <v>25</v>
      </c>
      <c r="K2110">
        <v>0</v>
      </c>
      <c r="L2110">
        <v>0</v>
      </c>
      <c r="M2110" t="s">
        <v>25</v>
      </c>
      <c r="N2110" t="s">
        <v>25</v>
      </c>
      <c r="O2110" t="s">
        <v>26</v>
      </c>
      <c r="P2110" t="s">
        <v>25</v>
      </c>
      <c r="Q2110" t="s">
        <v>238</v>
      </c>
      <c r="R2110" t="s">
        <v>2312</v>
      </c>
      <c r="S2110" t="s">
        <v>51</v>
      </c>
      <c r="T2110" t="s">
        <v>376</v>
      </c>
    </row>
    <row r="2111" spans="1:20">
      <c r="A2111">
        <v>2121</v>
      </c>
      <c r="B2111" t="s">
        <v>2354</v>
      </c>
      <c r="C2111" t="s">
        <v>21</v>
      </c>
      <c r="D2111" t="s">
        <v>22</v>
      </c>
      <c r="E2111" t="s">
        <v>23</v>
      </c>
      <c r="F2111">
        <v>0</v>
      </c>
      <c r="G2111">
        <v>19</v>
      </c>
      <c r="H2111">
        <v>0</v>
      </c>
      <c r="I2111" t="s">
        <v>24</v>
      </c>
      <c r="J2111" t="s">
        <v>25</v>
      </c>
      <c r="K2111">
        <v>0</v>
      </c>
      <c r="L2111">
        <v>0</v>
      </c>
      <c r="M2111" t="s">
        <v>25</v>
      </c>
      <c r="N2111" t="s">
        <v>25</v>
      </c>
      <c r="O2111" t="s">
        <v>26</v>
      </c>
      <c r="P2111" t="s">
        <v>25</v>
      </c>
      <c r="Q2111" t="s">
        <v>238</v>
      </c>
      <c r="R2111" t="s">
        <v>2312</v>
      </c>
    </row>
    <row r="2112" spans="1:20">
      <c r="A2112">
        <v>2122</v>
      </c>
      <c r="B2112" t="s">
        <v>2355</v>
      </c>
      <c r="C2112" t="s">
        <v>36</v>
      </c>
      <c r="D2112" t="s">
        <v>22</v>
      </c>
      <c r="E2112" t="s">
        <v>23</v>
      </c>
      <c r="F2112">
        <v>0</v>
      </c>
      <c r="G2112">
        <v>19</v>
      </c>
      <c r="H2112">
        <v>0</v>
      </c>
      <c r="I2112" t="s">
        <v>24</v>
      </c>
      <c r="J2112" t="s">
        <v>25</v>
      </c>
      <c r="K2112">
        <v>0</v>
      </c>
      <c r="L2112">
        <v>0</v>
      </c>
      <c r="M2112" t="s">
        <v>25</v>
      </c>
      <c r="N2112" t="s">
        <v>25</v>
      </c>
      <c r="O2112" t="s">
        <v>26</v>
      </c>
      <c r="P2112" t="s">
        <v>25</v>
      </c>
      <c r="Q2112" t="s">
        <v>238</v>
      </c>
      <c r="R2112" t="s">
        <v>2312</v>
      </c>
      <c r="S2112" t="s">
        <v>238</v>
      </c>
      <c r="T2112" t="s">
        <v>2312</v>
      </c>
    </row>
    <row r="2113" spans="1:20">
      <c r="A2113">
        <v>2123</v>
      </c>
      <c r="B2113" t="s">
        <v>2356</v>
      </c>
      <c r="C2113" t="s">
        <v>21</v>
      </c>
      <c r="D2113" t="s">
        <v>22</v>
      </c>
      <c r="E2113" t="s">
        <v>23</v>
      </c>
      <c r="F2113">
        <v>0</v>
      </c>
      <c r="G2113">
        <v>19</v>
      </c>
      <c r="H2113">
        <v>0</v>
      </c>
      <c r="I2113" t="s">
        <v>24</v>
      </c>
      <c r="J2113" t="s">
        <v>25</v>
      </c>
      <c r="K2113">
        <v>0</v>
      </c>
      <c r="L2113">
        <v>0</v>
      </c>
      <c r="M2113" t="s">
        <v>25</v>
      </c>
      <c r="N2113" t="s">
        <v>25</v>
      </c>
      <c r="O2113" t="s">
        <v>26</v>
      </c>
      <c r="P2113" t="s">
        <v>25</v>
      </c>
      <c r="Q2113" t="s">
        <v>238</v>
      </c>
      <c r="R2113" t="s">
        <v>2312</v>
      </c>
    </row>
    <row r="2114" spans="1:20">
      <c r="A2114">
        <v>2124</v>
      </c>
      <c r="B2114" t="s">
        <v>2357</v>
      </c>
      <c r="C2114" t="s">
        <v>36</v>
      </c>
      <c r="D2114" t="s">
        <v>1131</v>
      </c>
      <c r="E2114" t="s">
        <v>23</v>
      </c>
      <c r="F2114">
        <v>0</v>
      </c>
      <c r="G2114">
        <v>19</v>
      </c>
      <c r="H2114">
        <v>0</v>
      </c>
      <c r="I2114" t="s">
        <v>24</v>
      </c>
      <c r="J2114" t="s">
        <v>25</v>
      </c>
      <c r="K2114">
        <v>0</v>
      </c>
      <c r="L2114">
        <v>0</v>
      </c>
      <c r="M2114" t="s">
        <v>25</v>
      </c>
      <c r="N2114" t="s">
        <v>25</v>
      </c>
      <c r="O2114" t="s">
        <v>26</v>
      </c>
      <c r="P2114" t="s">
        <v>25</v>
      </c>
      <c r="Q2114" t="s">
        <v>238</v>
      </c>
      <c r="R2114" t="s">
        <v>2312</v>
      </c>
      <c r="S2114" t="s">
        <v>238</v>
      </c>
      <c r="T2114" t="s">
        <v>2312</v>
      </c>
    </row>
    <row r="2115" spans="1:20">
      <c r="A2115">
        <v>2125</v>
      </c>
      <c r="B2115" t="s">
        <v>2358</v>
      </c>
      <c r="C2115" t="s">
        <v>21</v>
      </c>
      <c r="D2115" t="s">
        <v>22</v>
      </c>
      <c r="E2115" t="s">
        <v>23</v>
      </c>
      <c r="F2115">
        <v>0</v>
      </c>
      <c r="G2115">
        <v>19</v>
      </c>
      <c r="H2115">
        <v>0</v>
      </c>
      <c r="I2115" t="s">
        <v>24</v>
      </c>
      <c r="J2115" t="s">
        <v>25</v>
      </c>
      <c r="K2115">
        <v>0</v>
      </c>
      <c r="L2115">
        <v>0</v>
      </c>
      <c r="M2115" t="s">
        <v>25</v>
      </c>
      <c r="N2115" t="s">
        <v>25</v>
      </c>
      <c r="O2115" t="s">
        <v>26</v>
      </c>
      <c r="P2115" t="s">
        <v>25</v>
      </c>
      <c r="Q2115" t="s">
        <v>238</v>
      </c>
      <c r="R2115" t="s">
        <v>2312</v>
      </c>
    </row>
    <row r="2116" spans="1:20">
      <c r="A2116">
        <v>2126</v>
      </c>
      <c r="B2116" t="s">
        <v>2359</v>
      </c>
      <c r="C2116" t="s">
        <v>36</v>
      </c>
      <c r="D2116" t="s">
        <v>1131</v>
      </c>
      <c r="E2116" t="s">
        <v>23</v>
      </c>
      <c r="F2116">
        <v>0</v>
      </c>
      <c r="G2116">
        <v>19</v>
      </c>
      <c r="H2116">
        <v>0</v>
      </c>
      <c r="I2116" t="s">
        <v>24</v>
      </c>
      <c r="J2116" t="s">
        <v>25</v>
      </c>
      <c r="K2116">
        <v>0</v>
      </c>
      <c r="L2116">
        <v>0</v>
      </c>
      <c r="M2116" t="s">
        <v>25</v>
      </c>
      <c r="N2116" t="s">
        <v>25</v>
      </c>
      <c r="O2116" t="s">
        <v>26</v>
      </c>
      <c r="P2116" t="s">
        <v>25</v>
      </c>
      <c r="Q2116" t="s">
        <v>238</v>
      </c>
      <c r="R2116" t="s">
        <v>2312</v>
      </c>
      <c r="S2116" t="s">
        <v>238</v>
      </c>
      <c r="T2116" t="s">
        <v>2312</v>
      </c>
    </row>
    <row r="2117" spans="1:20">
      <c r="A2117">
        <v>2127</v>
      </c>
      <c r="B2117" t="s">
        <v>2360</v>
      </c>
      <c r="C2117" t="s">
        <v>36</v>
      </c>
      <c r="D2117" t="s">
        <v>1131</v>
      </c>
      <c r="E2117" t="s">
        <v>23</v>
      </c>
      <c r="F2117">
        <v>0</v>
      </c>
      <c r="G2117">
        <v>19</v>
      </c>
      <c r="H2117">
        <v>0</v>
      </c>
      <c r="I2117" t="s">
        <v>24</v>
      </c>
      <c r="J2117" t="s">
        <v>25</v>
      </c>
      <c r="K2117">
        <v>0</v>
      </c>
      <c r="L2117">
        <v>0</v>
      </c>
      <c r="M2117" t="s">
        <v>25</v>
      </c>
      <c r="N2117" t="s">
        <v>25</v>
      </c>
      <c r="O2117" t="s">
        <v>26</v>
      </c>
      <c r="P2117" t="s">
        <v>25</v>
      </c>
      <c r="Q2117" t="s">
        <v>238</v>
      </c>
      <c r="R2117" t="s">
        <v>2312</v>
      </c>
      <c r="S2117" t="s">
        <v>238</v>
      </c>
      <c r="T2117" t="s">
        <v>2312</v>
      </c>
    </row>
    <row r="2118" spans="1:20">
      <c r="A2118">
        <v>2128</v>
      </c>
      <c r="B2118" t="s">
        <v>2361</v>
      </c>
      <c r="C2118" t="s">
        <v>21</v>
      </c>
      <c r="D2118" t="s">
        <v>22</v>
      </c>
      <c r="E2118" t="s">
        <v>23</v>
      </c>
      <c r="F2118">
        <v>0</v>
      </c>
      <c r="G2118">
        <v>19</v>
      </c>
      <c r="H2118">
        <v>0</v>
      </c>
      <c r="I2118" t="s">
        <v>24</v>
      </c>
      <c r="J2118" t="s">
        <v>25</v>
      </c>
      <c r="K2118">
        <v>0</v>
      </c>
      <c r="L2118">
        <v>0</v>
      </c>
      <c r="M2118" t="s">
        <v>25</v>
      </c>
      <c r="N2118" t="s">
        <v>25</v>
      </c>
      <c r="O2118" t="s">
        <v>26</v>
      </c>
      <c r="P2118" t="s">
        <v>25</v>
      </c>
      <c r="Q2118" t="s">
        <v>238</v>
      </c>
      <c r="R2118" t="s">
        <v>2312</v>
      </c>
    </row>
    <row r="2119" spans="1:20">
      <c r="A2119">
        <v>2129</v>
      </c>
      <c r="B2119" t="s">
        <v>2362</v>
      </c>
      <c r="C2119" t="s">
        <v>21</v>
      </c>
      <c r="D2119" t="s">
        <v>22</v>
      </c>
      <c r="E2119" t="s">
        <v>23</v>
      </c>
      <c r="F2119">
        <v>0</v>
      </c>
      <c r="G2119">
        <v>19</v>
      </c>
      <c r="H2119">
        <v>0</v>
      </c>
      <c r="I2119" t="s">
        <v>24</v>
      </c>
      <c r="J2119" t="s">
        <v>25</v>
      </c>
      <c r="K2119">
        <v>0</v>
      </c>
      <c r="L2119">
        <v>0</v>
      </c>
      <c r="M2119" t="s">
        <v>25</v>
      </c>
      <c r="N2119" t="s">
        <v>25</v>
      </c>
      <c r="O2119" t="s">
        <v>26</v>
      </c>
      <c r="P2119" t="s">
        <v>25</v>
      </c>
      <c r="Q2119" t="s">
        <v>238</v>
      </c>
      <c r="R2119" t="s">
        <v>2312</v>
      </c>
    </row>
    <row r="2120" spans="1:20">
      <c r="A2120">
        <v>2130</v>
      </c>
      <c r="B2120" t="s">
        <v>2363</v>
      </c>
      <c r="C2120" t="s">
        <v>36</v>
      </c>
      <c r="D2120" t="s">
        <v>1131</v>
      </c>
      <c r="E2120" t="s">
        <v>23</v>
      </c>
      <c r="F2120">
        <v>0</v>
      </c>
      <c r="G2120">
        <v>19</v>
      </c>
      <c r="H2120">
        <v>0</v>
      </c>
      <c r="I2120" t="s">
        <v>24</v>
      </c>
      <c r="J2120" t="s">
        <v>25</v>
      </c>
      <c r="K2120">
        <v>0</v>
      </c>
      <c r="L2120">
        <v>0</v>
      </c>
      <c r="M2120" t="s">
        <v>25</v>
      </c>
      <c r="N2120" t="s">
        <v>25</v>
      </c>
      <c r="O2120" t="s">
        <v>26</v>
      </c>
      <c r="P2120" t="s">
        <v>25</v>
      </c>
      <c r="Q2120" t="s">
        <v>238</v>
      </c>
      <c r="R2120" t="s">
        <v>2312</v>
      </c>
      <c r="S2120" t="s">
        <v>238</v>
      </c>
      <c r="T2120" t="s">
        <v>2312</v>
      </c>
    </row>
    <row r="2121" spans="1:20">
      <c r="A2121">
        <v>2131</v>
      </c>
      <c r="B2121" t="s">
        <v>2364</v>
      </c>
      <c r="C2121" t="s">
        <v>21</v>
      </c>
      <c r="D2121" t="s">
        <v>22</v>
      </c>
      <c r="E2121" t="s">
        <v>23</v>
      </c>
      <c r="F2121">
        <v>0</v>
      </c>
      <c r="G2121">
        <v>19</v>
      </c>
      <c r="H2121">
        <v>0</v>
      </c>
      <c r="I2121" t="s">
        <v>24</v>
      </c>
      <c r="J2121" t="s">
        <v>25</v>
      </c>
      <c r="K2121">
        <v>0</v>
      </c>
      <c r="L2121">
        <v>0</v>
      </c>
      <c r="M2121" t="s">
        <v>25</v>
      </c>
      <c r="N2121" t="s">
        <v>25</v>
      </c>
      <c r="O2121" t="s">
        <v>26</v>
      </c>
      <c r="P2121" t="s">
        <v>25</v>
      </c>
      <c r="Q2121" t="s">
        <v>238</v>
      </c>
      <c r="R2121" t="s">
        <v>2312</v>
      </c>
    </row>
    <row r="2122" spans="1:20">
      <c r="A2122">
        <v>2132</v>
      </c>
      <c r="B2122" t="s">
        <v>2365</v>
      </c>
      <c r="C2122" t="s">
        <v>21</v>
      </c>
      <c r="D2122" t="s">
        <v>22</v>
      </c>
      <c r="E2122" t="s">
        <v>23</v>
      </c>
      <c r="F2122">
        <v>0</v>
      </c>
      <c r="G2122">
        <v>19</v>
      </c>
      <c r="H2122">
        <v>0</v>
      </c>
      <c r="I2122" t="s">
        <v>24</v>
      </c>
      <c r="J2122" t="s">
        <v>25</v>
      </c>
      <c r="K2122">
        <v>0</v>
      </c>
      <c r="L2122">
        <v>0</v>
      </c>
      <c r="M2122" t="s">
        <v>25</v>
      </c>
      <c r="N2122" t="s">
        <v>25</v>
      </c>
      <c r="O2122" t="s">
        <v>26</v>
      </c>
      <c r="P2122" t="s">
        <v>25</v>
      </c>
      <c r="Q2122" t="s">
        <v>238</v>
      </c>
      <c r="R2122" t="s">
        <v>2312</v>
      </c>
    </row>
    <row r="2123" spans="1:20">
      <c r="A2123">
        <v>2133</v>
      </c>
      <c r="B2123" t="s">
        <v>2366</v>
      </c>
      <c r="C2123" t="s">
        <v>21</v>
      </c>
      <c r="D2123" t="s">
        <v>22</v>
      </c>
      <c r="E2123" t="s">
        <v>23</v>
      </c>
      <c r="F2123">
        <v>0</v>
      </c>
      <c r="G2123">
        <v>19</v>
      </c>
      <c r="H2123">
        <v>0</v>
      </c>
      <c r="I2123" t="s">
        <v>24</v>
      </c>
      <c r="J2123" t="s">
        <v>25</v>
      </c>
      <c r="K2123">
        <v>0</v>
      </c>
      <c r="L2123">
        <v>0</v>
      </c>
      <c r="M2123" t="s">
        <v>25</v>
      </c>
      <c r="N2123" t="s">
        <v>25</v>
      </c>
      <c r="O2123" t="s">
        <v>26</v>
      </c>
      <c r="P2123" t="s">
        <v>25</v>
      </c>
      <c r="Q2123" t="s">
        <v>238</v>
      </c>
      <c r="R2123" t="s">
        <v>2312</v>
      </c>
    </row>
    <row r="2124" spans="1:20">
      <c r="A2124">
        <v>2134</v>
      </c>
      <c r="B2124" t="s">
        <v>2367</v>
      </c>
      <c r="C2124" t="s">
        <v>21</v>
      </c>
      <c r="D2124" t="s">
        <v>22</v>
      </c>
      <c r="E2124" t="s">
        <v>23</v>
      </c>
      <c r="F2124">
        <v>0</v>
      </c>
      <c r="G2124">
        <v>19</v>
      </c>
      <c r="H2124">
        <v>0</v>
      </c>
      <c r="I2124" t="s">
        <v>24</v>
      </c>
      <c r="J2124" t="s">
        <v>25</v>
      </c>
      <c r="K2124">
        <v>0</v>
      </c>
      <c r="L2124">
        <v>0</v>
      </c>
      <c r="M2124" t="s">
        <v>25</v>
      </c>
      <c r="N2124" t="s">
        <v>25</v>
      </c>
      <c r="O2124" t="s">
        <v>26</v>
      </c>
      <c r="P2124" t="s">
        <v>25</v>
      </c>
      <c r="Q2124" t="s">
        <v>238</v>
      </c>
      <c r="R2124" t="s">
        <v>2312</v>
      </c>
    </row>
    <row r="2125" spans="1:20">
      <c r="A2125">
        <v>2135</v>
      </c>
      <c r="B2125" t="s">
        <v>2368</v>
      </c>
      <c r="C2125" t="s">
        <v>21</v>
      </c>
      <c r="D2125" t="s">
        <v>22</v>
      </c>
      <c r="E2125" t="s">
        <v>23</v>
      </c>
      <c r="F2125">
        <v>0</v>
      </c>
      <c r="G2125">
        <v>19</v>
      </c>
      <c r="H2125">
        <v>0</v>
      </c>
      <c r="I2125" t="s">
        <v>24</v>
      </c>
      <c r="J2125" t="s">
        <v>25</v>
      </c>
      <c r="K2125">
        <v>0</v>
      </c>
      <c r="L2125">
        <v>0</v>
      </c>
      <c r="M2125" t="s">
        <v>25</v>
      </c>
      <c r="N2125" t="s">
        <v>25</v>
      </c>
      <c r="O2125" t="s">
        <v>26</v>
      </c>
      <c r="P2125" t="s">
        <v>25</v>
      </c>
      <c r="Q2125" t="s">
        <v>238</v>
      </c>
      <c r="R2125" t="s">
        <v>2312</v>
      </c>
    </row>
    <row r="2126" spans="1:20">
      <c r="A2126">
        <v>2136</v>
      </c>
      <c r="B2126" t="s">
        <v>2369</v>
      </c>
      <c r="C2126" t="s">
        <v>21</v>
      </c>
      <c r="D2126" t="s">
        <v>22</v>
      </c>
      <c r="E2126" t="s">
        <v>23</v>
      </c>
      <c r="F2126">
        <v>0</v>
      </c>
      <c r="G2126">
        <v>19</v>
      </c>
      <c r="H2126">
        <v>0</v>
      </c>
      <c r="I2126" t="s">
        <v>532</v>
      </c>
      <c r="J2126" t="s">
        <v>25</v>
      </c>
      <c r="K2126">
        <v>0</v>
      </c>
      <c r="L2126">
        <v>0</v>
      </c>
      <c r="M2126" t="s">
        <v>25</v>
      </c>
      <c r="N2126" t="s">
        <v>25</v>
      </c>
      <c r="O2126" t="s">
        <v>26</v>
      </c>
      <c r="P2126" t="s">
        <v>25</v>
      </c>
      <c r="Q2126" t="s">
        <v>238</v>
      </c>
      <c r="R2126" t="s">
        <v>2312</v>
      </c>
      <c r="S2126" t="s">
        <v>51</v>
      </c>
      <c r="T2126" t="s">
        <v>411</v>
      </c>
    </row>
    <row r="2127" spans="1:20">
      <c r="A2127">
        <v>2137</v>
      </c>
      <c r="B2127" t="s">
        <v>2370</v>
      </c>
      <c r="C2127" t="s">
        <v>102</v>
      </c>
      <c r="D2127" t="s">
        <v>1131</v>
      </c>
      <c r="E2127" t="s">
        <v>23</v>
      </c>
      <c r="F2127">
        <v>0</v>
      </c>
      <c r="G2127">
        <v>19</v>
      </c>
      <c r="H2127">
        <v>0</v>
      </c>
      <c r="I2127" t="s">
        <v>24</v>
      </c>
      <c r="J2127" t="s">
        <v>25</v>
      </c>
      <c r="K2127">
        <v>0</v>
      </c>
      <c r="L2127">
        <v>0</v>
      </c>
      <c r="M2127" t="s">
        <v>25</v>
      </c>
      <c r="N2127" t="s">
        <v>25</v>
      </c>
      <c r="O2127" t="s">
        <v>26</v>
      </c>
      <c r="P2127" t="s">
        <v>25</v>
      </c>
      <c r="Q2127" t="s">
        <v>238</v>
      </c>
      <c r="R2127" t="s">
        <v>2312</v>
      </c>
    </row>
    <row r="2128" spans="1:20">
      <c r="A2128">
        <v>2138</v>
      </c>
      <c r="B2128" t="s">
        <v>2371</v>
      </c>
      <c r="C2128" t="s">
        <v>21</v>
      </c>
      <c r="D2128" t="s">
        <v>22</v>
      </c>
      <c r="E2128" t="s">
        <v>23</v>
      </c>
      <c r="F2128">
        <v>175000</v>
      </c>
      <c r="G2128">
        <v>19</v>
      </c>
      <c r="H2128">
        <v>208250</v>
      </c>
      <c r="I2128" t="s">
        <v>24</v>
      </c>
      <c r="J2128" t="s">
        <v>25</v>
      </c>
      <c r="K2128">
        <v>0</v>
      </c>
      <c r="L2128">
        <v>0</v>
      </c>
      <c r="M2128" t="s">
        <v>25</v>
      </c>
      <c r="N2128" t="s">
        <v>25</v>
      </c>
      <c r="O2128" t="s">
        <v>26</v>
      </c>
      <c r="P2128" t="s">
        <v>25</v>
      </c>
      <c r="Q2128" t="s">
        <v>238</v>
      </c>
      <c r="R2128" t="s">
        <v>2312</v>
      </c>
      <c r="S2128" t="s">
        <v>51</v>
      </c>
      <c r="T2128" t="s">
        <v>490</v>
      </c>
    </row>
    <row r="2129" spans="1:20">
      <c r="A2129">
        <v>2139</v>
      </c>
      <c r="B2129" t="s">
        <v>2372</v>
      </c>
      <c r="C2129" t="s">
        <v>21</v>
      </c>
      <c r="D2129" t="s">
        <v>22</v>
      </c>
      <c r="E2129" t="s">
        <v>23</v>
      </c>
      <c r="F2129">
        <v>229999</v>
      </c>
      <c r="G2129">
        <v>19</v>
      </c>
      <c r="H2129">
        <v>273698.81</v>
      </c>
      <c r="I2129" t="s">
        <v>24</v>
      </c>
      <c r="J2129" t="s">
        <v>25</v>
      </c>
      <c r="K2129">
        <v>0</v>
      </c>
      <c r="L2129">
        <v>0</v>
      </c>
      <c r="M2129" t="s">
        <v>25</v>
      </c>
      <c r="N2129" t="s">
        <v>25</v>
      </c>
      <c r="O2129" t="s">
        <v>26</v>
      </c>
      <c r="P2129" t="s">
        <v>25</v>
      </c>
      <c r="Q2129" t="s">
        <v>238</v>
      </c>
      <c r="R2129" t="s">
        <v>2312</v>
      </c>
      <c r="S2129" t="s">
        <v>51</v>
      </c>
      <c r="T2129" t="s">
        <v>490</v>
      </c>
    </row>
    <row r="2130" spans="1:20">
      <c r="A2130">
        <v>2140</v>
      </c>
      <c r="B2130" t="s">
        <v>2373</v>
      </c>
      <c r="C2130" t="s">
        <v>21</v>
      </c>
      <c r="D2130" t="s">
        <v>22</v>
      </c>
      <c r="E2130" t="s">
        <v>23</v>
      </c>
      <c r="F2130">
        <v>70000</v>
      </c>
      <c r="G2130">
        <v>19</v>
      </c>
      <c r="H2130">
        <v>83300</v>
      </c>
      <c r="I2130" t="s">
        <v>24</v>
      </c>
      <c r="J2130" t="s">
        <v>25</v>
      </c>
      <c r="K2130">
        <v>0</v>
      </c>
      <c r="L2130">
        <v>0</v>
      </c>
      <c r="M2130" t="s">
        <v>25</v>
      </c>
      <c r="N2130" t="s">
        <v>25</v>
      </c>
      <c r="O2130" t="s">
        <v>26</v>
      </c>
      <c r="P2130" t="s">
        <v>25</v>
      </c>
      <c r="Q2130" t="s">
        <v>238</v>
      </c>
      <c r="R2130" t="s">
        <v>2312</v>
      </c>
      <c r="S2130" t="s">
        <v>51</v>
      </c>
      <c r="T2130" t="s">
        <v>490</v>
      </c>
    </row>
    <row r="2131" spans="1:20">
      <c r="A2131">
        <v>2141</v>
      </c>
      <c r="B2131" t="s">
        <v>2374</v>
      </c>
      <c r="C2131" t="s">
        <v>21</v>
      </c>
      <c r="D2131" t="s">
        <v>22</v>
      </c>
      <c r="E2131" t="s">
        <v>23</v>
      </c>
      <c r="F2131">
        <v>0</v>
      </c>
      <c r="G2131">
        <v>19</v>
      </c>
      <c r="H2131">
        <v>0</v>
      </c>
      <c r="I2131" t="s">
        <v>24</v>
      </c>
      <c r="J2131" t="s">
        <v>25</v>
      </c>
      <c r="K2131">
        <v>0</v>
      </c>
      <c r="L2131">
        <v>0</v>
      </c>
      <c r="M2131" t="s">
        <v>25</v>
      </c>
      <c r="N2131" t="s">
        <v>25</v>
      </c>
      <c r="O2131" t="s">
        <v>26</v>
      </c>
      <c r="P2131" t="s">
        <v>25</v>
      </c>
      <c r="Q2131" t="s">
        <v>238</v>
      </c>
      <c r="R2131" t="s">
        <v>2312</v>
      </c>
    </row>
    <row r="2132" spans="1:20">
      <c r="A2132">
        <v>2142</v>
      </c>
      <c r="B2132" t="s">
        <v>2375</v>
      </c>
      <c r="C2132" t="s">
        <v>21</v>
      </c>
      <c r="D2132" t="s">
        <v>22</v>
      </c>
      <c r="E2132" t="s">
        <v>23</v>
      </c>
      <c r="F2132">
        <v>0</v>
      </c>
      <c r="G2132">
        <v>19</v>
      </c>
      <c r="H2132">
        <v>0</v>
      </c>
      <c r="I2132" t="s">
        <v>24</v>
      </c>
      <c r="J2132" t="s">
        <v>25</v>
      </c>
      <c r="K2132">
        <v>0</v>
      </c>
      <c r="L2132">
        <v>0</v>
      </c>
      <c r="M2132" t="s">
        <v>25</v>
      </c>
      <c r="N2132" t="s">
        <v>25</v>
      </c>
      <c r="O2132" t="s">
        <v>26</v>
      </c>
      <c r="P2132" t="s">
        <v>25</v>
      </c>
      <c r="Q2132" t="s">
        <v>238</v>
      </c>
      <c r="R2132" t="s">
        <v>2312</v>
      </c>
    </row>
    <row r="2133" spans="1:20">
      <c r="A2133">
        <v>2143</v>
      </c>
      <c r="B2133" t="s">
        <v>2376</v>
      </c>
      <c r="C2133" t="s">
        <v>21</v>
      </c>
      <c r="D2133" t="s">
        <v>22</v>
      </c>
      <c r="E2133" t="s">
        <v>23</v>
      </c>
      <c r="F2133">
        <v>0</v>
      </c>
      <c r="G2133">
        <v>19</v>
      </c>
      <c r="H2133">
        <v>0</v>
      </c>
      <c r="I2133" t="s">
        <v>24</v>
      </c>
      <c r="J2133" t="s">
        <v>25</v>
      </c>
      <c r="K2133">
        <v>0</v>
      </c>
      <c r="L2133">
        <v>0</v>
      </c>
      <c r="M2133" t="s">
        <v>25</v>
      </c>
      <c r="N2133" t="s">
        <v>25</v>
      </c>
      <c r="O2133" t="s">
        <v>26</v>
      </c>
      <c r="P2133" t="s">
        <v>25</v>
      </c>
      <c r="Q2133" t="s">
        <v>238</v>
      </c>
      <c r="R2133" t="s">
        <v>2312</v>
      </c>
    </row>
    <row r="2134" spans="1:20">
      <c r="A2134">
        <v>2144</v>
      </c>
      <c r="B2134" t="s">
        <v>2377</v>
      </c>
      <c r="C2134" t="s">
        <v>21</v>
      </c>
      <c r="D2134" t="s">
        <v>22</v>
      </c>
      <c r="E2134" t="s">
        <v>23</v>
      </c>
      <c r="F2134">
        <v>0</v>
      </c>
      <c r="G2134">
        <v>19</v>
      </c>
      <c r="H2134">
        <v>0</v>
      </c>
      <c r="I2134" t="s">
        <v>24</v>
      </c>
      <c r="J2134" t="s">
        <v>25</v>
      </c>
      <c r="K2134">
        <v>0</v>
      </c>
      <c r="L2134">
        <v>0</v>
      </c>
      <c r="M2134" t="s">
        <v>25</v>
      </c>
      <c r="N2134" t="s">
        <v>25</v>
      </c>
      <c r="O2134" t="s">
        <v>26</v>
      </c>
      <c r="P2134" t="s">
        <v>25</v>
      </c>
      <c r="Q2134" t="s">
        <v>238</v>
      </c>
      <c r="R2134" t="s">
        <v>2312</v>
      </c>
    </row>
    <row r="2135" spans="1:20">
      <c r="A2135">
        <v>2145</v>
      </c>
      <c r="B2135" t="s">
        <v>2378</v>
      </c>
      <c r="C2135" t="s">
        <v>21</v>
      </c>
      <c r="D2135" t="s">
        <v>22</v>
      </c>
      <c r="E2135" t="s">
        <v>23</v>
      </c>
      <c r="F2135">
        <v>0</v>
      </c>
      <c r="G2135">
        <v>19</v>
      </c>
      <c r="H2135">
        <v>0</v>
      </c>
      <c r="I2135" t="s">
        <v>24</v>
      </c>
      <c r="J2135" t="s">
        <v>25</v>
      </c>
      <c r="K2135">
        <v>0</v>
      </c>
      <c r="L2135">
        <v>0</v>
      </c>
      <c r="M2135" t="s">
        <v>25</v>
      </c>
      <c r="N2135" t="s">
        <v>25</v>
      </c>
      <c r="O2135" t="s">
        <v>26</v>
      </c>
      <c r="P2135" t="s">
        <v>25</v>
      </c>
      <c r="Q2135" t="s">
        <v>238</v>
      </c>
      <c r="R2135" t="s">
        <v>2312</v>
      </c>
    </row>
    <row r="2136" spans="1:20">
      <c r="A2136">
        <v>2146</v>
      </c>
      <c r="B2136" t="s">
        <v>2379</v>
      </c>
      <c r="C2136" t="s">
        <v>21</v>
      </c>
      <c r="D2136" t="s">
        <v>22</v>
      </c>
      <c r="E2136" t="s">
        <v>23</v>
      </c>
      <c r="F2136">
        <v>0</v>
      </c>
      <c r="G2136">
        <v>19</v>
      </c>
      <c r="H2136">
        <v>0</v>
      </c>
      <c r="I2136" t="s">
        <v>24</v>
      </c>
      <c r="J2136" t="s">
        <v>25</v>
      </c>
      <c r="K2136">
        <v>0</v>
      </c>
      <c r="L2136">
        <v>0</v>
      </c>
      <c r="M2136" t="s">
        <v>25</v>
      </c>
      <c r="N2136" t="s">
        <v>25</v>
      </c>
      <c r="O2136" t="s">
        <v>26</v>
      </c>
      <c r="P2136" t="s">
        <v>25</v>
      </c>
      <c r="Q2136" t="s">
        <v>238</v>
      </c>
      <c r="R2136" t="s">
        <v>2312</v>
      </c>
    </row>
    <row r="2137" spans="1:20">
      <c r="A2137">
        <v>2147</v>
      </c>
      <c r="B2137" t="s">
        <v>2380</v>
      </c>
      <c r="C2137" t="s">
        <v>21</v>
      </c>
      <c r="D2137" t="s">
        <v>22</v>
      </c>
      <c r="E2137" t="s">
        <v>23</v>
      </c>
      <c r="F2137">
        <v>0</v>
      </c>
      <c r="G2137">
        <v>19</v>
      </c>
      <c r="H2137">
        <v>0</v>
      </c>
      <c r="I2137" t="s">
        <v>24</v>
      </c>
      <c r="J2137" t="s">
        <v>25</v>
      </c>
      <c r="K2137">
        <v>0</v>
      </c>
      <c r="L2137">
        <v>0</v>
      </c>
      <c r="M2137" t="s">
        <v>25</v>
      </c>
      <c r="N2137" t="s">
        <v>25</v>
      </c>
      <c r="O2137" t="s">
        <v>26</v>
      </c>
      <c r="P2137" t="s">
        <v>25</v>
      </c>
      <c r="Q2137" t="s">
        <v>238</v>
      </c>
      <c r="R2137" t="s">
        <v>2312</v>
      </c>
    </row>
    <row r="2138" spans="1:20">
      <c r="A2138">
        <v>2148</v>
      </c>
      <c r="B2138" t="s">
        <v>2381</v>
      </c>
      <c r="C2138" t="s">
        <v>21</v>
      </c>
      <c r="D2138" t="s">
        <v>22</v>
      </c>
      <c r="E2138" t="s">
        <v>23</v>
      </c>
      <c r="F2138">
        <v>0</v>
      </c>
      <c r="G2138">
        <v>19</v>
      </c>
      <c r="H2138">
        <v>0</v>
      </c>
      <c r="I2138" t="s">
        <v>24</v>
      </c>
      <c r="J2138" t="s">
        <v>25</v>
      </c>
      <c r="K2138">
        <v>0</v>
      </c>
      <c r="L2138">
        <v>0</v>
      </c>
      <c r="M2138" t="s">
        <v>25</v>
      </c>
      <c r="N2138" t="s">
        <v>25</v>
      </c>
      <c r="O2138" t="s">
        <v>26</v>
      </c>
      <c r="P2138" t="s">
        <v>25</v>
      </c>
      <c r="Q2138" t="s">
        <v>238</v>
      </c>
      <c r="R2138" t="s">
        <v>2312</v>
      </c>
    </row>
    <row r="2139" spans="1:20">
      <c r="A2139">
        <v>2149</v>
      </c>
      <c r="B2139" t="s">
        <v>2382</v>
      </c>
      <c r="C2139" t="s">
        <v>21</v>
      </c>
      <c r="D2139" t="s">
        <v>22</v>
      </c>
      <c r="E2139" t="s">
        <v>23</v>
      </c>
      <c r="F2139">
        <v>0</v>
      </c>
      <c r="G2139">
        <v>19</v>
      </c>
      <c r="H2139">
        <v>0</v>
      </c>
      <c r="I2139" t="s">
        <v>24</v>
      </c>
      <c r="J2139" t="s">
        <v>25</v>
      </c>
      <c r="K2139">
        <v>0</v>
      </c>
      <c r="L2139">
        <v>0</v>
      </c>
      <c r="M2139" t="s">
        <v>25</v>
      </c>
      <c r="N2139" t="s">
        <v>25</v>
      </c>
      <c r="O2139" t="s">
        <v>26</v>
      </c>
      <c r="P2139" t="s">
        <v>25</v>
      </c>
      <c r="Q2139" t="s">
        <v>238</v>
      </c>
      <c r="R2139" t="s">
        <v>2312</v>
      </c>
    </row>
    <row r="2140" spans="1:20">
      <c r="A2140">
        <v>2150</v>
      </c>
      <c r="B2140" t="s">
        <v>2383</v>
      </c>
      <c r="C2140" t="s">
        <v>36</v>
      </c>
      <c r="D2140" t="s">
        <v>1131</v>
      </c>
      <c r="E2140" t="s">
        <v>1746</v>
      </c>
      <c r="F2140">
        <v>0</v>
      </c>
      <c r="G2140">
        <v>19</v>
      </c>
      <c r="H2140">
        <v>0</v>
      </c>
      <c r="I2140" t="s">
        <v>24</v>
      </c>
      <c r="J2140" t="s">
        <v>25</v>
      </c>
      <c r="K2140">
        <v>0</v>
      </c>
      <c r="L2140">
        <v>0</v>
      </c>
      <c r="M2140" t="s">
        <v>25</v>
      </c>
      <c r="N2140" t="s">
        <v>25</v>
      </c>
      <c r="O2140" t="s">
        <v>26</v>
      </c>
      <c r="P2140" t="s">
        <v>25</v>
      </c>
      <c r="Q2140" t="s">
        <v>238</v>
      </c>
      <c r="R2140" t="s">
        <v>2312</v>
      </c>
      <c r="S2140" t="s">
        <v>238</v>
      </c>
      <c r="T2140" t="s">
        <v>2312</v>
      </c>
    </row>
    <row r="2141" spans="1:20">
      <c r="A2141">
        <v>2151</v>
      </c>
      <c r="B2141" t="s">
        <v>2384</v>
      </c>
      <c r="C2141" t="s">
        <v>102</v>
      </c>
      <c r="D2141" t="s">
        <v>22</v>
      </c>
      <c r="E2141" t="s">
        <v>23</v>
      </c>
      <c r="F2141">
        <v>0</v>
      </c>
      <c r="G2141">
        <v>19</v>
      </c>
      <c r="H2141">
        <v>0</v>
      </c>
      <c r="I2141" t="s">
        <v>24</v>
      </c>
      <c r="J2141" t="s">
        <v>25</v>
      </c>
      <c r="K2141">
        <v>0</v>
      </c>
      <c r="L2141">
        <v>0</v>
      </c>
      <c r="M2141" t="s">
        <v>25</v>
      </c>
      <c r="N2141" t="s">
        <v>25</v>
      </c>
      <c r="O2141" t="s">
        <v>26</v>
      </c>
      <c r="P2141" t="s">
        <v>25</v>
      </c>
      <c r="Q2141" t="s">
        <v>238</v>
      </c>
      <c r="R2141" t="s">
        <v>2312</v>
      </c>
    </row>
    <row r="2142" spans="1:20">
      <c r="A2142">
        <v>2152</v>
      </c>
      <c r="B2142" t="s">
        <v>2385</v>
      </c>
      <c r="C2142" t="s">
        <v>21</v>
      </c>
      <c r="D2142" t="s">
        <v>22</v>
      </c>
      <c r="E2142" t="s">
        <v>23</v>
      </c>
      <c r="F2142">
        <v>0</v>
      </c>
      <c r="G2142">
        <v>19</v>
      </c>
      <c r="H2142">
        <v>0</v>
      </c>
      <c r="I2142" t="s">
        <v>24</v>
      </c>
      <c r="J2142" t="s">
        <v>25</v>
      </c>
      <c r="K2142">
        <v>0</v>
      </c>
      <c r="L2142">
        <v>0</v>
      </c>
      <c r="M2142" t="s">
        <v>25</v>
      </c>
      <c r="N2142" t="s">
        <v>25</v>
      </c>
      <c r="O2142" t="s">
        <v>26</v>
      </c>
      <c r="P2142" t="s">
        <v>25</v>
      </c>
      <c r="Q2142" t="s">
        <v>238</v>
      </c>
      <c r="R2142" t="s">
        <v>2312</v>
      </c>
    </row>
    <row r="2143" spans="1:20">
      <c r="A2143">
        <v>2153</v>
      </c>
      <c r="B2143" t="s">
        <v>2386</v>
      </c>
      <c r="C2143" t="s">
        <v>36</v>
      </c>
      <c r="D2143" t="s">
        <v>1131</v>
      </c>
      <c r="E2143" t="s">
        <v>1746</v>
      </c>
      <c r="F2143">
        <v>0</v>
      </c>
      <c r="G2143">
        <v>19</v>
      </c>
      <c r="H2143">
        <v>0</v>
      </c>
      <c r="I2143" t="s">
        <v>24</v>
      </c>
      <c r="J2143" t="s">
        <v>25</v>
      </c>
      <c r="K2143">
        <v>0</v>
      </c>
      <c r="L2143">
        <v>0</v>
      </c>
      <c r="M2143" t="s">
        <v>25</v>
      </c>
      <c r="N2143" t="s">
        <v>25</v>
      </c>
      <c r="O2143" t="s">
        <v>26</v>
      </c>
      <c r="P2143" t="s">
        <v>25</v>
      </c>
      <c r="Q2143" t="s">
        <v>238</v>
      </c>
      <c r="R2143" t="s">
        <v>2312</v>
      </c>
      <c r="S2143" t="s">
        <v>238</v>
      </c>
      <c r="T2143" t="s">
        <v>2312</v>
      </c>
    </row>
    <row r="2144" spans="1:20">
      <c r="A2144">
        <v>2154</v>
      </c>
      <c r="B2144" t="s">
        <v>2387</v>
      </c>
      <c r="C2144" t="s">
        <v>21</v>
      </c>
      <c r="D2144" t="s">
        <v>22</v>
      </c>
      <c r="E2144" t="s">
        <v>23</v>
      </c>
      <c r="F2144">
        <v>0</v>
      </c>
      <c r="G2144">
        <v>19</v>
      </c>
      <c r="H2144">
        <v>0</v>
      </c>
      <c r="I2144" t="s">
        <v>24</v>
      </c>
      <c r="J2144" t="s">
        <v>25</v>
      </c>
      <c r="K2144">
        <v>0</v>
      </c>
      <c r="L2144">
        <v>0</v>
      </c>
      <c r="M2144" t="s">
        <v>25</v>
      </c>
      <c r="N2144" t="s">
        <v>25</v>
      </c>
      <c r="O2144" t="s">
        <v>26</v>
      </c>
      <c r="P2144" t="s">
        <v>25</v>
      </c>
      <c r="Q2144" t="s">
        <v>238</v>
      </c>
      <c r="R2144" t="s">
        <v>2312</v>
      </c>
    </row>
    <row r="2145" spans="1:20">
      <c r="A2145">
        <v>2155</v>
      </c>
      <c r="B2145" t="s">
        <v>2388</v>
      </c>
      <c r="C2145" t="s">
        <v>102</v>
      </c>
      <c r="D2145" t="s">
        <v>1131</v>
      </c>
      <c r="E2145" t="s">
        <v>23</v>
      </c>
      <c r="F2145">
        <v>0</v>
      </c>
      <c r="G2145">
        <v>19</v>
      </c>
      <c r="H2145">
        <v>0</v>
      </c>
      <c r="I2145" t="s">
        <v>24</v>
      </c>
      <c r="J2145" t="s">
        <v>25</v>
      </c>
      <c r="K2145">
        <v>0</v>
      </c>
      <c r="L2145">
        <v>0</v>
      </c>
      <c r="M2145" t="s">
        <v>25</v>
      </c>
      <c r="N2145" t="s">
        <v>25</v>
      </c>
      <c r="O2145" t="s">
        <v>26</v>
      </c>
      <c r="P2145" t="s">
        <v>25</v>
      </c>
      <c r="Q2145" t="s">
        <v>238</v>
      </c>
      <c r="R2145" t="s">
        <v>2312</v>
      </c>
    </row>
    <row r="2146" spans="1:20">
      <c r="A2146">
        <v>2156</v>
      </c>
      <c r="B2146" t="s">
        <v>2389</v>
      </c>
      <c r="C2146" t="s">
        <v>21</v>
      </c>
      <c r="D2146" t="s">
        <v>22</v>
      </c>
      <c r="E2146" t="s">
        <v>23</v>
      </c>
      <c r="F2146">
        <v>0</v>
      </c>
      <c r="G2146">
        <v>19</v>
      </c>
      <c r="H2146">
        <v>0</v>
      </c>
      <c r="I2146" t="s">
        <v>24</v>
      </c>
      <c r="J2146" t="s">
        <v>25</v>
      </c>
      <c r="K2146">
        <v>0</v>
      </c>
      <c r="L2146">
        <v>0</v>
      </c>
      <c r="M2146" t="s">
        <v>25</v>
      </c>
      <c r="N2146" t="s">
        <v>25</v>
      </c>
      <c r="O2146" t="s">
        <v>26</v>
      </c>
      <c r="P2146" t="s">
        <v>25</v>
      </c>
      <c r="Q2146" t="s">
        <v>238</v>
      </c>
      <c r="R2146" t="s">
        <v>2312</v>
      </c>
    </row>
    <row r="2147" spans="1:20">
      <c r="A2147">
        <v>2157</v>
      </c>
      <c r="B2147" t="s">
        <v>2390</v>
      </c>
      <c r="C2147" t="s">
        <v>21</v>
      </c>
      <c r="D2147" t="s">
        <v>22</v>
      </c>
      <c r="E2147" t="s">
        <v>23</v>
      </c>
      <c r="F2147">
        <v>0</v>
      </c>
      <c r="G2147">
        <v>19</v>
      </c>
      <c r="H2147">
        <v>0</v>
      </c>
      <c r="I2147" t="s">
        <v>24</v>
      </c>
      <c r="J2147" t="s">
        <v>25</v>
      </c>
      <c r="K2147">
        <v>0</v>
      </c>
      <c r="L2147">
        <v>0</v>
      </c>
      <c r="M2147" t="s">
        <v>25</v>
      </c>
      <c r="N2147" t="s">
        <v>25</v>
      </c>
      <c r="O2147" t="s">
        <v>26</v>
      </c>
      <c r="P2147" t="s">
        <v>25</v>
      </c>
      <c r="Q2147" t="s">
        <v>238</v>
      </c>
      <c r="R2147" t="s">
        <v>2312</v>
      </c>
    </row>
    <row r="2148" spans="1:20">
      <c r="A2148">
        <v>2158</v>
      </c>
      <c r="B2148" t="s">
        <v>2391</v>
      </c>
      <c r="C2148" t="s">
        <v>21</v>
      </c>
      <c r="D2148" t="s">
        <v>22</v>
      </c>
      <c r="E2148" t="s">
        <v>23</v>
      </c>
      <c r="F2148">
        <v>0</v>
      </c>
      <c r="G2148">
        <v>19</v>
      </c>
      <c r="H2148">
        <v>0</v>
      </c>
      <c r="I2148" t="s">
        <v>24</v>
      </c>
      <c r="J2148" t="s">
        <v>25</v>
      </c>
      <c r="K2148">
        <v>0</v>
      </c>
      <c r="L2148">
        <v>0</v>
      </c>
      <c r="M2148" t="s">
        <v>25</v>
      </c>
      <c r="N2148" t="s">
        <v>25</v>
      </c>
      <c r="O2148" t="s">
        <v>26</v>
      </c>
      <c r="P2148" t="s">
        <v>25</v>
      </c>
      <c r="Q2148" t="s">
        <v>238</v>
      </c>
      <c r="R2148" t="s">
        <v>2312</v>
      </c>
    </row>
    <row r="2149" spans="1:20">
      <c r="A2149">
        <v>2159</v>
      </c>
      <c r="B2149" t="s">
        <v>2392</v>
      </c>
      <c r="C2149" t="s">
        <v>21</v>
      </c>
      <c r="D2149" t="s">
        <v>22</v>
      </c>
      <c r="E2149" t="s">
        <v>23</v>
      </c>
      <c r="F2149">
        <v>0</v>
      </c>
      <c r="G2149">
        <v>19</v>
      </c>
      <c r="H2149">
        <v>0</v>
      </c>
      <c r="I2149" t="s">
        <v>24</v>
      </c>
      <c r="J2149" t="s">
        <v>25</v>
      </c>
      <c r="K2149">
        <v>0</v>
      </c>
      <c r="L2149">
        <v>0</v>
      </c>
      <c r="M2149" t="s">
        <v>25</v>
      </c>
      <c r="N2149" t="s">
        <v>25</v>
      </c>
      <c r="O2149" t="s">
        <v>26</v>
      </c>
      <c r="P2149" t="s">
        <v>25</v>
      </c>
      <c r="Q2149" t="s">
        <v>238</v>
      </c>
      <c r="R2149" t="s">
        <v>2312</v>
      </c>
    </row>
    <row r="2150" spans="1:20">
      <c r="A2150">
        <v>2160</v>
      </c>
      <c r="B2150" t="s">
        <v>2393</v>
      </c>
      <c r="C2150" t="s">
        <v>21</v>
      </c>
      <c r="D2150" t="s">
        <v>22</v>
      </c>
      <c r="E2150" t="s">
        <v>23</v>
      </c>
      <c r="F2150">
        <v>0</v>
      </c>
      <c r="G2150">
        <v>19</v>
      </c>
      <c r="H2150">
        <v>0</v>
      </c>
      <c r="I2150" t="s">
        <v>24</v>
      </c>
      <c r="J2150" t="s">
        <v>25</v>
      </c>
      <c r="K2150">
        <v>0</v>
      </c>
      <c r="L2150">
        <v>0</v>
      </c>
      <c r="M2150" t="s">
        <v>25</v>
      </c>
      <c r="N2150" t="s">
        <v>25</v>
      </c>
      <c r="O2150" t="s">
        <v>26</v>
      </c>
      <c r="P2150" t="s">
        <v>25</v>
      </c>
      <c r="Q2150" t="s">
        <v>238</v>
      </c>
      <c r="R2150" t="s">
        <v>2312</v>
      </c>
    </row>
    <row r="2151" spans="1:20">
      <c r="A2151">
        <v>2161</v>
      </c>
      <c r="B2151" t="s">
        <v>2394</v>
      </c>
      <c r="C2151" t="s">
        <v>21</v>
      </c>
      <c r="D2151" t="s">
        <v>22</v>
      </c>
      <c r="E2151" t="s">
        <v>23</v>
      </c>
      <c r="F2151">
        <v>0</v>
      </c>
      <c r="G2151">
        <v>19</v>
      </c>
      <c r="H2151">
        <v>0</v>
      </c>
      <c r="I2151" t="s">
        <v>24</v>
      </c>
      <c r="J2151" t="s">
        <v>25</v>
      </c>
      <c r="K2151">
        <v>0</v>
      </c>
      <c r="L2151">
        <v>0</v>
      </c>
      <c r="M2151" t="s">
        <v>25</v>
      </c>
      <c r="N2151" t="s">
        <v>25</v>
      </c>
      <c r="O2151" t="s">
        <v>26</v>
      </c>
      <c r="P2151" t="s">
        <v>25</v>
      </c>
      <c r="Q2151" t="s">
        <v>238</v>
      </c>
      <c r="R2151" t="s">
        <v>2312</v>
      </c>
    </row>
    <row r="2152" spans="1:20">
      <c r="A2152">
        <v>2162</v>
      </c>
      <c r="B2152" t="s">
        <v>2395</v>
      </c>
      <c r="C2152" t="s">
        <v>21</v>
      </c>
      <c r="D2152" t="s">
        <v>22</v>
      </c>
      <c r="E2152" t="s">
        <v>23</v>
      </c>
      <c r="F2152">
        <v>0</v>
      </c>
      <c r="G2152">
        <v>19</v>
      </c>
      <c r="H2152">
        <v>0</v>
      </c>
      <c r="I2152" t="s">
        <v>24</v>
      </c>
      <c r="J2152" t="s">
        <v>25</v>
      </c>
      <c r="K2152">
        <v>0</v>
      </c>
      <c r="L2152">
        <v>0</v>
      </c>
      <c r="M2152" t="s">
        <v>25</v>
      </c>
      <c r="N2152" t="s">
        <v>25</v>
      </c>
      <c r="O2152" t="s">
        <v>26</v>
      </c>
      <c r="P2152" t="s">
        <v>25</v>
      </c>
      <c r="Q2152" t="s">
        <v>238</v>
      </c>
      <c r="R2152" t="s">
        <v>2312</v>
      </c>
    </row>
    <row r="2153" spans="1:20">
      <c r="A2153">
        <v>2163</v>
      </c>
      <c r="B2153" t="s">
        <v>2396</v>
      </c>
      <c r="C2153" t="s">
        <v>21</v>
      </c>
      <c r="D2153" t="s">
        <v>22</v>
      </c>
      <c r="E2153" t="s">
        <v>23</v>
      </c>
      <c r="F2153">
        <v>0</v>
      </c>
      <c r="G2153">
        <v>19</v>
      </c>
      <c r="H2153">
        <v>0</v>
      </c>
      <c r="I2153" t="s">
        <v>24</v>
      </c>
      <c r="J2153" t="s">
        <v>25</v>
      </c>
      <c r="K2153">
        <v>0</v>
      </c>
      <c r="L2153">
        <v>0</v>
      </c>
      <c r="M2153" t="s">
        <v>25</v>
      </c>
      <c r="N2153" t="s">
        <v>25</v>
      </c>
      <c r="O2153" t="s">
        <v>26</v>
      </c>
      <c r="P2153" t="s">
        <v>25</v>
      </c>
      <c r="Q2153" t="s">
        <v>238</v>
      </c>
      <c r="R2153" t="s">
        <v>2312</v>
      </c>
    </row>
    <row r="2154" spans="1:20">
      <c r="A2154">
        <v>2164</v>
      </c>
      <c r="B2154" t="s">
        <v>2397</v>
      </c>
      <c r="C2154" t="s">
        <v>21</v>
      </c>
      <c r="D2154" t="s">
        <v>22</v>
      </c>
      <c r="E2154" t="s">
        <v>23</v>
      </c>
      <c r="F2154">
        <v>0</v>
      </c>
      <c r="G2154">
        <v>19</v>
      </c>
      <c r="H2154">
        <v>0</v>
      </c>
      <c r="I2154" t="s">
        <v>24</v>
      </c>
      <c r="J2154" t="s">
        <v>25</v>
      </c>
      <c r="K2154">
        <v>0</v>
      </c>
      <c r="L2154">
        <v>0</v>
      </c>
      <c r="M2154" t="s">
        <v>25</v>
      </c>
      <c r="N2154" t="s">
        <v>25</v>
      </c>
      <c r="O2154" t="s">
        <v>26</v>
      </c>
      <c r="P2154" t="s">
        <v>25</v>
      </c>
      <c r="Q2154" t="s">
        <v>238</v>
      </c>
      <c r="R2154" t="s">
        <v>2312</v>
      </c>
    </row>
    <row r="2155" spans="1:20">
      <c r="A2155">
        <v>2165</v>
      </c>
      <c r="B2155" t="s">
        <v>2398</v>
      </c>
      <c r="C2155" t="s">
        <v>21</v>
      </c>
      <c r="D2155" t="s">
        <v>22</v>
      </c>
      <c r="E2155" t="s">
        <v>23</v>
      </c>
      <c r="F2155">
        <v>0</v>
      </c>
      <c r="G2155">
        <v>19</v>
      </c>
      <c r="H2155">
        <v>0</v>
      </c>
      <c r="I2155" t="s">
        <v>24</v>
      </c>
      <c r="J2155" t="s">
        <v>25</v>
      </c>
      <c r="K2155">
        <v>0</v>
      </c>
      <c r="L2155">
        <v>0</v>
      </c>
      <c r="M2155" t="s">
        <v>25</v>
      </c>
      <c r="N2155" t="s">
        <v>25</v>
      </c>
      <c r="O2155" t="s">
        <v>26</v>
      </c>
      <c r="P2155" t="s">
        <v>25</v>
      </c>
      <c r="Q2155" t="s">
        <v>238</v>
      </c>
      <c r="R2155" t="s">
        <v>2312</v>
      </c>
    </row>
    <row r="2156" spans="1:20">
      <c r="A2156">
        <v>2166</v>
      </c>
      <c r="B2156" t="s">
        <v>2399</v>
      </c>
      <c r="C2156" t="s">
        <v>21</v>
      </c>
      <c r="D2156" t="s">
        <v>22</v>
      </c>
      <c r="E2156" t="s">
        <v>23</v>
      </c>
      <c r="F2156">
        <v>0</v>
      </c>
      <c r="G2156">
        <v>19</v>
      </c>
      <c r="H2156">
        <v>0</v>
      </c>
      <c r="I2156" t="s">
        <v>24</v>
      </c>
      <c r="J2156" t="s">
        <v>25</v>
      </c>
      <c r="K2156">
        <v>0</v>
      </c>
      <c r="L2156">
        <v>0</v>
      </c>
      <c r="M2156" t="s">
        <v>25</v>
      </c>
      <c r="N2156" t="s">
        <v>25</v>
      </c>
      <c r="O2156" t="s">
        <v>26</v>
      </c>
      <c r="P2156" t="s">
        <v>25</v>
      </c>
      <c r="Q2156" t="s">
        <v>238</v>
      </c>
      <c r="R2156" t="s">
        <v>2312</v>
      </c>
    </row>
    <row r="2157" spans="1:20">
      <c r="A2157">
        <v>2167</v>
      </c>
      <c r="B2157" t="s">
        <v>2400</v>
      </c>
      <c r="C2157" t="s">
        <v>21</v>
      </c>
      <c r="D2157" t="s">
        <v>22</v>
      </c>
      <c r="E2157" t="s">
        <v>23</v>
      </c>
      <c r="F2157">
        <v>0</v>
      </c>
      <c r="G2157">
        <v>19</v>
      </c>
      <c r="H2157">
        <v>0</v>
      </c>
      <c r="I2157" t="s">
        <v>24</v>
      </c>
      <c r="J2157" t="s">
        <v>25</v>
      </c>
      <c r="K2157">
        <v>0</v>
      </c>
      <c r="L2157">
        <v>0</v>
      </c>
      <c r="M2157" t="s">
        <v>25</v>
      </c>
      <c r="N2157" t="s">
        <v>25</v>
      </c>
      <c r="O2157" t="s">
        <v>26</v>
      </c>
      <c r="P2157" t="s">
        <v>25</v>
      </c>
      <c r="Q2157" t="s">
        <v>238</v>
      </c>
      <c r="R2157" t="s">
        <v>2312</v>
      </c>
    </row>
    <row r="2158" spans="1:20">
      <c r="A2158">
        <v>2168</v>
      </c>
      <c r="B2158" t="s">
        <v>2401</v>
      </c>
      <c r="C2158" t="s">
        <v>21</v>
      </c>
      <c r="D2158" t="s">
        <v>22</v>
      </c>
      <c r="E2158" t="s">
        <v>23</v>
      </c>
      <c r="F2158">
        <v>0</v>
      </c>
      <c r="G2158">
        <v>19</v>
      </c>
      <c r="H2158">
        <v>0</v>
      </c>
      <c r="I2158" t="s">
        <v>24</v>
      </c>
      <c r="J2158" t="s">
        <v>25</v>
      </c>
      <c r="K2158">
        <v>0</v>
      </c>
      <c r="L2158">
        <v>0</v>
      </c>
      <c r="M2158" t="s">
        <v>25</v>
      </c>
      <c r="N2158" t="s">
        <v>25</v>
      </c>
      <c r="O2158" t="s">
        <v>26</v>
      </c>
      <c r="P2158" t="s">
        <v>25</v>
      </c>
      <c r="Q2158" t="s">
        <v>238</v>
      </c>
      <c r="R2158" t="s">
        <v>2312</v>
      </c>
      <c r="S2158" t="s">
        <v>238</v>
      </c>
      <c r="T2158" t="s">
        <v>2312</v>
      </c>
    </row>
    <row r="2159" spans="1:20">
      <c r="A2159">
        <v>2169</v>
      </c>
      <c r="B2159" t="s">
        <v>2402</v>
      </c>
      <c r="C2159" t="s">
        <v>21</v>
      </c>
      <c r="D2159" t="s">
        <v>22</v>
      </c>
      <c r="E2159" t="s">
        <v>23</v>
      </c>
      <c r="F2159">
        <v>0</v>
      </c>
      <c r="G2159">
        <v>19</v>
      </c>
      <c r="H2159">
        <v>0</v>
      </c>
      <c r="I2159" t="s">
        <v>24</v>
      </c>
      <c r="J2159" t="s">
        <v>25</v>
      </c>
      <c r="K2159">
        <v>0</v>
      </c>
      <c r="L2159">
        <v>0</v>
      </c>
      <c r="M2159" t="s">
        <v>25</v>
      </c>
      <c r="N2159" t="s">
        <v>25</v>
      </c>
      <c r="O2159" t="s">
        <v>26</v>
      </c>
      <c r="P2159" t="s">
        <v>25</v>
      </c>
      <c r="Q2159" t="s">
        <v>238</v>
      </c>
      <c r="R2159" t="s">
        <v>2312</v>
      </c>
      <c r="S2159" t="s">
        <v>238</v>
      </c>
      <c r="T2159" t="s">
        <v>2312</v>
      </c>
    </row>
    <row r="2160" spans="1:20">
      <c r="A2160">
        <v>2170</v>
      </c>
      <c r="B2160" t="s">
        <v>2403</v>
      </c>
      <c r="C2160" t="s">
        <v>21</v>
      </c>
      <c r="D2160" t="s">
        <v>22</v>
      </c>
      <c r="E2160" t="s">
        <v>23</v>
      </c>
      <c r="F2160">
        <v>0</v>
      </c>
      <c r="G2160">
        <v>19</v>
      </c>
      <c r="H2160">
        <v>0</v>
      </c>
      <c r="I2160" t="s">
        <v>24</v>
      </c>
      <c r="J2160" t="s">
        <v>25</v>
      </c>
      <c r="K2160">
        <v>0</v>
      </c>
      <c r="L2160">
        <v>0</v>
      </c>
      <c r="M2160" t="s">
        <v>25</v>
      </c>
      <c r="N2160" t="s">
        <v>25</v>
      </c>
      <c r="O2160" t="s">
        <v>26</v>
      </c>
      <c r="P2160" t="s">
        <v>25</v>
      </c>
      <c r="Q2160" t="s">
        <v>238</v>
      </c>
      <c r="R2160" t="s">
        <v>2312</v>
      </c>
      <c r="S2160" t="s">
        <v>238</v>
      </c>
      <c r="T2160" t="s">
        <v>2312</v>
      </c>
    </row>
    <row r="2161" spans="1:20">
      <c r="A2161">
        <v>2171</v>
      </c>
      <c r="B2161" t="s">
        <v>2404</v>
      </c>
      <c r="C2161" t="s">
        <v>36</v>
      </c>
      <c r="D2161" t="s">
        <v>1131</v>
      </c>
      <c r="E2161" t="s">
        <v>1746</v>
      </c>
      <c r="F2161">
        <v>0</v>
      </c>
      <c r="G2161">
        <v>19</v>
      </c>
      <c r="H2161">
        <v>0</v>
      </c>
      <c r="I2161" t="s">
        <v>24</v>
      </c>
      <c r="J2161" t="s">
        <v>25</v>
      </c>
      <c r="K2161">
        <v>0</v>
      </c>
      <c r="L2161">
        <v>0</v>
      </c>
      <c r="M2161" t="s">
        <v>25</v>
      </c>
      <c r="N2161" t="s">
        <v>25</v>
      </c>
      <c r="O2161" t="s">
        <v>26</v>
      </c>
      <c r="P2161" t="s">
        <v>25</v>
      </c>
      <c r="Q2161" t="s">
        <v>238</v>
      </c>
      <c r="R2161" t="s">
        <v>2312</v>
      </c>
      <c r="S2161" t="s">
        <v>238</v>
      </c>
      <c r="T2161" t="s">
        <v>2312</v>
      </c>
    </row>
    <row r="2162" spans="1:20">
      <c r="A2162">
        <v>2172</v>
      </c>
      <c r="B2162" t="s">
        <v>2405</v>
      </c>
      <c r="C2162" t="s">
        <v>36</v>
      </c>
      <c r="D2162" t="s">
        <v>1131</v>
      </c>
      <c r="E2162" t="s">
        <v>1746</v>
      </c>
      <c r="F2162">
        <v>0</v>
      </c>
      <c r="G2162">
        <v>19</v>
      </c>
      <c r="H2162">
        <v>0</v>
      </c>
      <c r="I2162" t="s">
        <v>24</v>
      </c>
      <c r="J2162" t="s">
        <v>25</v>
      </c>
      <c r="K2162">
        <v>0</v>
      </c>
      <c r="L2162">
        <v>0</v>
      </c>
      <c r="M2162" t="s">
        <v>25</v>
      </c>
      <c r="N2162" t="s">
        <v>25</v>
      </c>
      <c r="O2162" t="s">
        <v>26</v>
      </c>
      <c r="P2162" t="s">
        <v>25</v>
      </c>
      <c r="Q2162" t="s">
        <v>238</v>
      </c>
      <c r="R2162" t="s">
        <v>2312</v>
      </c>
      <c r="S2162" t="s">
        <v>238</v>
      </c>
      <c r="T2162" t="s">
        <v>2312</v>
      </c>
    </row>
    <row r="2163" spans="1:20">
      <c r="A2163">
        <v>2173</v>
      </c>
      <c r="B2163" t="s">
        <v>2406</v>
      </c>
      <c r="C2163" t="s">
        <v>102</v>
      </c>
      <c r="D2163" t="s">
        <v>22</v>
      </c>
      <c r="E2163" t="s">
        <v>23</v>
      </c>
      <c r="F2163">
        <v>0</v>
      </c>
      <c r="G2163">
        <v>19</v>
      </c>
      <c r="H2163">
        <v>0</v>
      </c>
      <c r="I2163" t="s">
        <v>24</v>
      </c>
      <c r="J2163" t="s">
        <v>25</v>
      </c>
      <c r="K2163">
        <v>0</v>
      </c>
      <c r="L2163">
        <v>0</v>
      </c>
      <c r="M2163" t="s">
        <v>25</v>
      </c>
      <c r="N2163" t="s">
        <v>25</v>
      </c>
      <c r="O2163" t="s">
        <v>26</v>
      </c>
      <c r="P2163" t="s">
        <v>25</v>
      </c>
      <c r="Q2163" t="s">
        <v>238</v>
      </c>
      <c r="R2163" t="s">
        <v>2312</v>
      </c>
    </row>
    <row r="2164" spans="1:20">
      <c r="A2164">
        <v>2174</v>
      </c>
      <c r="B2164" t="s">
        <v>2407</v>
      </c>
      <c r="C2164" t="s">
        <v>102</v>
      </c>
      <c r="D2164" t="s">
        <v>22</v>
      </c>
      <c r="E2164" t="s">
        <v>23</v>
      </c>
      <c r="F2164">
        <v>0</v>
      </c>
      <c r="G2164">
        <v>19</v>
      </c>
      <c r="H2164">
        <v>0</v>
      </c>
      <c r="I2164" t="s">
        <v>24</v>
      </c>
      <c r="J2164" t="s">
        <v>25</v>
      </c>
      <c r="K2164">
        <v>0</v>
      </c>
      <c r="L2164">
        <v>0</v>
      </c>
      <c r="M2164" t="s">
        <v>25</v>
      </c>
      <c r="N2164" t="s">
        <v>25</v>
      </c>
      <c r="O2164" t="s">
        <v>26</v>
      </c>
      <c r="P2164" t="s">
        <v>25</v>
      </c>
      <c r="Q2164" t="s">
        <v>238</v>
      </c>
      <c r="R2164" t="s">
        <v>2312</v>
      </c>
    </row>
    <row r="2165" spans="1:20">
      <c r="A2165">
        <v>2175</v>
      </c>
      <c r="B2165" t="s">
        <v>2408</v>
      </c>
      <c r="C2165" t="s">
        <v>21</v>
      </c>
      <c r="D2165" t="s">
        <v>22</v>
      </c>
      <c r="E2165" t="s">
        <v>23</v>
      </c>
      <c r="F2165">
        <v>0</v>
      </c>
      <c r="G2165">
        <v>19</v>
      </c>
      <c r="H2165">
        <v>0</v>
      </c>
      <c r="I2165" t="s">
        <v>24</v>
      </c>
      <c r="J2165" t="s">
        <v>25</v>
      </c>
      <c r="K2165">
        <v>0</v>
      </c>
      <c r="L2165">
        <v>0</v>
      </c>
      <c r="M2165" t="s">
        <v>25</v>
      </c>
      <c r="N2165" t="s">
        <v>25</v>
      </c>
      <c r="O2165" t="s">
        <v>26</v>
      </c>
      <c r="P2165" t="s">
        <v>25</v>
      </c>
      <c r="Q2165" t="s">
        <v>238</v>
      </c>
      <c r="R2165" t="s">
        <v>892</v>
      </c>
    </row>
    <row r="2166" spans="1:20">
      <c r="A2166">
        <v>2176</v>
      </c>
      <c r="B2166" t="s">
        <v>2409</v>
      </c>
      <c r="C2166" t="s">
        <v>21</v>
      </c>
      <c r="D2166" t="s">
        <v>22</v>
      </c>
      <c r="E2166" t="s">
        <v>23</v>
      </c>
      <c r="F2166">
        <v>0</v>
      </c>
      <c r="G2166">
        <v>19</v>
      </c>
      <c r="H2166">
        <v>0</v>
      </c>
      <c r="I2166" t="s">
        <v>24</v>
      </c>
      <c r="J2166" t="s">
        <v>25</v>
      </c>
      <c r="K2166">
        <v>0</v>
      </c>
      <c r="L2166">
        <v>0</v>
      </c>
      <c r="M2166" t="s">
        <v>25</v>
      </c>
      <c r="N2166" t="s">
        <v>25</v>
      </c>
      <c r="O2166" t="s">
        <v>26</v>
      </c>
      <c r="P2166" t="s">
        <v>25</v>
      </c>
      <c r="Q2166" t="s">
        <v>238</v>
      </c>
      <c r="R2166" t="s">
        <v>892</v>
      </c>
      <c r="S2166" t="s">
        <v>238</v>
      </c>
      <c r="T2166" t="s">
        <v>892</v>
      </c>
    </row>
    <row r="2167" spans="1:20">
      <c r="A2167">
        <v>2177</v>
      </c>
      <c r="B2167" t="s">
        <v>2410</v>
      </c>
      <c r="C2167" t="s">
        <v>21</v>
      </c>
      <c r="D2167" t="s">
        <v>22</v>
      </c>
      <c r="E2167" t="s">
        <v>23</v>
      </c>
      <c r="F2167">
        <v>25544</v>
      </c>
      <c r="G2167">
        <v>19</v>
      </c>
      <c r="H2167">
        <v>30397.360000000001</v>
      </c>
      <c r="I2167" t="s">
        <v>24</v>
      </c>
      <c r="J2167" t="s">
        <v>25</v>
      </c>
      <c r="K2167">
        <v>0</v>
      </c>
      <c r="L2167">
        <v>0</v>
      </c>
      <c r="M2167" t="s">
        <v>25</v>
      </c>
      <c r="N2167" t="s">
        <v>25</v>
      </c>
      <c r="O2167" t="s">
        <v>26</v>
      </c>
      <c r="P2167" t="s">
        <v>25</v>
      </c>
      <c r="Q2167" t="s">
        <v>238</v>
      </c>
      <c r="R2167" t="s">
        <v>892</v>
      </c>
      <c r="S2167" t="s">
        <v>48</v>
      </c>
      <c r="T2167" t="s">
        <v>2411</v>
      </c>
    </row>
    <row r="2168" spans="1:20">
      <c r="A2168">
        <v>2178</v>
      </c>
      <c r="B2168" t="s">
        <v>2412</v>
      </c>
      <c r="C2168" t="s">
        <v>21</v>
      </c>
      <c r="D2168" t="s">
        <v>22</v>
      </c>
      <c r="E2168" t="s">
        <v>23</v>
      </c>
      <c r="F2168">
        <v>36000</v>
      </c>
      <c r="G2168">
        <v>19</v>
      </c>
      <c r="H2168">
        <v>42840</v>
      </c>
      <c r="I2168" t="s">
        <v>24</v>
      </c>
      <c r="J2168" t="s">
        <v>25</v>
      </c>
      <c r="K2168">
        <v>0</v>
      </c>
      <c r="L2168">
        <v>0</v>
      </c>
      <c r="M2168" t="s">
        <v>25</v>
      </c>
      <c r="N2168" t="s">
        <v>25</v>
      </c>
      <c r="O2168" t="s">
        <v>26</v>
      </c>
      <c r="P2168" t="s">
        <v>25</v>
      </c>
      <c r="Q2168" t="s">
        <v>238</v>
      </c>
      <c r="R2168" t="s">
        <v>892</v>
      </c>
      <c r="S2168" t="s">
        <v>48</v>
      </c>
      <c r="T2168" t="s">
        <v>2411</v>
      </c>
    </row>
    <row r="2169" spans="1:20">
      <c r="A2169">
        <v>2179</v>
      </c>
      <c r="B2169" t="s">
        <v>2413</v>
      </c>
      <c r="C2169" t="s">
        <v>21</v>
      </c>
      <c r="D2169" t="s">
        <v>22</v>
      </c>
      <c r="E2169" t="s">
        <v>23</v>
      </c>
      <c r="F2169">
        <v>0</v>
      </c>
      <c r="G2169">
        <v>19</v>
      </c>
      <c r="H2169">
        <v>0</v>
      </c>
      <c r="I2169" t="s">
        <v>24</v>
      </c>
      <c r="J2169" t="s">
        <v>25</v>
      </c>
      <c r="K2169">
        <v>0</v>
      </c>
      <c r="L2169">
        <v>0</v>
      </c>
      <c r="M2169" t="s">
        <v>25</v>
      </c>
      <c r="N2169" t="s">
        <v>25</v>
      </c>
      <c r="O2169" t="s">
        <v>26</v>
      </c>
      <c r="P2169" t="s">
        <v>25</v>
      </c>
      <c r="Q2169" t="s">
        <v>238</v>
      </c>
      <c r="R2169" t="s">
        <v>892</v>
      </c>
      <c r="S2169" t="s">
        <v>238</v>
      </c>
      <c r="T2169" t="s">
        <v>892</v>
      </c>
    </row>
    <row r="2170" spans="1:20">
      <c r="A2170">
        <v>2180</v>
      </c>
      <c r="B2170" t="s">
        <v>2414</v>
      </c>
      <c r="C2170" t="s">
        <v>21</v>
      </c>
      <c r="D2170" t="s">
        <v>22</v>
      </c>
      <c r="E2170" t="s">
        <v>23</v>
      </c>
      <c r="F2170">
        <v>0</v>
      </c>
      <c r="G2170">
        <v>19</v>
      </c>
      <c r="H2170">
        <v>0</v>
      </c>
      <c r="I2170" t="s">
        <v>24</v>
      </c>
      <c r="J2170" t="s">
        <v>25</v>
      </c>
      <c r="K2170">
        <v>0</v>
      </c>
      <c r="L2170">
        <v>0</v>
      </c>
      <c r="M2170" t="s">
        <v>25</v>
      </c>
      <c r="N2170" t="s">
        <v>25</v>
      </c>
      <c r="O2170" t="s">
        <v>26</v>
      </c>
      <c r="P2170" t="s">
        <v>25</v>
      </c>
      <c r="Q2170" t="s">
        <v>238</v>
      </c>
      <c r="R2170" t="s">
        <v>892</v>
      </c>
      <c r="S2170" t="s">
        <v>238</v>
      </c>
      <c r="T2170" t="s">
        <v>892</v>
      </c>
    </row>
    <row r="2171" spans="1:20">
      <c r="A2171">
        <v>2181</v>
      </c>
      <c r="B2171" t="s">
        <v>2415</v>
      </c>
      <c r="C2171" t="s">
        <v>21</v>
      </c>
      <c r="D2171" t="s">
        <v>22</v>
      </c>
      <c r="E2171" t="s">
        <v>23</v>
      </c>
      <c r="F2171">
        <v>0</v>
      </c>
      <c r="G2171">
        <v>19</v>
      </c>
      <c r="H2171">
        <v>0</v>
      </c>
      <c r="I2171" t="s">
        <v>24</v>
      </c>
      <c r="J2171" t="s">
        <v>25</v>
      </c>
      <c r="K2171">
        <v>0</v>
      </c>
      <c r="L2171">
        <v>0</v>
      </c>
      <c r="M2171" t="s">
        <v>25</v>
      </c>
      <c r="N2171" t="s">
        <v>25</v>
      </c>
      <c r="O2171" t="s">
        <v>26</v>
      </c>
      <c r="P2171" t="s">
        <v>25</v>
      </c>
      <c r="Q2171" t="s">
        <v>238</v>
      </c>
      <c r="R2171" t="s">
        <v>892</v>
      </c>
      <c r="S2171" t="s">
        <v>238</v>
      </c>
      <c r="T2171" t="s">
        <v>892</v>
      </c>
    </row>
    <row r="2172" spans="1:20">
      <c r="A2172">
        <v>2182</v>
      </c>
      <c r="B2172" t="s">
        <v>2416</v>
      </c>
      <c r="C2172" t="s">
        <v>21</v>
      </c>
      <c r="D2172" t="s">
        <v>32</v>
      </c>
      <c r="E2172" t="s">
        <v>23</v>
      </c>
      <c r="F2172">
        <v>0</v>
      </c>
      <c r="G2172">
        <v>19</v>
      </c>
      <c r="H2172">
        <v>0</v>
      </c>
      <c r="I2172" t="s">
        <v>24</v>
      </c>
      <c r="J2172" t="s">
        <v>25</v>
      </c>
      <c r="K2172">
        <v>0</v>
      </c>
      <c r="L2172">
        <v>0</v>
      </c>
      <c r="M2172" t="s">
        <v>25</v>
      </c>
      <c r="N2172" t="s">
        <v>25</v>
      </c>
      <c r="O2172" t="s">
        <v>26</v>
      </c>
      <c r="P2172" t="s">
        <v>25</v>
      </c>
      <c r="Q2172" t="s">
        <v>238</v>
      </c>
      <c r="R2172" t="s">
        <v>892</v>
      </c>
      <c r="S2172" t="s">
        <v>238</v>
      </c>
      <c r="T2172" t="s">
        <v>892</v>
      </c>
    </row>
    <row r="2173" spans="1:20">
      <c r="A2173">
        <v>2183</v>
      </c>
      <c r="B2173" t="s">
        <v>2417</v>
      </c>
      <c r="C2173" t="s">
        <v>21</v>
      </c>
      <c r="D2173" t="s">
        <v>32</v>
      </c>
      <c r="E2173" t="s">
        <v>23</v>
      </c>
      <c r="F2173">
        <v>0</v>
      </c>
      <c r="G2173">
        <v>19</v>
      </c>
      <c r="H2173">
        <v>0</v>
      </c>
      <c r="I2173" t="s">
        <v>24</v>
      </c>
      <c r="J2173" t="s">
        <v>25</v>
      </c>
      <c r="K2173">
        <v>0</v>
      </c>
      <c r="L2173">
        <v>0</v>
      </c>
      <c r="M2173" t="s">
        <v>25</v>
      </c>
      <c r="N2173" t="s">
        <v>25</v>
      </c>
      <c r="O2173" t="s">
        <v>26</v>
      </c>
      <c r="P2173" t="s">
        <v>25</v>
      </c>
      <c r="Q2173" t="s">
        <v>238</v>
      </c>
      <c r="R2173" t="s">
        <v>892</v>
      </c>
      <c r="S2173" t="s">
        <v>238</v>
      </c>
      <c r="T2173" t="s">
        <v>892</v>
      </c>
    </row>
    <row r="2174" spans="1:20">
      <c r="A2174">
        <v>2184</v>
      </c>
      <c r="B2174" t="s">
        <v>2418</v>
      </c>
      <c r="C2174" t="s">
        <v>21</v>
      </c>
      <c r="D2174" t="s">
        <v>22</v>
      </c>
      <c r="E2174" t="s">
        <v>23</v>
      </c>
      <c r="F2174">
        <v>17600</v>
      </c>
      <c r="G2174">
        <v>19</v>
      </c>
      <c r="H2174">
        <v>20944</v>
      </c>
      <c r="I2174" t="s">
        <v>24</v>
      </c>
      <c r="J2174" t="s">
        <v>25</v>
      </c>
      <c r="K2174">
        <v>0</v>
      </c>
      <c r="L2174">
        <v>0</v>
      </c>
      <c r="M2174" t="s">
        <v>25</v>
      </c>
      <c r="N2174" t="s">
        <v>25</v>
      </c>
      <c r="O2174" t="s">
        <v>26</v>
      </c>
      <c r="P2174" t="s">
        <v>25</v>
      </c>
      <c r="Q2174" t="s">
        <v>238</v>
      </c>
      <c r="R2174" t="s">
        <v>892</v>
      </c>
      <c r="S2174" t="s">
        <v>51</v>
      </c>
      <c r="T2174" t="s">
        <v>52</v>
      </c>
    </row>
    <row r="2175" spans="1:20">
      <c r="A2175">
        <v>2185</v>
      </c>
      <c r="B2175" t="s">
        <v>2419</v>
      </c>
      <c r="C2175" t="s">
        <v>21</v>
      </c>
      <c r="D2175" t="s">
        <v>22</v>
      </c>
      <c r="E2175" t="s">
        <v>23</v>
      </c>
      <c r="F2175">
        <v>31900</v>
      </c>
      <c r="G2175">
        <v>19</v>
      </c>
      <c r="H2175">
        <v>37961</v>
      </c>
      <c r="I2175" t="s">
        <v>24</v>
      </c>
      <c r="J2175" t="s">
        <v>25</v>
      </c>
      <c r="K2175">
        <v>0</v>
      </c>
      <c r="L2175">
        <v>0</v>
      </c>
      <c r="M2175" t="s">
        <v>25</v>
      </c>
      <c r="N2175" t="s">
        <v>25</v>
      </c>
      <c r="O2175" t="s">
        <v>26</v>
      </c>
      <c r="P2175" t="s">
        <v>25</v>
      </c>
      <c r="Q2175" t="s">
        <v>238</v>
      </c>
      <c r="R2175" t="s">
        <v>892</v>
      </c>
      <c r="S2175" t="s">
        <v>51</v>
      </c>
      <c r="T2175" t="s">
        <v>52</v>
      </c>
    </row>
    <row r="2176" spans="1:20">
      <c r="A2176">
        <v>2186</v>
      </c>
      <c r="B2176" t="s">
        <v>2420</v>
      </c>
      <c r="C2176" t="s">
        <v>21</v>
      </c>
      <c r="D2176" t="s">
        <v>851</v>
      </c>
      <c r="E2176" t="s">
        <v>23</v>
      </c>
      <c r="F2176">
        <v>0</v>
      </c>
      <c r="G2176">
        <v>19</v>
      </c>
      <c r="H2176">
        <v>0</v>
      </c>
      <c r="I2176" t="s">
        <v>24</v>
      </c>
      <c r="J2176" t="s">
        <v>25</v>
      </c>
      <c r="K2176">
        <v>0</v>
      </c>
      <c r="L2176">
        <v>0</v>
      </c>
      <c r="M2176" t="s">
        <v>25</v>
      </c>
      <c r="N2176" t="s">
        <v>25</v>
      </c>
      <c r="O2176" t="s">
        <v>26</v>
      </c>
      <c r="P2176" t="s">
        <v>25</v>
      </c>
      <c r="Q2176" t="s">
        <v>238</v>
      </c>
      <c r="R2176" t="s">
        <v>892</v>
      </c>
    </row>
    <row r="2177" spans="1:20">
      <c r="A2177">
        <v>2187</v>
      </c>
      <c r="B2177" t="s">
        <v>2421</v>
      </c>
      <c r="C2177" t="s">
        <v>21</v>
      </c>
      <c r="D2177" t="s">
        <v>302</v>
      </c>
      <c r="E2177" t="s">
        <v>23</v>
      </c>
      <c r="F2177">
        <v>0</v>
      </c>
      <c r="G2177">
        <v>19</v>
      </c>
      <c r="H2177">
        <v>0</v>
      </c>
      <c r="I2177" t="s">
        <v>24</v>
      </c>
      <c r="J2177" t="s">
        <v>25</v>
      </c>
      <c r="K2177">
        <v>0</v>
      </c>
      <c r="L2177">
        <v>0</v>
      </c>
      <c r="M2177" t="s">
        <v>25</v>
      </c>
      <c r="N2177" t="s">
        <v>25</v>
      </c>
      <c r="O2177" t="s">
        <v>26</v>
      </c>
      <c r="P2177" t="s">
        <v>25</v>
      </c>
      <c r="Q2177" t="s">
        <v>238</v>
      </c>
      <c r="R2177" t="s">
        <v>892</v>
      </c>
    </row>
    <row r="2178" spans="1:20">
      <c r="A2178">
        <v>2188</v>
      </c>
      <c r="B2178" t="s">
        <v>2422</v>
      </c>
      <c r="C2178" t="s">
        <v>21</v>
      </c>
      <c r="D2178" t="s">
        <v>22</v>
      </c>
      <c r="E2178" t="s">
        <v>23</v>
      </c>
      <c r="F2178">
        <v>1150</v>
      </c>
      <c r="G2178">
        <v>19</v>
      </c>
      <c r="H2178">
        <v>1368.5</v>
      </c>
      <c r="I2178" t="s">
        <v>24</v>
      </c>
      <c r="J2178" t="s">
        <v>25</v>
      </c>
      <c r="K2178">
        <v>0</v>
      </c>
      <c r="L2178">
        <v>0</v>
      </c>
      <c r="M2178" t="s">
        <v>25</v>
      </c>
      <c r="N2178" t="s">
        <v>25</v>
      </c>
      <c r="O2178" t="s">
        <v>26</v>
      </c>
      <c r="P2178" t="s">
        <v>25</v>
      </c>
      <c r="Q2178" t="s">
        <v>238</v>
      </c>
      <c r="R2178" t="s">
        <v>892</v>
      </c>
      <c r="S2178" t="s">
        <v>51</v>
      </c>
      <c r="T2178" t="s">
        <v>935</v>
      </c>
    </row>
    <row r="2179" spans="1:20">
      <c r="A2179">
        <v>2189</v>
      </c>
      <c r="B2179" t="s">
        <v>2423</v>
      </c>
      <c r="C2179" t="s">
        <v>21</v>
      </c>
      <c r="D2179" t="s">
        <v>22</v>
      </c>
      <c r="E2179" t="s">
        <v>23</v>
      </c>
      <c r="F2179">
        <v>990000</v>
      </c>
      <c r="G2179">
        <v>19</v>
      </c>
      <c r="H2179">
        <v>1178100</v>
      </c>
      <c r="I2179" t="s">
        <v>24</v>
      </c>
      <c r="J2179" t="s">
        <v>25</v>
      </c>
      <c r="K2179">
        <v>0</v>
      </c>
      <c r="L2179">
        <v>0</v>
      </c>
      <c r="M2179" t="s">
        <v>25</v>
      </c>
      <c r="N2179" t="s">
        <v>25</v>
      </c>
      <c r="O2179" t="s">
        <v>26</v>
      </c>
      <c r="P2179" t="s">
        <v>25</v>
      </c>
      <c r="Q2179" t="s">
        <v>51</v>
      </c>
      <c r="R2179" t="s">
        <v>892</v>
      </c>
    </row>
    <row r="2180" spans="1:20">
      <c r="A2180">
        <v>2190</v>
      </c>
      <c r="B2180" t="s">
        <v>2424</v>
      </c>
      <c r="C2180" t="s">
        <v>21</v>
      </c>
      <c r="D2180" t="s">
        <v>22</v>
      </c>
      <c r="E2180" t="s">
        <v>23</v>
      </c>
      <c r="F2180">
        <v>0</v>
      </c>
      <c r="G2180">
        <v>0</v>
      </c>
      <c r="H2180">
        <v>0</v>
      </c>
      <c r="I2180" t="s">
        <v>24</v>
      </c>
      <c r="J2180" t="s">
        <v>25</v>
      </c>
      <c r="K2180">
        <v>0</v>
      </c>
      <c r="L2180">
        <v>0</v>
      </c>
      <c r="M2180" t="s">
        <v>25</v>
      </c>
      <c r="N2180" t="s">
        <v>25</v>
      </c>
      <c r="O2180" t="s">
        <v>26</v>
      </c>
      <c r="P2180" t="s">
        <v>25</v>
      </c>
      <c r="Q2180" t="s">
        <v>51</v>
      </c>
      <c r="R2180" t="s">
        <v>892</v>
      </c>
    </row>
    <row r="2181" spans="1:20">
      <c r="A2181">
        <v>2191</v>
      </c>
      <c r="B2181" t="s">
        <v>2425</v>
      </c>
      <c r="C2181" t="s">
        <v>21</v>
      </c>
      <c r="D2181" t="s">
        <v>22</v>
      </c>
      <c r="E2181" t="s">
        <v>23</v>
      </c>
      <c r="F2181">
        <v>0</v>
      </c>
      <c r="G2181">
        <v>0</v>
      </c>
      <c r="H2181">
        <v>0</v>
      </c>
      <c r="I2181" t="s">
        <v>24</v>
      </c>
      <c r="J2181" t="s">
        <v>25</v>
      </c>
      <c r="K2181">
        <v>0</v>
      </c>
      <c r="L2181">
        <v>0</v>
      </c>
      <c r="M2181" t="s">
        <v>25</v>
      </c>
      <c r="N2181" t="s">
        <v>25</v>
      </c>
      <c r="O2181" t="s">
        <v>26</v>
      </c>
      <c r="P2181" t="s">
        <v>25</v>
      </c>
      <c r="Q2181" t="s">
        <v>51</v>
      </c>
      <c r="R2181" t="s">
        <v>992</v>
      </c>
    </row>
    <row r="2182" spans="1:20">
      <c r="A2182">
        <v>2192</v>
      </c>
      <c r="B2182" t="s">
        <v>2426</v>
      </c>
      <c r="C2182" t="s">
        <v>21</v>
      </c>
      <c r="D2182" t="s">
        <v>22</v>
      </c>
      <c r="E2182" t="s">
        <v>23</v>
      </c>
      <c r="F2182">
        <v>0</v>
      </c>
      <c r="G2182">
        <v>19</v>
      </c>
      <c r="H2182">
        <v>0</v>
      </c>
      <c r="I2182" t="s">
        <v>24</v>
      </c>
      <c r="J2182" t="s">
        <v>25</v>
      </c>
      <c r="K2182">
        <v>0</v>
      </c>
      <c r="L2182">
        <v>0</v>
      </c>
      <c r="M2182" t="s">
        <v>25</v>
      </c>
      <c r="N2182" t="s">
        <v>25</v>
      </c>
      <c r="O2182" t="s">
        <v>26</v>
      </c>
      <c r="P2182" t="s">
        <v>25</v>
      </c>
      <c r="Q2182" t="s">
        <v>238</v>
      </c>
      <c r="R2182" t="s">
        <v>992</v>
      </c>
    </row>
    <row r="2183" spans="1:20">
      <c r="A2183">
        <v>2193</v>
      </c>
      <c r="B2183" t="s">
        <v>2427</v>
      </c>
      <c r="C2183" t="s">
        <v>21</v>
      </c>
      <c r="D2183" t="s">
        <v>22</v>
      </c>
      <c r="E2183" t="s">
        <v>23</v>
      </c>
      <c r="F2183">
        <v>0</v>
      </c>
      <c r="G2183">
        <v>19</v>
      </c>
      <c r="H2183">
        <v>0</v>
      </c>
      <c r="I2183" t="s">
        <v>24</v>
      </c>
      <c r="J2183" t="s">
        <v>25</v>
      </c>
      <c r="K2183">
        <v>0</v>
      </c>
      <c r="L2183">
        <v>0</v>
      </c>
      <c r="M2183" t="s">
        <v>25</v>
      </c>
      <c r="N2183" t="s">
        <v>25</v>
      </c>
      <c r="O2183" t="s">
        <v>26</v>
      </c>
      <c r="P2183" t="s">
        <v>25</v>
      </c>
      <c r="Q2183" t="s">
        <v>238</v>
      </c>
      <c r="R2183" t="s">
        <v>992</v>
      </c>
    </row>
    <row r="2184" spans="1:20">
      <c r="A2184">
        <v>2194</v>
      </c>
      <c r="B2184" t="s">
        <v>2428</v>
      </c>
      <c r="C2184" t="s">
        <v>21</v>
      </c>
      <c r="D2184" t="s">
        <v>22</v>
      </c>
      <c r="E2184" t="s">
        <v>23</v>
      </c>
      <c r="F2184">
        <v>0</v>
      </c>
      <c r="G2184">
        <v>19</v>
      </c>
      <c r="H2184">
        <v>0</v>
      </c>
      <c r="I2184" t="s">
        <v>24</v>
      </c>
      <c r="J2184" t="s">
        <v>25</v>
      </c>
      <c r="K2184">
        <v>0</v>
      </c>
      <c r="L2184">
        <v>0</v>
      </c>
      <c r="M2184" t="s">
        <v>25</v>
      </c>
      <c r="N2184" t="s">
        <v>25</v>
      </c>
      <c r="O2184" t="s">
        <v>26</v>
      </c>
      <c r="P2184" t="s">
        <v>25</v>
      </c>
      <c r="Q2184" t="s">
        <v>238</v>
      </c>
      <c r="R2184" t="s">
        <v>992</v>
      </c>
    </row>
    <row r="2185" spans="1:20">
      <c r="A2185">
        <v>2195</v>
      </c>
      <c r="B2185" t="s">
        <v>2429</v>
      </c>
      <c r="C2185" t="s">
        <v>21</v>
      </c>
      <c r="D2185" t="s">
        <v>302</v>
      </c>
      <c r="E2185" t="s">
        <v>23</v>
      </c>
      <c r="F2185">
        <v>0</v>
      </c>
      <c r="G2185">
        <v>19</v>
      </c>
      <c r="H2185">
        <v>0</v>
      </c>
      <c r="I2185" t="s">
        <v>24</v>
      </c>
      <c r="J2185" t="s">
        <v>25</v>
      </c>
      <c r="K2185">
        <v>0</v>
      </c>
      <c r="L2185">
        <v>0</v>
      </c>
      <c r="M2185" t="s">
        <v>25</v>
      </c>
      <c r="N2185" t="s">
        <v>25</v>
      </c>
      <c r="O2185" t="s">
        <v>26</v>
      </c>
      <c r="P2185" t="s">
        <v>25</v>
      </c>
      <c r="Q2185" t="s">
        <v>238</v>
      </c>
      <c r="R2185" t="s">
        <v>992</v>
      </c>
    </row>
    <row r="2186" spans="1:20">
      <c r="A2186">
        <v>2196</v>
      </c>
      <c r="B2186" t="s">
        <v>2430</v>
      </c>
      <c r="C2186" t="s">
        <v>21</v>
      </c>
      <c r="D2186" t="s">
        <v>283</v>
      </c>
      <c r="E2186" t="s">
        <v>23</v>
      </c>
      <c r="F2186">
        <v>0</v>
      </c>
      <c r="G2186">
        <v>19</v>
      </c>
      <c r="H2186">
        <v>0</v>
      </c>
      <c r="I2186" t="s">
        <v>24</v>
      </c>
      <c r="J2186" t="s">
        <v>25</v>
      </c>
      <c r="K2186">
        <v>0</v>
      </c>
      <c r="L2186">
        <v>0</v>
      </c>
      <c r="M2186" t="s">
        <v>25</v>
      </c>
      <c r="N2186" t="s">
        <v>25</v>
      </c>
      <c r="O2186" t="s">
        <v>26</v>
      </c>
      <c r="P2186" t="s">
        <v>25</v>
      </c>
      <c r="Q2186" t="s">
        <v>238</v>
      </c>
      <c r="R2186" t="s">
        <v>992</v>
      </c>
    </row>
    <row r="2187" spans="1:20">
      <c r="A2187">
        <v>2197</v>
      </c>
      <c r="B2187" t="s">
        <v>2431</v>
      </c>
      <c r="C2187" t="s">
        <v>21</v>
      </c>
      <c r="D2187" t="s">
        <v>22</v>
      </c>
      <c r="E2187" t="s">
        <v>23</v>
      </c>
      <c r="F2187">
        <v>0</v>
      </c>
      <c r="G2187">
        <v>19</v>
      </c>
      <c r="H2187">
        <v>0</v>
      </c>
      <c r="I2187" t="s">
        <v>24</v>
      </c>
      <c r="J2187" t="s">
        <v>25</v>
      </c>
      <c r="K2187">
        <v>0</v>
      </c>
      <c r="L2187">
        <v>0</v>
      </c>
      <c r="M2187" t="s">
        <v>25</v>
      </c>
      <c r="N2187" t="s">
        <v>25</v>
      </c>
      <c r="O2187" t="s">
        <v>26</v>
      </c>
      <c r="P2187" t="s">
        <v>25</v>
      </c>
      <c r="Q2187" t="s">
        <v>238</v>
      </c>
      <c r="R2187" t="s">
        <v>992</v>
      </c>
    </row>
    <row r="2188" spans="1:20">
      <c r="A2188">
        <v>2198</v>
      </c>
      <c r="B2188" t="s">
        <v>2432</v>
      </c>
      <c r="C2188" t="s">
        <v>21</v>
      </c>
      <c r="D2188" t="s">
        <v>22</v>
      </c>
      <c r="E2188" t="s">
        <v>23</v>
      </c>
      <c r="F2188">
        <v>0</v>
      </c>
      <c r="G2188">
        <v>19</v>
      </c>
      <c r="H2188">
        <v>0</v>
      </c>
      <c r="I2188" t="s">
        <v>24</v>
      </c>
      <c r="J2188" t="s">
        <v>25</v>
      </c>
      <c r="K2188">
        <v>0</v>
      </c>
      <c r="L2188">
        <v>0</v>
      </c>
      <c r="M2188" t="s">
        <v>25</v>
      </c>
      <c r="N2188" t="s">
        <v>25</v>
      </c>
      <c r="O2188" t="s">
        <v>26</v>
      </c>
      <c r="P2188" t="s">
        <v>25</v>
      </c>
      <c r="Q2188" t="s">
        <v>238</v>
      </c>
      <c r="R2188" t="s">
        <v>992</v>
      </c>
    </row>
    <row r="2189" spans="1:20">
      <c r="A2189">
        <v>2199</v>
      </c>
      <c r="B2189" t="s">
        <v>2433</v>
      </c>
      <c r="C2189" t="s">
        <v>21</v>
      </c>
      <c r="D2189" t="s">
        <v>22</v>
      </c>
      <c r="E2189" t="s">
        <v>23</v>
      </c>
      <c r="F2189">
        <v>0</v>
      </c>
      <c r="G2189">
        <v>19</v>
      </c>
      <c r="H2189">
        <v>0</v>
      </c>
      <c r="I2189" t="s">
        <v>24</v>
      </c>
      <c r="J2189" t="s">
        <v>25</v>
      </c>
      <c r="K2189">
        <v>0</v>
      </c>
      <c r="L2189">
        <v>0</v>
      </c>
      <c r="M2189" t="s">
        <v>25</v>
      </c>
      <c r="N2189" t="s">
        <v>25</v>
      </c>
      <c r="O2189" t="s">
        <v>26</v>
      </c>
      <c r="P2189" t="s">
        <v>25</v>
      </c>
      <c r="Q2189" t="s">
        <v>238</v>
      </c>
      <c r="R2189" t="s">
        <v>992</v>
      </c>
    </row>
    <row r="2190" spans="1:20">
      <c r="A2190">
        <v>2200</v>
      </c>
      <c r="B2190" t="s">
        <v>2434</v>
      </c>
      <c r="C2190" t="s">
        <v>21</v>
      </c>
      <c r="D2190" t="s">
        <v>22</v>
      </c>
      <c r="E2190" t="s">
        <v>23</v>
      </c>
      <c r="F2190">
        <v>0</v>
      </c>
      <c r="G2190">
        <v>19</v>
      </c>
      <c r="H2190">
        <v>0</v>
      </c>
      <c r="I2190" t="s">
        <v>24</v>
      </c>
      <c r="J2190" t="s">
        <v>25</v>
      </c>
      <c r="K2190">
        <v>0</v>
      </c>
      <c r="L2190">
        <v>0</v>
      </c>
      <c r="M2190" t="s">
        <v>25</v>
      </c>
      <c r="N2190" t="s">
        <v>25</v>
      </c>
      <c r="O2190" t="s">
        <v>26</v>
      </c>
      <c r="P2190" t="s">
        <v>25</v>
      </c>
      <c r="Q2190" t="s">
        <v>238</v>
      </c>
      <c r="R2190" t="s">
        <v>992</v>
      </c>
    </row>
    <row r="2191" spans="1:20">
      <c r="A2191">
        <v>2201</v>
      </c>
      <c r="B2191" t="s">
        <v>2435</v>
      </c>
      <c r="C2191" t="s">
        <v>21</v>
      </c>
      <c r="D2191" t="s">
        <v>22</v>
      </c>
      <c r="E2191" t="s">
        <v>23</v>
      </c>
      <c r="F2191">
        <v>0</v>
      </c>
      <c r="G2191">
        <v>19</v>
      </c>
      <c r="H2191">
        <v>0</v>
      </c>
      <c r="I2191" t="s">
        <v>24</v>
      </c>
      <c r="J2191" t="s">
        <v>25</v>
      </c>
      <c r="K2191">
        <v>0</v>
      </c>
      <c r="L2191">
        <v>0</v>
      </c>
      <c r="M2191" t="s">
        <v>25</v>
      </c>
      <c r="N2191" t="s">
        <v>25</v>
      </c>
      <c r="O2191" t="s">
        <v>26</v>
      </c>
      <c r="P2191" t="s">
        <v>25</v>
      </c>
      <c r="Q2191" t="s">
        <v>238</v>
      </c>
      <c r="R2191" t="s">
        <v>992</v>
      </c>
    </row>
    <row r="2192" spans="1:20">
      <c r="A2192">
        <v>2202</v>
      </c>
      <c r="B2192" t="s">
        <v>2436</v>
      </c>
      <c r="C2192" t="s">
        <v>21</v>
      </c>
      <c r="D2192" t="s">
        <v>283</v>
      </c>
      <c r="E2192" t="s">
        <v>23</v>
      </c>
      <c r="F2192">
        <v>0</v>
      </c>
      <c r="G2192">
        <v>19</v>
      </c>
      <c r="H2192">
        <v>0</v>
      </c>
      <c r="I2192" t="s">
        <v>24</v>
      </c>
      <c r="J2192" t="s">
        <v>25</v>
      </c>
      <c r="K2192">
        <v>0</v>
      </c>
      <c r="L2192">
        <v>0</v>
      </c>
      <c r="M2192" t="s">
        <v>25</v>
      </c>
      <c r="N2192" t="s">
        <v>25</v>
      </c>
      <c r="O2192" t="s">
        <v>26</v>
      </c>
      <c r="P2192" t="s">
        <v>25</v>
      </c>
      <c r="Q2192" t="s">
        <v>238</v>
      </c>
      <c r="R2192" t="s">
        <v>992</v>
      </c>
    </row>
    <row r="2193" spans="1:20">
      <c r="A2193">
        <v>2203</v>
      </c>
      <c r="B2193" t="s">
        <v>2437</v>
      </c>
      <c r="C2193" t="s">
        <v>21</v>
      </c>
      <c r="D2193" t="s">
        <v>283</v>
      </c>
      <c r="E2193" t="s">
        <v>23</v>
      </c>
      <c r="F2193">
        <v>0</v>
      </c>
      <c r="G2193">
        <v>19</v>
      </c>
      <c r="H2193">
        <v>0</v>
      </c>
      <c r="I2193" t="s">
        <v>24</v>
      </c>
      <c r="J2193" t="s">
        <v>25</v>
      </c>
      <c r="K2193">
        <v>0</v>
      </c>
      <c r="L2193">
        <v>0</v>
      </c>
      <c r="M2193" t="s">
        <v>25</v>
      </c>
      <c r="N2193" t="s">
        <v>25</v>
      </c>
      <c r="O2193" t="s">
        <v>26</v>
      </c>
      <c r="P2193" t="s">
        <v>25</v>
      </c>
      <c r="Q2193" t="s">
        <v>238</v>
      </c>
      <c r="R2193" t="s">
        <v>992</v>
      </c>
    </row>
    <row r="2194" spans="1:20">
      <c r="A2194">
        <v>2204</v>
      </c>
      <c r="B2194" t="s">
        <v>2438</v>
      </c>
      <c r="C2194" t="s">
        <v>21</v>
      </c>
      <c r="D2194" t="s">
        <v>22</v>
      </c>
      <c r="E2194" t="s">
        <v>23</v>
      </c>
      <c r="F2194">
        <v>0</v>
      </c>
      <c r="G2194">
        <v>19</v>
      </c>
      <c r="H2194">
        <v>0</v>
      </c>
      <c r="I2194" t="s">
        <v>24</v>
      </c>
      <c r="J2194" t="s">
        <v>25</v>
      </c>
      <c r="K2194">
        <v>0</v>
      </c>
      <c r="L2194">
        <v>0</v>
      </c>
      <c r="M2194" t="s">
        <v>25</v>
      </c>
      <c r="N2194" t="s">
        <v>25</v>
      </c>
      <c r="O2194" t="s">
        <v>26</v>
      </c>
      <c r="P2194" t="s">
        <v>25</v>
      </c>
      <c r="Q2194" t="s">
        <v>238</v>
      </c>
      <c r="R2194" t="s">
        <v>992</v>
      </c>
    </row>
    <row r="2195" spans="1:20">
      <c r="A2195">
        <v>2205</v>
      </c>
      <c r="B2195" t="s">
        <v>2439</v>
      </c>
      <c r="C2195" t="s">
        <v>21</v>
      </c>
      <c r="D2195" t="s">
        <v>32</v>
      </c>
      <c r="E2195" t="s">
        <v>23</v>
      </c>
      <c r="F2195">
        <v>0</v>
      </c>
      <c r="G2195">
        <v>19</v>
      </c>
      <c r="H2195">
        <v>0</v>
      </c>
      <c r="I2195" t="s">
        <v>24</v>
      </c>
      <c r="J2195" t="s">
        <v>25</v>
      </c>
      <c r="K2195">
        <v>0</v>
      </c>
      <c r="L2195">
        <v>0</v>
      </c>
      <c r="M2195" t="s">
        <v>25</v>
      </c>
      <c r="N2195" t="s">
        <v>25</v>
      </c>
      <c r="O2195" t="s">
        <v>26</v>
      </c>
      <c r="P2195" t="s">
        <v>25</v>
      </c>
      <c r="Q2195" t="s">
        <v>238</v>
      </c>
      <c r="R2195" t="s">
        <v>992</v>
      </c>
    </row>
    <row r="2196" spans="1:20">
      <c r="A2196">
        <v>2206</v>
      </c>
      <c r="B2196" t="s">
        <v>2440</v>
      </c>
      <c r="C2196" t="s">
        <v>21</v>
      </c>
      <c r="D2196" t="s">
        <v>32</v>
      </c>
      <c r="E2196" t="s">
        <v>23</v>
      </c>
      <c r="F2196">
        <v>0</v>
      </c>
      <c r="G2196">
        <v>19</v>
      </c>
      <c r="H2196">
        <v>0</v>
      </c>
      <c r="I2196" t="s">
        <v>24</v>
      </c>
      <c r="J2196" t="s">
        <v>25</v>
      </c>
      <c r="K2196">
        <v>0</v>
      </c>
      <c r="L2196">
        <v>0</v>
      </c>
      <c r="M2196" t="s">
        <v>25</v>
      </c>
      <c r="N2196" t="s">
        <v>25</v>
      </c>
      <c r="O2196" t="s">
        <v>26</v>
      </c>
      <c r="P2196" t="s">
        <v>25</v>
      </c>
      <c r="Q2196" t="s">
        <v>238</v>
      </c>
      <c r="R2196" t="s">
        <v>992</v>
      </c>
    </row>
    <row r="2197" spans="1:20">
      <c r="A2197">
        <v>2207</v>
      </c>
      <c r="B2197" t="s">
        <v>2441</v>
      </c>
      <c r="C2197" t="s">
        <v>21</v>
      </c>
      <c r="D2197" t="s">
        <v>22</v>
      </c>
      <c r="E2197" t="s">
        <v>23</v>
      </c>
      <c r="F2197">
        <v>0</v>
      </c>
      <c r="G2197">
        <v>19</v>
      </c>
      <c r="H2197">
        <v>0</v>
      </c>
      <c r="I2197" t="s">
        <v>24</v>
      </c>
      <c r="J2197" t="s">
        <v>25</v>
      </c>
      <c r="K2197">
        <v>0</v>
      </c>
      <c r="L2197">
        <v>0</v>
      </c>
      <c r="M2197" t="s">
        <v>25</v>
      </c>
      <c r="N2197" t="s">
        <v>25</v>
      </c>
      <c r="O2197" t="s">
        <v>26</v>
      </c>
      <c r="P2197" t="s">
        <v>25</v>
      </c>
      <c r="Q2197" t="s">
        <v>238</v>
      </c>
      <c r="R2197" t="s">
        <v>992</v>
      </c>
    </row>
    <row r="2198" spans="1:20">
      <c r="A2198">
        <v>2208</v>
      </c>
      <c r="B2198" t="s">
        <v>2442</v>
      </c>
      <c r="C2198" t="s">
        <v>21</v>
      </c>
      <c r="D2198" t="s">
        <v>22</v>
      </c>
      <c r="E2198" t="s">
        <v>23</v>
      </c>
      <c r="F2198">
        <v>0</v>
      </c>
      <c r="G2198">
        <v>19</v>
      </c>
      <c r="H2198">
        <v>0</v>
      </c>
      <c r="I2198" t="s">
        <v>24</v>
      </c>
      <c r="J2198" t="s">
        <v>25</v>
      </c>
      <c r="K2198">
        <v>0</v>
      </c>
      <c r="L2198">
        <v>0</v>
      </c>
      <c r="M2198" t="s">
        <v>25</v>
      </c>
      <c r="N2198" t="s">
        <v>25</v>
      </c>
      <c r="O2198" t="s">
        <v>26</v>
      </c>
      <c r="P2198" t="s">
        <v>25</v>
      </c>
      <c r="Q2198" t="s">
        <v>238</v>
      </c>
      <c r="R2198" t="s">
        <v>992</v>
      </c>
    </row>
    <row r="2199" spans="1:20">
      <c r="A2199">
        <v>2209</v>
      </c>
      <c r="B2199" t="s">
        <v>2443</v>
      </c>
      <c r="C2199" t="s">
        <v>21</v>
      </c>
      <c r="D2199" t="s">
        <v>22</v>
      </c>
      <c r="E2199" t="s">
        <v>23</v>
      </c>
      <c r="F2199">
        <v>0</v>
      </c>
      <c r="G2199">
        <v>19</v>
      </c>
      <c r="H2199">
        <v>0</v>
      </c>
      <c r="I2199" t="s">
        <v>24</v>
      </c>
      <c r="J2199" t="s">
        <v>25</v>
      </c>
      <c r="K2199">
        <v>0</v>
      </c>
      <c r="L2199">
        <v>0</v>
      </c>
      <c r="M2199" t="s">
        <v>25</v>
      </c>
      <c r="N2199" t="s">
        <v>25</v>
      </c>
      <c r="O2199" t="s">
        <v>26</v>
      </c>
      <c r="P2199" t="s">
        <v>25</v>
      </c>
      <c r="Q2199" t="s">
        <v>238</v>
      </c>
      <c r="R2199" t="s">
        <v>992</v>
      </c>
    </row>
    <row r="2200" spans="1:20">
      <c r="A2200">
        <v>2210</v>
      </c>
      <c r="B2200" t="s">
        <v>2444</v>
      </c>
      <c r="C2200" t="s">
        <v>21</v>
      </c>
      <c r="D2200" t="s">
        <v>22</v>
      </c>
      <c r="E2200" t="s">
        <v>23</v>
      </c>
      <c r="F2200">
        <v>0</v>
      </c>
      <c r="G2200">
        <v>19</v>
      </c>
      <c r="H2200">
        <v>0</v>
      </c>
      <c r="I2200" t="s">
        <v>24</v>
      </c>
      <c r="J2200" t="s">
        <v>25</v>
      </c>
      <c r="K2200">
        <v>0</v>
      </c>
      <c r="L2200">
        <v>0</v>
      </c>
      <c r="M2200" t="s">
        <v>25</v>
      </c>
      <c r="N2200" t="s">
        <v>25</v>
      </c>
      <c r="O2200" t="s">
        <v>26</v>
      </c>
      <c r="P2200" t="s">
        <v>25</v>
      </c>
      <c r="Q2200" t="s">
        <v>238</v>
      </c>
      <c r="R2200" t="s">
        <v>992</v>
      </c>
      <c r="S2200" t="s">
        <v>238</v>
      </c>
      <c r="T2200" t="s">
        <v>992</v>
      </c>
    </row>
    <row r="2201" spans="1:20">
      <c r="A2201">
        <v>2211</v>
      </c>
      <c r="B2201" t="s">
        <v>2445</v>
      </c>
      <c r="C2201" t="s">
        <v>21</v>
      </c>
      <c r="D2201" t="s">
        <v>22</v>
      </c>
      <c r="E2201" t="s">
        <v>23</v>
      </c>
      <c r="F2201">
        <v>0</v>
      </c>
      <c r="G2201">
        <v>19</v>
      </c>
      <c r="H2201">
        <v>0</v>
      </c>
      <c r="I2201" t="s">
        <v>24</v>
      </c>
      <c r="J2201" t="s">
        <v>25</v>
      </c>
      <c r="K2201">
        <v>0</v>
      </c>
      <c r="L2201">
        <v>0</v>
      </c>
      <c r="M2201" t="s">
        <v>25</v>
      </c>
      <c r="N2201" t="s">
        <v>25</v>
      </c>
      <c r="O2201" t="s">
        <v>26</v>
      </c>
      <c r="P2201" t="s">
        <v>25</v>
      </c>
      <c r="Q2201" t="s">
        <v>238</v>
      </c>
      <c r="R2201" t="s">
        <v>992</v>
      </c>
    </row>
    <row r="2202" spans="1:20">
      <c r="A2202">
        <v>2212</v>
      </c>
      <c r="B2202" t="s">
        <v>2446</v>
      </c>
      <c r="C2202" t="s">
        <v>21</v>
      </c>
      <c r="D2202" t="s">
        <v>22</v>
      </c>
      <c r="E2202" t="s">
        <v>23</v>
      </c>
      <c r="F2202">
        <v>0</v>
      </c>
      <c r="G2202">
        <v>19</v>
      </c>
      <c r="H2202">
        <v>0</v>
      </c>
      <c r="I2202" t="s">
        <v>24</v>
      </c>
      <c r="J2202" t="s">
        <v>25</v>
      </c>
      <c r="K2202">
        <v>0</v>
      </c>
      <c r="L2202">
        <v>0</v>
      </c>
      <c r="M2202" t="s">
        <v>25</v>
      </c>
      <c r="N2202" t="s">
        <v>25</v>
      </c>
      <c r="O2202" t="s">
        <v>26</v>
      </c>
      <c r="P2202" t="s">
        <v>25</v>
      </c>
      <c r="Q2202" t="s">
        <v>238</v>
      </c>
      <c r="R2202" t="s">
        <v>992</v>
      </c>
    </row>
    <row r="2203" spans="1:20">
      <c r="A2203">
        <v>2213</v>
      </c>
      <c r="B2203" t="s">
        <v>2447</v>
      </c>
      <c r="C2203" t="s">
        <v>21</v>
      </c>
      <c r="D2203" t="s">
        <v>22</v>
      </c>
      <c r="E2203" t="s">
        <v>23</v>
      </c>
      <c r="F2203">
        <v>0</v>
      </c>
      <c r="G2203">
        <v>19</v>
      </c>
      <c r="H2203">
        <v>0</v>
      </c>
      <c r="I2203" t="s">
        <v>24</v>
      </c>
      <c r="J2203" t="s">
        <v>25</v>
      </c>
      <c r="K2203">
        <v>0</v>
      </c>
      <c r="L2203">
        <v>0</v>
      </c>
      <c r="M2203" t="s">
        <v>25</v>
      </c>
      <c r="N2203" t="s">
        <v>25</v>
      </c>
      <c r="O2203" t="s">
        <v>26</v>
      </c>
      <c r="P2203" t="s">
        <v>25</v>
      </c>
      <c r="Q2203" t="s">
        <v>238</v>
      </c>
      <c r="R2203" t="s">
        <v>992</v>
      </c>
    </row>
    <row r="2204" spans="1:20">
      <c r="A2204">
        <v>2214</v>
      </c>
      <c r="B2204" t="s">
        <v>2448</v>
      </c>
      <c r="C2204" t="s">
        <v>21</v>
      </c>
      <c r="D2204" t="s">
        <v>22</v>
      </c>
      <c r="E2204" t="s">
        <v>23</v>
      </c>
      <c r="F2204">
        <v>0</v>
      </c>
      <c r="G2204">
        <v>19</v>
      </c>
      <c r="H2204">
        <v>0</v>
      </c>
      <c r="I2204" t="s">
        <v>24</v>
      </c>
      <c r="J2204" t="s">
        <v>25</v>
      </c>
      <c r="K2204">
        <v>0</v>
      </c>
      <c r="L2204">
        <v>0</v>
      </c>
      <c r="M2204" t="s">
        <v>25</v>
      </c>
      <c r="N2204" t="s">
        <v>25</v>
      </c>
      <c r="O2204" t="s">
        <v>26</v>
      </c>
      <c r="P2204" t="s">
        <v>25</v>
      </c>
      <c r="Q2204" t="s">
        <v>238</v>
      </c>
      <c r="R2204" t="s">
        <v>992</v>
      </c>
    </row>
    <row r="2205" spans="1:20">
      <c r="A2205">
        <v>2215</v>
      </c>
      <c r="B2205" t="s">
        <v>2449</v>
      </c>
      <c r="C2205" t="s">
        <v>21</v>
      </c>
      <c r="D2205" t="s">
        <v>22</v>
      </c>
      <c r="E2205" t="s">
        <v>23</v>
      </c>
      <c r="F2205">
        <v>0</v>
      </c>
      <c r="G2205">
        <v>19</v>
      </c>
      <c r="H2205">
        <v>0</v>
      </c>
      <c r="I2205" t="s">
        <v>24</v>
      </c>
      <c r="J2205" t="s">
        <v>25</v>
      </c>
      <c r="K2205">
        <v>0</v>
      </c>
      <c r="L2205">
        <v>0</v>
      </c>
      <c r="M2205" t="s">
        <v>25</v>
      </c>
      <c r="N2205" t="s">
        <v>25</v>
      </c>
      <c r="O2205" t="s">
        <v>26</v>
      </c>
      <c r="P2205" t="s">
        <v>25</v>
      </c>
      <c r="Q2205" t="s">
        <v>238</v>
      </c>
      <c r="R2205" t="s">
        <v>992</v>
      </c>
    </row>
    <row r="2206" spans="1:20">
      <c r="A2206">
        <v>2216</v>
      </c>
      <c r="B2206" t="s">
        <v>2450</v>
      </c>
      <c r="C2206" t="s">
        <v>21</v>
      </c>
      <c r="D2206" t="s">
        <v>22</v>
      </c>
      <c r="E2206" t="s">
        <v>23</v>
      </c>
      <c r="F2206">
        <v>0</v>
      </c>
      <c r="G2206">
        <v>19</v>
      </c>
      <c r="H2206">
        <v>0</v>
      </c>
      <c r="I2206" t="s">
        <v>24</v>
      </c>
      <c r="J2206" t="s">
        <v>25</v>
      </c>
      <c r="K2206">
        <v>0</v>
      </c>
      <c r="L2206">
        <v>0</v>
      </c>
      <c r="M2206" t="s">
        <v>25</v>
      </c>
      <c r="N2206" t="s">
        <v>25</v>
      </c>
      <c r="O2206" t="s">
        <v>26</v>
      </c>
      <c r="P2206" t="s">
        <v>25</v>
      </c>
      <c r="Q2206" t="s">
        <v>238</v>
      </c>
      <c r="R2206" t="s">
        <v>992</v>
      </c>
    </row>
    <row r="2207" spans="1:20">
      <c r="A2207">
        <v>2217</v>
      </c>
      <c r="B2207" t="s">
        <v>2451</v>
      </c>
      <c r="C2207" t="s">
        <v>21</v>
      </c>
      <c r="D2207" t="s">
        <v>22</v>
      </c>
      <c r="E2207" t="s">
        <v>23</v>
      </c>
      <c r="F2207">
        <v>0</v>
      </c>
      <c r="G2207">
        <v>19</v>
      </c>
      <c r="H2207">
        <v>0</v>
      </c>
      <c r="I2207" t="s">
        <v>24</v>
      </c>
      <c r="J2207" t="s">
        <v>25</v>
      </c>
      <c r="K2207">
        <v>0</v>
      </c>
      <c r="L2207">
        <v>0</v>
      </c>
      <c r="M2207" t="s">
        <v>25</v>
      </c>
      <c r="N2207" t="s">
        <v>25</v>
      </c>
      <c r="O2207" t="s">
        <v>26</v>
      </c>
      <c r="P2207" t="s">
        <v>25</v>
      </c>
      <c r="Q2207" t="s">
        <v>238</v>
      </c>
      <c r="R2207" t="s">
        <v>992</v>
      </c>
    </row>
    <row r="2208" spans="1:20">
      <c r="A2208">
        <v>2218</v>
      </c>
      <c r="B2208" t="s">
        <v>2452</v>
      </c>
      <c r="C2208" t="s">
        <v>21</v>
      </c>
      <c r="D2208" t="s">
        <v>22</v>
      </c>
      <c r="E2208" t="s">
        <v>23</v>
      </c>
      <c r="F2208">
        <v>0</v>
      </c>
      <c r="G2208">
        <v>19</v>
      </c>
      <c r="H2208">
        <v>0</v>
      </c>
      <c r="I2208" t="s">
        <v>24</v>
      </c>
      <c r="J2208" t="s">
        <v>25</v>
      </c>
      <c r="K2208">
        <v>0</v>
      </c>
      <c r="L2208">
        <v>0</v>
      </c>
      <c r="M2208" t="s">
        <v>25</v>
      </c>
      <c r="N2208" t="s">
        <v>25</v>
      </c>
      <c r="O2208" t="s">
        <v>26</v>
      </c>
      <c r="P2208" t="s">
        <v>25</v>
      </c>
      <c r="Q2208" t="s">
        <v>238</v>
      </c>
      <c r="R2208" t="s">
        <v>992</v>
      </c>
    </row>
    <row r="2209" spans="1:20">
      <c r="A2209">
        <v>2219</v>
      </c>
      <c r="B2209" t="s">
        <v>2453</v>
      </c>
      <c r="C2209" t="s">
        <v>21</v>
      </c>
      <c r="D2209" t="s">
        <v>22</v>
      </c>
      <c r="E2209" t="s">
        <v>23</v>
      </c>
      <c r="F2209">
        <v>0</v>
      </c>
      <c r="G2209">
        <v>19</v>
      </c>
      <c r="H2209">
        <v>0</v>
      </c>
      <c r="I2209" t="s">
        <v>24</v>
      </c>
      <c r="J2209" t="s">
        <v>25</v>
      </c>
      <c r="K2209">
        <v>0</v>
      </c>
      <c r="L2209">
        <v>0</v>
      </c>
      <c r="M2209" t="s">
        <v>25</v>
      </c>
      <c r="N2209" t="s">
        <v>25</v>
      </c>
      <c r="O2209" t="s">
        <v>26</v>
      </c>
      <c r="P2209" t="s">
        <v>25</v>
      </c>
      <c r="Q2209" t="s">
        <v>238</v>
      </c>
      <c r="R2209" t="s">
        <v>992</v>
      </c>
    </row>
    <row r="2210" spans="1:20">
      <c r="A2210">
        <v>2220</v>
      </c>
      <c r="B2210" t="s">
        <v>2454</v>
      </c>
      <c r="C2210" t="s">
        <v>21</v>
      </c>
      <c r="D2210" t="s">
        <v>22</v>
      </c>
      <c r="E2210" t="s">
        <v>23</v>
      </c>
      <c r="F2210">
        <v>0</v>
      </c>
      <c r="G2210">
        <v>19</v>
      </c>
      <c r="H2210">
        <v>0</v>
      </c>
      <c r="I2210" t="s">
        <v>24</v>
      </c>
      <c r="J2210" t="s">
        <v>25</v>
      </c>
      <c r="K2210">
        <v>0</v>
      </c>
      <c r="L2210">
        <v>0</v>
      </c>
      <c r="M2210" t="s">
        <v>25</v>
      </c>
      <c r="N2210" t="s">
        <v>25</v>
      </c>
      <c r="O2210" t="s">
        <v>26</v>
      </c>
      <c r="P2210" t="s">
        <v>25</v>
      </c>
      <c r="Q2210" t="s">
        <v>238</v>
      </c>
      <c r="R2210" t="s">
        <v>992</v>
      </c>
    </row>
    <row r="2211" spans="1:20">
      <c r="A2211">
        <v>2221</v>
      </c>
      <c r="B2211" t="s">
        <v>2455</v>
      </c>
      <c r="C2211" t="s">
        <v>21</v>
      </c>
      <c r="D2211" t="s">
        <v>22</v>
      </c>
      <c r="E2211" t="s">
        <v>23</v>
      </c>
      <c r="F2211">
        <v>0</v>
      </c>
      <c r="G2211">
        <v>19</v>
      </c>
      <c r="H2211">
        <v>0</v>
      </c>
      <c r="I2211" t="s">
        <v>24</v>
      </c>
      <c r="J2211" t="s">
        <v>25</v>
      </c>
      <c r="K2211">
        <v>0</v>
      </c>
      <c r="L2211">
        <v>0</v>
      </c>
      <c r="M2211" t="s">
        <v>25</v>
      </c>
      <c r="N2211" t="s">
        <v>25</v>
      </c>
      <c r="O2211" t="s">
        <v>26</v>
      </c>
      <c r="P2211" t="s">
        <v>25</v>
      </c>
      <c r="Q2211" t="s">
        <v>238</v>
      </c>
      <c r="R2211" t="s">
        <v>992</v>
      </c>
    </row>
    <row r="2212" spans="1:20">
      <c r="A2212">
        <v>2222</v>
      </c>
      <c r="B2212" t="s">
        <v>2456</v>
      </c>
      <c r="C2212" t="s">
        <v>21</v>
      </c>
      <c r="D2212" t="s">
        <v>22</v>
      </c>
      <c r="E2212" t="s">
        <v>23</v>
      </c>
      <c r="F2212">
        <v>0</v>
      </c>
      <c r="G2212">
        <v>19</v>
      </c>
      <c r="H2212">
        <v>0</v>
      </c>
      <c r="I2212" t="s">
        <v>24</v>
      </c>
      <c r="J2212" t="s">
        <v>25</v>
      </c>
      <c r="K2212">
        <v>0</v>
      </c>
      <c r="L2212">
        <v>0</v>
      </c>
      <c r="M2212" t="s">
        <v>25</v>
      </c>
      <c r="N2212" t="s">
        <v>25</v>
      </c>
      <c r="O2212" t="s">
        <v>26</v>
      </c>
      <c r="P2212" t="s">
        <v>25</v>
      </c>
      <c r="Q2212" t="s">
        <v>238</v>
      </c>
      <c r="R2212" t="s">
        <v>992</v>
      </c>
    </row>
    <row r="2213" spans="1:20">
      <c r="A2213">
        <v>2223</v>
      </c>
      <c r="B2213" t="s">
        <v>2457</v>
      </c>
      <c r="C2213" t="s">
        <v>21</v>
      </c>
      <c r="D2213" t="s">
        <v>22</v>
      </c>
      <c r="E2213" t="s">
        <v>23</v>
      </c>
      <c r="F2213">
        <v>0</v>
      </c>
      <c r="G2213">
        <v>19</v>
      </c>
      <c r="H2213">
        <v>0</v>
      </c>
      <c r="I2213" t="s">
        <v>24</v>
      </c>
      <c r="J2213" t="s">
        <v>25</v>
      </c>
      <c r="K2213">
        <v>0</v>
      </c>
      <c r="L2213">
        <v>0</v>
      </c>
      <c r="M2213" t="s">
        <v>25</v>
      </c>
      <c r="N2213" t="s">
        <v>25</v>
      </c>
      <c r="O2213" t="s">
        <v>26</v>
      </c>
      <c r="P2213" t="s">
        <v>25</v>
      </c>
      <c r="Q2213" t="s">
        <v>238</v>
      </c>
      <c r="R2213" t="s">
        <v>992</v>
      </c>
    </row>
    <row r="2214" spans="1:20">
      <c r="A2214">
        <v>2224</v>
      </c>
      <c r="B2214" t="s">
        <v>2458</v>
      </c>
      <c r="C2214" t="s">
        <v>21</v>
      </c>
      <c r="D2214" t="s">
        <v>22</v>
      </c>
      <c r="E2214" t="s">
        <v>23</v>
      </c>
      <c r="F2214">
        <v>0</v>
      </c>
      <c r="G2214">
        <v>19</v>
      </c>
      <c r="H2214">
        <v>0</v>
      </c>
      <c r="I2214" t="s">
        <v>24</v>
      </c>
      <c r="J2214" t="s">
        <v>25</v>
      </c>
      <c r="K2214">
        <v>0</v>
      </c>
      <c r="L2214">
        <v>0</v>
      </c>
      <c r="M2214" t="s">
        <v>25</v>
      </c>
      <c r="N2214" t="s">
        <v>25</v>
      </c>
      <c r="O2214" t="s">
        <v>26</v>
      </c>
      <c r="P2214" t="s">
        <v>25</v>
      </c>
      <c r="Q2214" t="s">
        <v>238</v>
      </c>
      <c r="R2214" t="s">
        <v>992</v>
      </c>
    </row>
    <row r="2215" spans="1:20">
      <c r="A2215">
        <v>2225</v>
      </c>
      <c r="B2215" t="s">
        <v>2459</v>
      </c>
      <c r="C2215" t="s">
        <v>21</v>
      </c>
      <c r="D2215" t="s">
        <v>22</v>
      </c>
      <c r="E2215" t="s">
        <v>23</v>
      </c>
      <c r="F2215">
        <v>0</v>
      </c>
      <c r="G2215">
        <v>19</v>
      </c>
      <c r="H2215">
        <v>0</v>
      </c>
      <c r="I2215" t="s">
        <v>24</v>
      </c>
      <c r="J2215" t="s">
        <v>25</v>
      </c>
      <c r="K2215">
        <v>0</v>
      </c>
      <c r="L2215">
        <v>0</v>
      </c>
      <c r="M2215" t="s">
        <v>25</v>
      </c>
      <c r="N2215" t="s">
        <v>25</v>
      </c>
      <c r="O2215" t="s">
        <v>26</v>
      </c>
      <c r="P2215" t="s">
        <v>25</v>
      </c>
      <c r="Q2215" t="s">
        <v>238</v>
      </c>
      <c r="R2215" t="s">
        <v>992</v>
      </c>
    </row>
    <row r="2216" spans="1:20">
      <c r="A2216">
        <v>2226</v>
      </c>
      <c r="B2216" t="s">
        <v>2460</v>
      </c>
      <c r="C2216" t="s">
        <v>21</v>
      </c>
      <c r="D2216" t="s">
        <v>22</v>
      </c>
      <c r="E2216" t="s">
        <v>23</v>
      </c>
      <c r="F2216">
        <v>0</v>
      </c>
      <c r="G2216">
        <v>19</v>
      </c>
      <c r="H2216">
        <v>0</v>
      </c>
      <c r="I2216" t="s">
        <v>24</v>
      </c>
      <c r="J2216" t="s">
        <v>25</v>
      </c>
      <c r="K2216">
        <v>0</v>
      </c>
      <c r="L2216">
        <v>0</v>
      </c>
      <c r="M2216" t="s">
        <v>25</v>
      </c>
      <c r="N2216" t="s">
        <v>25</v>
      </c>
      <c r="O2216" t="s">
        <v>26</v>
      </c>
      <c r="P2216" t="s">
        <v>25</v>
      </c>
      <c r="Q2216" t="s">
        <v>238</v>
      </c>
      <c r="R2216" t="s">
        <v>992</v>
      </c>
    </row>
    <row r="2217" spans="1:20">
      <c r="A2217">
        <v>2227</v>
      </c>
      <c r="B2217" t="s">
        <v>2461</v>
      </c>
      <c r="C2217" t="s">
        <v>21</v>
      </c>
      <c r="D2217" t="s">
        <v>22</v>
      </c>
      <c r="E2217" t="s">
        <v>23</v>
      </c>
      <c r="F2217">
        <v>0</v>
      </c>
      <c r="G2217">
        <v>19</v>
      </c>
      <c r="H2217">
        <v>0</v>
      </c>
      <c r="I2217" t="s">
        <v>24</v>
      </c>
      <c r="J2217" t="s">
        <v>25</v>
      </c>
      <c r="K2217">
        <v>0</v>
      </c>
      <c r="L2217">
        <v>0</v>
      </c>
      <c r="M2217" t="s">
        <v>25</v>
      </c>
      <c r="N2217" t="s">
        <v>25</v>
      </c>
      <c r="O2217" t="s">
        <v>26</v>
      </c>
      <c r="P2217" t="s">
        <v>25</v>
      </c>
      <c r="Q2217" t="s">
        <v>238</v>
      </c>
      <c r="R2217" t="s">
        <v>992</v>
      </c>
    </row>
    <row r="2218" spans="1:20">
      <c r="A2218">
        <v>2228</v>
      </c>
      <c r="B2218" t="s">
        <v>2462</v>
      </c>
      <c r="C2218" t="s">
        <v>21</v>
      </c>
      <c r="D2218" t="s">
        <v>22</v>
      </c>
      <c r="E2218" t="s">
        <v>23</v>
      </c>
      <c r="F2218">
        <v>0</v>
      </c>
      <c r="G2218">
        <v>19</v>
      </c>
      <c r="H2218">
        <v>0</v>
      </c>
      <c r="I2218" t="s">
        <v>24</v>
      </c>
      <c r="J2218" t="s">
        <v>25</v>
      </c>
      <c r="K2218">
        <v>0</v>
      </c>
      <c r="L2218">
        <v>0</v>
      </c>
      <c r="M2218" t="s">
        <v>25</v>
      </c>
      <c r="N2218" t="s">
        <v>25</v>
      </c>
      <c r="O2218" t="s">
        <v>26</v>
      </c>
      <c r="P2218" t="s">
        <v>25</v>
      </c>
      <c r="Q2218" t="s">
        <v>238</v>
      </c>
      <c r="R2218" t="s">
        <v>992</v>
      </c>
    </row>
    <row r="2219" spans="1:20">
      <c r="A2219">
        <v>2229</v>
      </c>
      <c r="B2219" t="s">
        <v>2463</v>
      </c>
      <c r="C2219" t="s">
        <v>21</v>
      </c>
      <c r="D2219" t="s">
        <v>22</v>
      </c>
      <c r="E2219" t="s">
        <v>23</v>
      </c>
      <c r="F2219">
        <v>88750</v>
      </c>
      <c r="G2219">
        <v>19</v>
      </c>
      <c r="H2219">
        <v>105612.5</v>
      </c>
      <c r="I2219" t="s">
        <v>24</v>
      </c>
      <c r="J2219" t="s">
        <v>25</v>
      </c>
      <c r="K2219">
        <v>0</v>
      </c>
      <c r="L2219">
        <v>0</v>
      </c>
      <c r="M2219" t="s">
        <v>25</v>
      </c>
      <c r="N2219" t="s">
        <v>25</v>
      </c>
      <c r="O2219" t="s">
        <v>26</v>
      </c>
      <c r="P2219" t="s">
        <v>25</v>
      </c>
      <c r="Q2219" t="s">
        <v>51</v>
      </c>
      <c r="R2219" t="s">
        <v>992</v>
      </c>
      <c r="S2219" t="s">
        <v>51</v>
      </c>
      <c r="T2219" t="s">
        <v>729</v>
      </c>
    </row>
    <row r="2220" spans="1:20">
      <c r="A2220">
        <v>2230</v>
      </c>
      <c r="B2220" t="s">
        <v>2464</v>
      </c>
      <c r="C2220" t="s">
        <v>21</v>
      </c>
      <c r="D2220" t="s">
        <v>283</v>
      </c>
      <c r="E2220" t="s">
        <v>23</v>
      </c>
      <c r="F2220">
        <v>44000</v>
      </c>
      <c r="G2220">
        <v>19</v>
      </c>
      <c r="H2220">
        <v>52360</v>
      </c>
      <c r="I2220" t="s">
        <v>24</v>
      </c>
      <c r="J2220" t="s">
        <v>25</v>
      </c>
      <c r="K2220">
        <v>0</v>
      </c>
      <c r="L2220">
        <v>0</v>
      </c>
      <c r="M2220" t="s">
        <v>25</v>
      </c>
      <c r="N2220" t="s">
        <v>25</v>
      </c>
      <c r="O2220" t="s">
        <v>26</v>
      </c>
      <c r="P2220" t="s">
        <v>25</v>
      </c>
      <c r="Q2220" t="s">
        <v>51</v>
      </c>
      <c r="R2220" t="s">
        <v>637</v>
      </c>
      <c r="S2220" t="s">
        <v>51</v>
      </c>
      <c r="T2220" t="s">
        <v>649</v>
      </c>
    </row>
    <row r="2221" spans="1:20">
      <c r="A2221">
        <v>2231</v>
      </c>
      <c r="B2221" t="s">
        <v>2465</v>
      </c>
      <c r="C2221" t="s">
        <v>21</v>
      </c>
      <c r="D2221" t="s">
        <v>22</v>
      </c>
      <c r="E2221" t="s">
        <v>23</v>
      </c>
      <c r="F2221">
        <v>5500</v>
      </c>
      <c r="G2221">
        <v>19</v>
      </c>
      <c r="H2221">
        <v>6545</v>
      </c>
      <c r="I2221" t="s">
        <v>24</v>
      </c>
      <c r="J2221" t="s">
        <v>25</v>
      </c>
      <c r="K2221">
        <v>0</v>
      </c>
      <c r="L2221">
        <v>0</v>
      </c>
      <c r="M2221" t="s">
        <v>25</v>
      </c>
      <c r="N2221" t="s">
        <v>25</v>
      </c>
      <c r="O2221" t="s">
        <v>26</v>
      </c>
      <c r="P2221" t="s">
        <v>25</v>
      </c>
      <c r="Q2221" t="s">
        <v>51</v>
      </c>
      <c r="R2221" t="s">
        <v>840</v>
      </c>
    </row>
    <row r="2222" spans="1:20">
      <c r="A2222">
        <v>2232</v>
      </c>
      <c r="B2222" t="s">
        <v>2466</v>
      </c>
      <c r="C2222" t="s">
        <v>21</v>
      </c>
      <c r="D2222" t="s">
        <v>22</v>
      </c>
      <c r="E2222" t="s">
        <v>23</v>
      </c>
      <c r="F2222">
        <v>106387</v>
      </c>
      <c r="G2222">
        <v>19</v>
      </c>
      <c r="H2222">
        <v>126600.53</v>
      </c>
      <c r="I2222" t="s">
        <v>24</v>
      </c>
      <c r="J2222" t="s">
        <v>25</v>
      </c>
      <c r="K2222">
        <v>0</v>
      </c>
      <c r="L2222">
        <v>0</v>
      </c>
      <c r="M2222" t="s">
        <v>25</v>
      </c>
      <c r="N2222" t="s">
        <v>25</v>
      </c>
      <c r="O2222" t="s">
        <v>26</v>
      </c>
      <c r="P2222" t="s">
        <v>25</v>
      </c>
      <c r="Q2222" t="s">
        <v>51</v>
      </c>
      <c r="R2222" t="s">
        <v>729</v>
      </c>
    </row>
    <row r="2223" spans="1:20">
      <c r="A2223">
        <v>2233</v>
      </c>
      <c r="B2223" t="s">
        <v>2467</v>
      </c>
      <c r="C2223" t="s">
        <v>21</v>
      </c>
      <c r="D2223" t="s">
        <v>22</v>
      </c>
      <c r="E2223" t="s">
        <v>23</v>
      </c>
      <c r="F2223">
        <v>71010</v>
      </c>
      <c r="G2223">
        <v>19</v>
      </c>
      <c r="H2223">
        <v>84501.9</v>
      </c>
      <c r="I2223" t="s">
        <v>24</v>
      </c>
      <c r="J2223" t="s">
        <v>25</v>
      </c>
      <c r="K2223">
        <v>0</v>
      </c>
      <c r="L2223">
        <v>0</v>
      </c>
      <c r="M2223" t="s">
        <v>25</v>
      </c>
      <c r="N2223" t="s">
        <v>25</v>
      </c>
      <c r="O2223" t="s">
        <v>26</v>
      </c>
      <c r="P2223" t="s">
        <v>25</v>
      </c>
      <c r="Q2223" t="s">
        <v>51</v>
      </c>
      <c r="R2223" t="s">
        <v>729</v>
      </c>
    </row>
    <row r="2224" spans="1:20">
      <c r="A2224">
        <v>2234</v>
      </c>
      <c r="B2224" t="s">
        <v>2468</v>
      </c>
      <c r="C2224" t="s">
        <v>21</v>
      </c>
      <c r="D2224" t="s">
        <v>22</v>
      </c>
      <c r="E2224" t="s">
        <v>23</v>
      </c>
      <c r="F2224">
        <v>795000</v>
      </c>
      <c r="G2224">
        <v>19</v>
      </c>
      <c r="H2224">
        <v>946050</v>
      </c>
      <c r="I2224" t="s">
        <v>24</v>
      </c>
      <c r="J2224" t="s">
        <v>25</v>
      </c>
      <c r="K2224">
        <v>0</v>
      </c>
      <c r="L2224">
        <v>0</v>
      </c>
      <c r="M2224" t="s">
        <v>25</v>
      </c>
      <c r="N2224" t="s">
        <v>25</v>
      </c>
      <c r="O2224" t="s">
        <v>26</v>
      </c>
      <c r="P2224" t="s">
        <v>25</v>
      </c>
      <c r="Q2224" t="s">
        <v>238</v>
      </c>
      <c r="R2224" t="s">
        <v>729</v>
      </c>
      <c r="S2224" t="s">
        <v>48</v>
      </c>
      <c r="T2224" t="s">
        <v>2469</v>
      </c>
    </row>
    <row r="2225" spans="1:20">
      <c r="A2225">
        <v>2235</v>
      </c>
      <c r="B2225" t="s">
        <v>2470</v>
      </c>
      <c r="C2225" t="s">
        <v>21</v>
      </c>
      <c r="D2225" t="s">
        <v>22</v>
      </c>
      <c r="E2225" t="s">
        <v>23</v>
      </c>
      <c r="F2225">
        <v>0</v>
      </c>
      <c r="G2225">
        <v>19</v>
      </c>
      <c r="H2225">
        <v>0</v>
      </c>
      <c r="I2225" t="s">
        <v>24</v>
      </c>
      <c r="J2225" t="s">
        <v>25</v>
      </c>
      <c r="K2225">
        <v>0</v>
      </c>
      <c r="L2225">
        <v>0</v>
      </c>
      <c r="M2225" t="s">
        <v>25</v>
      </c>
      <c r="N2225" t="s">
        <v>25</v>
      </c>
      <c r="O2225" t="s">
        <v>26</v>
      </c>
      <c r="P2225" t="s">
        <v>25</v>
      </c>
      <c r="Q2225" t="s">
        <v>238</v>
      </c>
      <c r="R2225" t="s">
        <v>792</v>
      </c>
    </row>
    <row r="2226" spans="1:20">
      <c r="A2226">
        <v>2236</v>
      </c>
      <c r="B2226" t="s">
        <v>2471</v>
      </c>
      <c r="C2226" t="s">
        <v>21</v>
      </c>
      <c r="D2226" t="s">
        <v>22</v>
      </c>
      <c r="E2226" t="s">
        <v>23</v>
      </c>
      <c r="F2226">
        <v>59160</v>
      </c>
      <c r="G2226">
        <v>19</v>
      </c>
      <c r="H2226">
        <v>70400.399999999994</v>
      </c>
      <c r="I2226" t="s">
        <v>24</v>
      </c>
      <c r="J2226" t="s">
        <v>25</v>
      </c>
      <c r="K2226">
        <v>0</v>
      </c>
      <c r="L2226">
        <v>0</v>
      </c>
      <c r="M2226" t="s">
        <v>25</v>
      </c>
      <c r="N2226" t="s">
        <v>25</v>
      </c>
      <c r="O2226" t="s">
        <v>26</v>
      </c>
      <c r="P2226" t="s">
        <v>25</v>
      </c>
      <c r="Q2226" t="s">
        <v>51</v>
      </c>
      <c r="R2226" t="s">
        <v>792</v>
      </c>
      <c r="S2226" t="s">
        <v>51</v>
      </c>
      <c r="T2226" t="s">
        <v>723</v>
      </c>
    </row>
    <row r="2227" spans="1:20">
      <c r="A2227">
        <v>2237</v>
      </c>
      <c r="B2227" t="s">
        <v>2472</v>
      </c>
      <c r="C2227" t="s">
        <v>21</v>
      </c>
      <c r="D2227" t="s">
        <v>22</v>
      </c>
      <c r="E2227" t="s">
        <v>23</v>
      </c>
      <c r="F2227">
        <v>946450</v>
      </c>
      <c r="G2227">
        <v>19</v>
      </c>
      <c r="H2227">
        <v>1126275.5</v>
      </c>
      <c r="I2227" t="s">
        <v>24</v>
      </c>
      <c r="J2227" t="s">
        <v>25</v>
      </c>
      <c r="K2227">
        <v>0</v>
      </c>
      <c r="L2227">
        <v>0</v>
      </c>
      <c r="M2227" t="s">
        <v>25</v>
      </c>
      <c r="N2227" t="s">
        <v>25</v>
      </c>
      <c r="O2227" t="s">
        <v>26</v>
      </c>
      <c r="P2227" t="s">
        <v>25</v>
      </c>
      <c r="Q2227" t="s">
        <v>51</v>
      </c>
      <c r="R2227" t="s">
        <v>792</v>
      </c>
      <c r="S2227" t="s">
        <v>51</v>
      </c>
      <c r="T2227" t="s">
        <v>792</v>
      </c>
    </row>
    <row r="2228" spans="1:20">
      <c r="A2228">
        <v>2238</v>
      </c>
      <c r="B2228" t="s">
        <v>2473</v>
      </c>
      <c r="C2228" t="s">
        <v>21</v>
      </c>
      <c r="D2228" t="s">
        <v>22</v>
      </c>
      <c r="E2228" t="s">
        <v>23</v>
      </c>
      <c r="F2228">
        <v>435380</v>
      </c>
      <c r="G2228">
        <v>19</v>
      </c>
      <c r="H2228">
        <v>518102.2</v>
      </c>
      <c r="I2228" t="s">
        <v>24</v>
      </c>
      <c r="J2228" t="s">
        <v>25</v>
      </c>
      <c r="K2228">
        <v>0</v>
      </c>
      <c r="L2228">
        <v>0</v>
      </c>
      <c r="M2228" t="s">
        <v>25</v>
      </c>
      <c r="N2228" t="s">
        <v>25</v>
      </c>
      <c r="O2228" t="s">
        <v>26</v>
      </c>
      <c r="P2228" t="s">
        <v>25</v>
      </c>
      <c r="Q2228" t="s">
        <v>51</v>
      </c>
      <c r="R2228" t="s">
        <v>792</v>
      </c>
      <c r="S2228" t="s">
        <v>51</v>
      </c>
      <c r="T2228" t="s">
        <v>792</v>
      </c>
    </row>
    <row r="2229" spans="1:20">
      <c r="A2229">
        <v>2239</v>
      </c>
      <c r="B2229" t="s">
        <v>2474</v>
      </c>
      <c r="C2229" t="s">
        <v>21</v>
      </c>
      <c r="D2229" t="s">
        <v>22</v>
      </c>
      <c r="E2229" t="s">
        <v>23</v>
      </c>
      <c r="F2229">
        <v>435380</v>
      </c>
      <c r="G2229">
        <v>19</v>
      </c>
      <c r="H2229">
        <v>518102.2</v>
      </c>
      <c r="I2229" t="s">
        <v>24</v>
      </c>
      <c r="J2229" t="s">
        <v>25</v>
      </c>
      <c r="K2229">
        <v>0</v>
      </c>
      <c r="L2229">
        <v>0</v>
      </c>
      <c r="M2229" t="s">
        <v>25</v>
      </c>
      <c r="N2229" t="s">
        <v>25</v>
      </c>
      <c r="O2229" t="s">
        <v>26</v>
      </c>
      <c r="P2229" t="s">
        <v>25</v>
      </c>
      <c r="Q2229" t="s">
        <v>51</v>
      </c>
      <c r="R2229" t="s">
        <v>792</v>
      </c>
      <c r="S2229" t="s">
        <v>51</v>
      </c>
      <c r="T2229" t="s">
        <v>792</v>
      </c>
    </row>
    <row r="2230" spans="1:20">
      <c r="A2230">
        <v>2240</v>
      </c>
      <c r="B2230" t="s">
        <v>2475</v>
      </c>
      <c r="C2230" t="s">
        <v>21</v>
      </c>
      <c r="D2230" t="s">
        <v>22</v>
      </c>
      <c r="E2230" t="s">
        <v>23</v>
      </c>
      <c r="F2230">
        <v>940148</v>
      </c>
      <c r="G2230">
        <v>19</v>
      </c>
      <c r="H2230">
        <v>1118776.1200000001</v>
      </c>
      <c r="I2230" t="s">
        <v>24</v>
      </c>
      <c r="J2230" t="s">
        <v>25</v>
      </c>
      <c r="K2230">
        <v>0</v>
      </c>
      <c r="L2230">
        <v>0</v>
      </c>
      <c r="M2230" t="s">
        <v>25</v>
      </c>
      <c r="N2230" t="s">
        <v>25</v>
      </c>
      <c r="O2230" t="s">
        <v>26</v>
      </c>
      <c r="P2230" t="s">
        <v>25</v>
      </c>
      <c r="Q2230" t="s">
        <v>51</v>
      </c>
      <c r="R2230" t="s">
        <v>792</v>
      </c>
    </row>
    <row r="2231" spans="1:20">
      <c r="A2231">
        <v>2241</v>
      </c>
      <c r="B2231" t="s">
        <v>2476</v>
      </c>
      <c r="C2231" t="s">
        <v>21</v>
      </c>
      <c r="D2231" t="s">
        <v>22</v>
      </c>
      <c r="E2231" t="s">
        <v>23</v>
      </c>
      <c r="F2231">
        <v>940148</v>
      </c>
      <c r="G2231">
        <v>19</v>
      </c>
      <c r="H2231">
        <v>1118776.1200000001</v>
      </c>
      <c r="I2231" t="s">
        <v>24</v>
      </c>
      <c r="J2231" t="s">
        <v>25</v>
      </c>
      <c r="K2231">
        <v>0</v>
      </c>
      <c r="L2231">
        <v>0</v>
      </c>
      <c r="M2231" t="s">
        <v>25</v>
      </c>
      <c r="N2231" t="s">
        <v>25</v>
      </c>
      <c r="O2231" t="s">
        <v>26</v>
      </c>
      <c r="P2231" t="s">
        <v>25</v>
      </c>
      <c r="Q2231" t="s">
        <v>51</v>
      </c>
      <c r="R2231" t="s">
        <v>792</v>
      </c>
    </row>
    <row r="2232" spans="1:20">
      <c r="A2232">
        <v>2242</v>
      </c>
      <c r="B2232" t="s">
        <v>2477</v>
      </c>
      <c r="C2232" t="s">
        <v>21</v>
      </c>
      <c r="D2232" t="s">
        <v>22</v>
      </c>
      <c r="E2232" t="s">
        <v>23</v>
      </c>
      <c r="F2232">
        <v>324814</v>
      </c>
      <c r="G2232">
        <v>19</v>
      </c>
      <c r="H2232">
        <v>386528.66</v>
      </c>
      <c r="I2232" t="s">
        <v>24</v>
      </c>
      <c r="J2232" t="s">
        <v>25</v>
      </c>
      <c r="K2232">
        <v>0</v>
      </c>
      <c r="L2232">
        <v>0</v>
      </c>
      <c r="M2232" t="s">
        <v>25</v>
      </c>
      <c r="N2232" t="s">
        <v>25</v>
      </c>
      <c r="O2232" t="s">
        <v>26</v>
      </c>
      <c r="P2232" t="s">
        <v>25</v>
      </c>
      <c r="Q2232" t="s">
        <v>51</v>
      </c>
      <c r="R2232" t="s">
        <v>792</v>
      </c>
      <c r="S2232" t="s">
        <v>51</v>
      </c>
      <c r="T2232" t="s">
        <v>792</v>
      </c>
    </row>
    <row r="2233" spans="1:20">
      <c r="A2233">
        <v>2243</v>
      </c>
      <c r="B2233" t="s">
        <v>2478</v>
      </c>
      <c r="C2233" t="s">
        <v>21</v>
      </c>
      <c r="D2233" t="s">
        <v>22</v>
      </c>
      <c r="E2233" t="s">
        <v>23</v>
      </c>
      <c r="F2233">
        <v>825986</v>
      </c>
      <c r="G2233">
        <v>19</v>
      </c>
      <c r="H2233">
        <v>982923.34</v>
      </c>
      <c r="I2233" t="s">
        <v>24</v>
      </c>
      <c r="J2233" t="s">
        <v>25</v>
      </c>
      <c r="K2233">
        <v>0</v>
      </c>
      <c r="L2233">
        <v>0</v>
      </c>
      <c r="M2233" t="s">
        <v>25</v>
      </c>
      <c r="N2233" t="s">
        <v>25</v>
      </c>
      <c r="O2233" t="s">
        <v>26</v>
      </c>
      <c r="P2233" t="s">
        <v>25</v>
      </c>
      <c r="Q2233" t="s">
        <v>51</v>
      </c>
      <c r="R2233" t="s">
        <v>792</v>
      </c>
    </row>
    <row r="2234" spans="1:20">
      <c r="A2234">
        <v>2244</v>
      </c>
      <c r="B2234" t="s">
        <v>2479</v>
      </c>
      <c r="C2234" t="s">
        <v>21</v>
      </c>
      <c r="D2234" t="s">
        <v>22</v>
      </c>
      <c r="E2234" t="s">
        <v>23</v>
      </c>
      <c r="F2234">
        <v>171887</v>
      </c>
      <c r="G2234">
        <v>19</v>
      </c>
      <c r="H2234">
        <v>204545.53</v>
      </c>
      <c r="I2234" t="s">
        <v>24</v>
      </c>
      <c r="J2234" t="s">
        <v>25</v>
      </c>
      <c r="K2234">
        <v>0</v>
      </c>
      <c r="L2234">
        <v>0</v>
      </c>
      <c r="M2234" t="s">
        <v>25</v>
      </c>
      <c r="N2234" t="s">
        <v>25</v>
      </c>
      <c r="O2234" t="s">
        <v>26</v>
      </c>
      <c r="P2234" t="s">
        <v>25</v>
      </c>
      <c r="Q2234" t="s">
        <v>51</v>
      </c>
      <c r="R2234" t="s">
        <v>792</v>
      </c>
    </row>
    <row r="2235" spans="1:20">
      <c r="A2235">
        <v>2245</v>
      </c>
      <c r="B2235" t="s">
        <v>2480</v>
      </c>
      <c r="C2235" t="s">
        <v>21</v>
      </c>
      <c r="D2235" t="s">
        <v>22</v>
      </c>
      <c r="E2235" t="s">
        <v>23</v>
      </c>
      <c r="F2235">
        <v>96692</v>
      </c>
      <c r="G2235">
        <v>19</v>
      </c>
      <c r="H2235">
        <v>115063.48</v>
      </c>
      <c r="I2235" t="s">
        <v>24</v>
      </c>
      <c r="J2235" t="s">
        <v>25</v>
      </c>
      <c r="K2235">
        <v>0</v>
      </c>
      <c r="L2235">
        <v>0</v>
      </c>
      <c r="M2235" t="s">
        <v>25</v>
      </c>
      <c r="N2235" t="s">
        <v>25</v>
      </c>
      <c r="O2235" t="s">
        <v>26</v>
      </c>
      <c r="P2235" t="s">
        <v>25</v>
      </c>
      <c r="Q2235" t="s">
        <v>51</v>
      </c>
      <c r="R2235" t="s">
        <v>792</v>
      </c>
    </row>
    <row r="2236" spans="1:20">
      <c r="A2236">
        <v>2246</v>
      </c>
      <c r="B2236" t="s">
        <v>2481</v>
      </c>
      <c r="C2236" t="s">
        <v>21</v>
      </c>
      <c r="D2236" t="s">
        <v>22</v>
      </c>
      <c r="E2236" t="s">
        <v>23</v>
      </c>
      <c r="F2236">
        <v>96692</v>
      </c>
      <c r="G2236">
        <v>19</v>
      </c>
      <c r="H2236">
        <v>115063.48</v>
      </c>
      <c r="I2236" t="s">
        <v>24</v>
      </c>
      <c r="J2236" t="s">
        <v>25</v>
      </c>
      <c r="K2236">
        <v>0</v>
      </c>
      <c r="L2236">
        <v>0</v>
      </c>
      <c r="M2236" t="s">
        <v>25</v>
      </c>
      <c r="N2236" t="s">
        <v>25</v>
      </c>
      <c r="O2236" t="s">
        <v>26</v>
      </c>
      <c r="P2236" t="s">
        <v>25</v>
      </c>
      <c r="Q2236" t="s">
        <v>51</v>
      </c>
      <c r="R2236" t="s">
        <v>792</v>
      </c>
    </row>
    <row r="2237" spans="1:20">
      <c r="A2237">
        <v>2247</v>
      </c>
      <c r="B2237" t="s">
        <v>2482</v>
      </c>
      <c r="C2237" t="s">
        <v>21</v>
      </c>
      <c r="D2237" t="s">
        <v>22</v>
      </c>
      <c r="E2237" t="s">
        <v>23</v>
      </c>
      <c r="F2237">
        <v>96692</v>
      </c>
      <c r="G2237">
        <v>19</v>
      </c>
      <c r="H2237">
        <v>115063.48</v>
      </c>
      <c r="I2237" t="s">
        <v>24</v>
      </c>
      <c r="J2237" t="s">
        <v>25</v>
      </c>
      <c r="K2237">
        <v>0</v>
      </c>
      <c r="L2237">
        <v>0</v>
      </c>
      <c r="M2237" t="s">
        <v>25</v>
      </c>
      <c r="N2237" t="s">
        <v>25</v>
      </c>
      <c r="O2237" t="s">
        <v>26</v>
      </c>
      <c r="P2237" t="s">
        <v>25</v>
      </c>
      <c r="Q2237" t="s">
        <v>51</v>
      </c>
      <c r="R2237" t="s">
        <v>792</v>
      </c>
    </row>
    <row r="2238" spans="1:20">
      <c r="A2238">
        <v>2248</v>
      </c>
      <c r="B2238" t="s">
        <v>2483</v>
      </c>
      <c r="C2238" t="s">
        <v>21</v>
      </c>
      <c r="D2238" t="s">
        <v>22</v>
      </c>
      <c r="E2238" t="s">
        <v>23</v>
      </c>
      <c r="F2238">
        <v>0</v>
      </c>
      <c r="G2238">
        <v>16</v>
      </c>
      <c r="H2238">
        <v>0</v>
      </c>
      <c r="I2238" t="s">
        <v>24</v>
      </c>
      <c r="J2238" t="s">
        <v>25</v>
      </c>
      <c r="K2238">
        <v>0</v>
      </c>
      <c r="L2238">
        <v>0</v>
      </c>
      <c r="M2238" t="s">
        <v>25</v>
      </c>
      <c r="N2238" t="s">
        <v>25</v>
      </c>
      <c r="O2238" t="s">
        <v>26</v>
      </c>
      <c r="P2238" t="s">
        <v>25</v>
      </c>
      <c r="Q2238" t="s">
        <v>238</v>
      </c>
      <c r="R2238" t="s">
        <v>347</v>
      </c>
    </row>
    <row r="2239" spans="1:20">
      <c r="A2239">
        <v>2249</v>
      </c>
      <c r="B2239" t="s">
        <v>2484</v>
      </c>
      <c r="C2239" t="s">
        <v>21</v>
      </c>
      <c r="D2239" t="s">
        <v>22</v>
      </c>
      <c r="E2239" t="s">
        <v>23</v>
      </c>
      <c r="F2239">
        <v>0</v>
      </c>
      <c r="G2239">
        <v>19</v>
      </c>
      <c r="H2239">
        <v>0</v>
      </c>
      <c r="I2239" t="s">
        <v>24</v>
      </c>
      <c r="J2239" t="s">
        <v>25</v>
      </c>
      <c r="K2239">
        <v>0</v>
      </c>
      <c r="L2239">
        <v>0</v>
      </c>
      <c r="M2239" t="s">
        <v>25</v>
      </c>
      <c r="N2239" t="s">
        <v>25</v>
      </c>
      <c r="O2239" t="s">
        <v>26</v>
      </c>
      <c r="P2239" t="s">
        <v>25</v>
      </c>
      <c r="Q2239" t="s">
        <v>27</v>
      </c>
      <c r="R2239" t="s">
        <v>285</v>
      </c>
    </row>
    <row r="2240" spans="1:20">
      <c r="A2240">
        <v>2250</v>
      </c>
      <c r="B2240" t="s">
        <v>2485</v>
      </c>
      <c r="C2240" t="s">
        <v>102</v>
      </c>
      <c r="D2240" t="s">
        <v>1131</v>
      </c>
      <c r="E2240" t="s">
        <v>2486</v>
      </c>
      <c r="F2240">
        <v>0</v>
      </c>
      <c r="G2240">
        <v>0</v>
      </c>
      <c r="H2240">
        <v>0</v>
      </c>
      <c r="I2240" t="s">
        <v>24</v>
      </c>
      <c r="J2240" t="s">
        <v>25</v>
      </c>
      <c r="K2240">
        <v>0</v>
      </c>
      <c r="L2240">
        <v>0</v>
      </c>
      <c r="M2240" t="s">
        <v>25</v>
      </c>
      <c r="N2240" t="s">
        <v>25</v>
      </c>
      <c r="O2240" t="s">
        <v>26</v>
      </c>
      <c r="P2240" t="s">
        <v>25</v>
      </c>
      <c r="Q2240" t="s">
        <v>27</v>
      </c>
      <c r="R2240" t="s">
        <v>285</v>
      </c>
    </row>
    <row r="2241" spans="1:20">
      <c r="A2241">
        <v>2251</v>
      </c>
      <c r="B2241" t="s">
        <v>2487</v>
      </c>
      <c r="C2241" t="s">
        <v>21</v>
      </c>
      <c r="D2241" t="s">
        <v>22</v>
      </c>
      <c r="E2241" t="s">
        <v>23</v>
      </c>
      <c r="F2241">
        <v>12500</v>
      </c>
      <c r="G2241">
        <v>19</v>
      </c>
      <c r="H2241">
        <v>14875</v>
      </c>
      <c r="I2241" t="s">
        <v>24</v>
      </c>
      <c r="J2241" t="s">
        <v>25</v>
      </c>
      <c r="K2241">
        <v>0</v>
      </c>
      <c r="L2241">
        <v>0</v>
      </c>
      <c r="M2241" t="s">
        <v>25</v>
      </c>
      <c r="N2241" t="s">
        <v>25</v>
      </c>
      <c r="O2241" t="s">
        <v>26</v>
      </c>
      <c r="P2241" t="s">
        <v>25</v>
      </c>
      <c r="Q2241" t="s">
        <v>51</v>
      </c>
      <c r="R2241" t="s">
        <v>305</v>
      </c>
    </row>
    <row r="2242" spans="1:20">
      <c r="A2242">
        <v>2252</v>
      </c>
      <c r="B2242" t="s">
        <v>2488</v>
      </c>
      <c r="C2242" t="s">
        <v>21</v>
      </c>
      <c r="D2242" t="s">
        <v>22</v>
      </c>
      <c r="E2242" t="s">
        <v>23</v>
      </c>
      <c r="F2242">
        <v>75900</v>
      </c>
      <c r="G2242">
        <v>0</v>
      </c>
      <c r="H2242">
        <v>75900</v>
      </c>
      <c r="I2242" t="s">
        <v>24</v>
      </c>
      <c r="J2242" t="s">
        <v>25</v>
      </c>
      <c r="K2242">
        <v>0</v>
      </c>
      <c r="L2242">
        <v>0</v>
      </c>
      <c r="M2242" t="s">
        <v>25</v>
      </c>
      <c r="N2242" t="s">
        <v>25</v>
      </c>
      <c r="O2242" t="s">
        <v>26</v>
      </c>
      <c r="P2242" t="s">
        <v>25</v>
      </c>
      <c r="Q2242" t="s">
        <v>51</v>
      </c>
      <c r="R2242" t="s">
        <v>305</v>
      </c>
    </row>
    <row r="2243" spans="1:20">
      <c r="A2243">
        <v>2253</v>
      </c>
      <c r="B2243" t="s">
        <v>2489</v>
      </c>
      <c r="C2243" t="s">
        <v>21</v>
      </c>
      <c r="D2243" t="s">
        <v>22</v>
      </c>
      <c r="E2243" t="s">
        <v>23</v>
      </c>
      <c r="F2243">
        <v>0</v>
      </c>
      <c r="G2243">
        <v>0</v>
      </c>
      <c r="H2243">
        <v>0</v>
      </c>
      <c r="I2243" t="s">
        <v>24</v>
      </c>
      <c r="J2243" t="s">
        <v>25</v>
      </c>
      <c r="K2243">
        <v>0</v>
      </c>
      <c r="L2243">
        <v>0</v>
      </c>
      <c r="M2243" t="s">
        <v>25</v>
      </c>
      <c r="N2243" t="s">
        <v>25</v>
      </c>
      <c r="O2243" t="s">
        <v>26</v>
      </c>
      <c r="P2243" t="s">
        <v>25</v>
      </c>
      <c r="Q2243" t="s">
        <v>51</v>
      </c>
      <c r="R2243" t="s">
        <v>305</v>
      </c>
    </row>
    <row r="2244" spans="1:20">
      <c r="A2244">
        <v>2254</v>
      </c>
      <c r="B2244" t="s">
        <v>2490</v>
      </c>
      <c r="C2244" t="s">
        <v>21</v>
      </c>
      <c r="D2244" t="s">
        <v>22</v>
      </c>
      <c r="E2244" t="s">
        <v>23</v>
      </c>
      <c r="F2244">
        <v>6500</v>
      </c>
      <c r="G2244">
        <v>19</v>
      </c>
      <c r="H2244">
        <v>7735</v>
      </c>
      <c r="I2244" t="s">
        <v>24</v>
      </c>
      <c r="J2244" t="s">
        <v>25</v>
      </c>
      <c r="K2244">
        <v>0</v>
      </c>
      <c r="L2244">
        <v>0</v>
      </c>
      <c r="M2244" t="s">
        <v>25</v>
      </c>
      <c r="N2244" t="s">
        <v>25</v>
      </c>
      <c r="O2244" t="s">
        <v>26</v>
      </c>
      <c r="P2244" t="s">
        <v>25</v>
      </c>
      <c r="Q2244" t="s">
        <v>51</v>
      </c>
      <c r="R2244" t="s">
        <v>305</v>
      </c>
    </row>
    <row r="2245" spans="1:20">
      <c r="A2245">
        <v>2255</v>
      </c>
      <c r="B2245" t="s">
        <v>2491</v>
      </c>
      <c r="C2245" t="s">
        <v>21</v>
      </c>
      <c r="D2245" t="s">
        <v>22</v>
      </c>
      <c r="E2245" t="s">
        <v>23</v>
      </c>
      <c r="F2245">
        <v>152000</v>
      </c>
      <c r="G2245">
        <v>19</v>
      </c>
      <c r="H2245">
        <v>180880</v>
      </c>
      <c r="I2245" t="s">
        <v>24</v>
      </c>
      <c r="J2245" t="s">
        <v>25</v>
      </c>
      <c r="K2245">
        <v>0</v>
      </c>
      <c r="L2245">
        <v>0</v>
      </c>
      <c r="M2245" t="s">
        <v>25</v>
      </c>
      <c r="N2245" t="s">
        <v>25</v>
      </c>
      <c r="O2245" t="s">
        <v>26</v>
      </c>
      <c r="P2245" t="s">
        <v>25</v>
      </c>
      <c r="Q2245" t="s">
        <v>51</v>
      </c>
      <c r="R2245" t="s">
        <v>305</v>
      </c>
    </row>
    <row r="2246" spans="1:20">
      <c r="A2246">
        <v>2256</v>
      </c>
      <c r="B2246" t="s">
        <v>2492</v>
      </c>
      <c r="C2246" t="s">
        <v>21</v>
      </c>
      <c r="D2246" t="s">
        <v>22</v>
      </c>
      <c r="E2246" t="s">
        <v>23</v>
      </c>
      <c r="F2246">
        <v>15600</v>
      </c>
      <c r="G2246">
        <v>19</v>
      </c>
      <c r="H2246">
        <v>18564</v>
      </c>
      <c r="I2246" t="s">
        <v>24</v>
      </c>
      <c r="J2246" t="s">
        <v>25</v>
      </c>
      <c r="K2246">
        <v>0</v>
      </c>
      <c r="L2246">
        <v>0</v>
      </c>
      <c r="M2246" t="s">
        <v>25</v>
      </c>
      <c r="N2246" t="s">
        <v>25</v>
      </c>
      <c r="O2246" t="s">
        <v>26</v>
      </c>
      <c r="P2246" t="s">
        <v>25</v>
      </c>
      <c r="Q2246" t="s">
        <v>51</v>
      </c>
      <c r="R2246" t="s">
        <v>305</v>
      </c>
    </row>
    <row r="2247" spans="1:20">
      <c r="A2247">
        <v>2257</v>
      </c>
      <c r="B2247" t="s">
        <v>2493</v>
      </c>
      <c r="C2247" t="s">
        <v>21</v>
      </c>
      <c r="D2247" t="s">
        <v>22</v>
      </c>
      <c r="E2247" t="s">
        <v>23</v>
      </c>
      <c r="F2247">
        <v>17100</v>
      </c>
      <c r="G2247">
        <v>19</v>
      </c>
      <c r="H2247">
        <v>20349</v>
      </c>
      <c r="I2247" t="s">
        <v>24</v>
      </c>
      <c r="J2247" t="s">
        <v>25</v>
      </c>
      <c r="K2247">
        <v>0</v>
      </c>
      <c r="L2247">
        <v>0</v>
      </c>
      <c r="M2247" t="s">
        <v>25</v>
      </c>
      <c r="N2247" t="s">
        <v>25</v>
      </c>
      <c r="O2247" t="s">
        <v>26</v>
      </c>
      <c r="P2247" t="s">
        <v>25</v>
      </c>
      <c r="Q2247" t="s">
        <v>51</v>
      </c>
      <c r="R2247" t="s">
        <v>305</v>
      </c>
    </row>
    <row r="2248" spans="1:20">
      <c r="A2248">
        <v>2258</v>
      </c>
      <c r="B2248" t="s">
        <v>2494</v>
      </c>
      <c r="C2248" t="s">
        <v>21</v>
      </c>
      <c r="D2248" t="s">
        <v>22</v>
      </c>
      <c r="E2248" t="s">
        <v>23</v>
      </c>
      <c r="F2248">
        <v>3800</v>
      </c>
      <c r="G2248">
        <v>19</v>
      </c>
      <c r="H2248">
        <v>4522</v>
      </c>
      <c r="I2248" t="s">
        <v>24</v>
      </c>
      <c r="J2248" t="s">
        <v>25</v>
      </c>
      <c r="K2248">
        <v>0</v>
      </c>
      <c r="L2248">
        <v>0</v>
      </c>
      <c r="M2248" t="s">
        <v>25</v>
      </c>
      <c r="N2248" t="s">
        <v>25</v>
      </c>
      <c r="O2248" t="s">
        <v>26</v>
      </c>
      <c r="P2248" t="s">
        <v>25</v>
      </c>
      <c r="Q2248" t="s">
        <v>51</v>
      </c>
      <c r="R2248" t="s">
        <v>305</v>
      </c>
      <c r="S2248" t="s">
        <v>51</v>
      </c>
      <c r="T2248" t="s">
        <v>882</v>
      </c>
    </row>
    <row r="2249" spans="1:20">
      <c r="A2249">
        <v>2259</v>
      </c>
      <c r="B2249" t="s">
        <v>2495</v>
      </c>
      <c r="C2249" t="s">
        <v>21</v>
      </c>
      <c r="D2249" t="s">
        <v>22</v>
      </c>
      <c r="E2249" t="s">
        <v>23</v>
      </c>
      <c r="F2249">
        <v>3800</v>
      </c>
      <c r="G2249">
        <v>19</v>
      </c>
      <c r="H2249">
        <v>4522</v>
      </c>
      <c r="I2249" t="s">
        <v>24</v>
      </c>
      <c r="J2249" t="s">
        <v>25</v>
      </c>
      <c r="K2249">
        <v>0</v>
      </c>
      <c r="L2249">
        <v>0</v>
      </c>
      <c r="M2249" t="s">
        <v>25</v>
      </c>
      <c r="N2249" t="s">
        <v>25</v>
      </c>
      <c r="O2249" t="s">
        <v>26</v>
      </c>
      <c r="P2249" t="s">
        <v>25</v>
      </c>
      <c r="Q2249" t="s">
        <v>51</v>
      </c>
      <c r="R2249" t="s">
        <v>305</v>
      </c>
      <c r="S2249" t="s">
        <v>51</v>
      </c>
      <c r="T2249" t="s">
        <v>882</v>
      </c>
    </row>
    <row r="2250" spans="1:20">
      <c r="A2250">
        <v>2260</v>
      </c>
      <c r="B2250" t="s">
        <v>2496</v>
      </c>
      <c r="C2250" t="s">
        <v>21</v>
      </c>
      <c r="D2250" t="s">
        <v>22</v>
      </c>
      <c r="E2250" t="s">
        <v>23</v>
      </c>
      <c r="F2250">
        <v>0</v>
      </c>
      <c r="G2250">
        <v>0</v>
      </c>
      <c r="H2250">
        <v>0</v>
      </c>
      <c r="I2250" t="s">
        <v>24</v>
      </c>
      <c r="J2250" t="s">
        <v>25</v>
      </c>
      <c r="K2250">
        <v>0</v>
      </c>
      <c r="L2250">
        <v>0</v>
      </c>
      <c r="M2250" t="s">
        <v>25</v>
      </c>
      <c r="N2250" t="s">
        <v>25</v>
      </c>
      <c r="O2250" t="s">
        <v>26</v>
      </c>
      <c r="P2250" t="s">
        <v>25</v>
      </c>
      <c r="Q2250" t="s">
        <v>51</v>
      </c>
      <c r="R2250" t="s">
        <v>305</v>
      </c>
    </row>
    <row r="2251" spans="1:20">
      <c r="A2251">
        <v>2261</v>
      </c>
      <c r="B2251" t="s">
        <v>2497</v>
      </c>
      <c r="C2251" t="s">
        <v>21</v>
      </c>
      <c r="D2251" t="s">
        <v>22</v>
      </c>
      <c r="E2251" t="s">
        <v>23</v>
      </c>
      <c r="F2251">
        <v>7000</v>
      </c>
      <c r="G2251">
        <v>19</v>
      </c>
      <c r="H2251">
        <v>8330</v>
      </c>
      <c r="I2251" t="s">
        <v>24</v>
      </c>
      <c r="J2251" t="s">
        <v>25</v>
      </c>
      <c r="K2251">
        <v>0</v>
      </c>
      <c r="L2251">
        <v>0</v>
      </c>
      <c r="M2251" t="s">
        <v>25</v>
      </c>
      <c r="N2251" t="s">
        <v>25</v>
      </c>
      <c r="O2251" t="s">
        <v>26</v>
      </c>
      <c r="P2251" t="s">
        <v>25</v>
      </c>
      <c r="Q2251" t="s">
        <v>51</v>
      </c>
      <c r="R2251" t="s">
        <v>305</v>
      </c>
    </row>
    <row r="2252" spans="1:20">
      <c r="A2252">
        <v>2262</v>
      </c>
      <c r="B2252" t="s">
        <v>2498</v>
      </c>
      <c r="C2252" t="s">
        <v>21</v>
      </c>
      <c r="D2252" t="s">
        <v>22</v>
      </c>
      <c r="E2252" t="s">
        <v>23</v>
      </c>
      <c r="F2252">
        <v>0</v>
      </c>
      <c r="G2252">
        <v>0</v>
      </c>
      <c r="H2252">
        <v>0</v>
      </c>
      <c r="I2252" t="s">
        <v>24</v>
      </c>
      <c r="J2252" t="s">
        <v>25</v>
      </c>
      <c r="K2252">
        <v>0</v>
      </c>
      <c r="L2252">
        <v>0</v>
      </c>
      <c r="M2252" t="s">
        <v>25</v>
      </c>
      <c r="N2252" t="s">
        <v>25</v>
      </c>
      <c r="O2252" t="s">
        <v>26</v>
      </c>
      <c r="P2252" t="s">
        <v>25</v>
      </c>
      <c r="Q2252" t="s">
        <v>51</v>
      </c>
      <c r="R2252" t="s">
        <v>305</v>
      </c>
    </row>
    <row r="2253" spans="1:20">
      <c r="A2253">
        <v>2263</v>
      </c>
      <c r="B2253" t="s">
        <v>2499</v>
      </c>
      <c r="C2253" t="s">
        <v>21</v>
      </c>
      <c r="D2253" t="s">
        <v>22</v>
      </c>
      <c r="E2253" t="s">
        <v>23</v>
      </c>
      <c r="F2253">
        <v>0</v>
      </c>
      <c r="G2253">
        <v>0</v>
      </c>
      <c r="H2253">
        <v>0</v>
      </c>
      <c r="I2253" t="s">
        <v>24</v>
      </c>
      <c r="J2253" t="s">
        <v>25</v>
      </c>
      <c r="K2253">
        <v>0</v>
      </c>
      <c r="L2253">
        <v>0</v>
      </c>
      <c r="M2253" t="s">
        <v>25</v>
      </c>
      <c r="N2253" t="s">
        <v>25</v>
      </c>
      <c r="O2253" t="s">
        <v>26</v>
      </c>
      <c r="P2253" t="s">
        <v>25</v>
      </c>
      <c r="Q2253" t="s">
        <v>51</v>
      </c>
      <c r="R2253" t="s">
        <v>305</v>
      </c>
    </row>
    <row r="2254" spans="1:20">
      <c r="A2254">
        <v>2264</v>
      </c>
      <c r="B2254" t="s">
        <v>2500</v>
      </c>
      <c r="C2254" t="s">
        <v>21</v>
      </c>
      <c r="D2254" t="s">
        <v>22</v>
      </c>
      <c r="E2254" t="s">
        <v>23</v>
      </c>
      <c r="F2254">
        <v>0</v>
      </c>
      <c r="G2254">
        <v>19</v>
      </c>
      <c r="H2254">
        <v>0</v>
      </c>
      <c r="I2254" t="s">
        <v>24</v>
      </c>
      <c r="J2254" t="s">
        <v>25</v>
      </c>
      <c r="K2254">
        <v>0</v>
      </c>
      <c r="L2254">
        <v>0</v>
      </c>
      <c r="M2254" t="s">
        <v>25</v>
      </c>
      <c r="N2254" t="s">
        <v>25</v>
      </c>
      <c r="O2254" t="s">
        <v>26</v>
      </c>
      <c r="P2254" t="s">
        <v>25</v>
      </c>
      <c r="Q2254" t="s">
        <v>238</v>
      </c>
      <c r="R2254" t="s">
        <v>372</v>
      </c>
    </row>
    <row r="2255" spans="1:20">
      <c r="A2255">
        <v>2265</v>
      </c>
      <c r="B2255" t="s">
        <v>2501</v>
      </c>
      <c r="C2255" t="s">
        <v>21</v>
      </c>
      <c r="D2255" t="s">
        <v>22</v>
      </c>
      <c r="E2255" t="s">
        <v>23</v>
      </c>
      <c r="F2255">
        <v>78000</v>
      </c>
      <c r="G2255">
        <v>19</v>
      </c>
      <c r="H2255">
        <v>92820</v>
      </c>
      <c r="I2255" t="s">
        <v>24</v>
      </c>
      <c r="J2255" t="s">
        <v>25</v>
      </c>
      <c r="K2255">
        <v>0</v>
      </c>
      <c r="L2255">
        <v>0</v>
      </c>
      <c r="M2255" t="s">
        <v>25</v>
      </c>
      <c r="N2255" t="s">
        <v>25</v>
      </c>
      <c r="O2255" t="s">
        <v>26</v>
      </c>
      <c r="P2255" t="s">
        <v>25</v>
      </c>
      <c r="Q2255" t="s">
        <v>51</v>
      </c>
      <c r="R2255" t="s">
        <v>372</v>
      </c>
      <c r="S2255" t="s">
        <v>51</v>
      </c>
      <c r="T2255" t="s">
        <v>372</v>
      </c>
    </row>
    <row r="2256" spans="1:20">
      <c r="A2256">
        <v>2266</v>
      </c>
      <c r="B2256" t="s">
        <v>2502</v>
      </c>
      <c r="C2256" t="s">
        <v>21</v>
      </c>
      <c r="D2256" t="s">
        <v>22</v>
      </c>
      <c r="E2256" t="s">
        <v>23</v>
      </c>
      <c r="F2256">
        <v>78000</v>
      </c>
      <c r="G2256">
        <v>19</v>
      </c>
      <c r="H2256">
        <v>92820</v>
      </c>
      <c r="I2256" t="s">
        <v>24</v>
      </c>
      <c r="J2256" t="s">
        <v>25</v>
      </c>
      <c r="K2256">
        <v>0</v>
      </c>
      <c r="L2256">
        <v>0</v>
      </c>
      <c r="M2256" t="s">
        <v>25</v>
      </c>
      <c r="N2256" t="s">
        <v>25</v>
      </c>
      <c r="O2256" t="s">
        <v>26</v>
      </c>
      <c r="P2256" t="s">
        <v>25</v>
      </c>
      <c r="Q2256" t="s">
        <v>51</v>
      </c>
      <c r="R2256" t="s">
        <v>372</v>
      </c>
      <c r="S2256" t="s">
        <v>51</v>
      </c>
      <c r="T2256" t="s">
        <v>372</v>
      </c>
    </row>
    <row r="2257" spans="1:20">
      <c r="A2257">
        <v>2267</v>
      </c>
      <c r="B2257" t="s">
        <v>2503</v>
      </c>
      <c r="C2257" t="s">
        <v>21</v>
      </c>
      <c r="D2257" t="s">
        <v>22</v>
      </c>
      <c r="E2257" t="s">
        <v>23</v>
      </c>
      <c r="F2257">
        <v>78000</v>
      </c>
      <c r="G2257">
        <v>19</v>
      </c>
      <c r="H2257">
        <v>92820</v>
      </c>
      <c r="I2257" t="s">
        <v>24</v>
      </c>
      <c r="J2257" t="s">
        <v>25</v>
      </c>
      <c r="K2257">
        <v>0</v>
      </c>
      <c r="L2257">
        <v>0</v>
      </c>
      <c r="M2257" t="s">
        <v>25</v>
      </c>
      <c r="N2257" t="s">
        <v>25</v>
      </c>
      <c r="O2257" t="s">
        <v>26</v>
      </c>
      <c r="P2257" t="s">
        <v>25</v>
      </c>
      <c r="Q2257" t="s">
        <v>51</v>
      </c>
      <c r="R2257" t="s">
        <v>372</v>
      </c>
      <c r="S2257" t="s">
        <v>51</v>
      </c>
      <c r="T2257" t="s">
        <v>372</v>
      </c>
    </row>
    <row r="2258" spans="1:20">
      <c r="A2258">
        <v>2268</v>
      </c>
      <c r="B2258" t="s">
        <v>2504</v>
      </c>
      <c r="C2258" t="s">
        <v>21</v>
      </c>
      <c r="D2258" t="s">
        <v>22</v>
      </c>
      <c r="E2258" t="s">
        <v>23</v>
      </c>
      <c r="F2258">
        <v>78000</v>
      </c>
      <c r="G2258">
        <v>19</v>
      </c>
      <c r="H2258">
        <v>92820</v>
      </c>
      <c r="I2258" t="s">
        <v>24</v>
      </c>
      <c r="J2258" t="s">
        <v>25</v>
      </c>
      <c r="K2258">
        <v>0</v>
      </c>
      <c r="L2258">
        <v>0</v>
      </c>
      <c r="M2258" t="s">
        <v>25</v>
      </c>
      <c r="N2258" t="s">
        <v>25</v>
      </c>
      <c r="O2258" t="s">
        <v>26</v>
      </c>
      <c r="P2258" t="s">
        <v>25</v>
      </c>
      <c r="Q2258" t="s">
        <v>51</v>
      </c>
      <c r="R2258" t="s">
        <v>372</v>
      </c>
      <c r="S2258" t="s">
        <v>51</v>
      </c>
      <c r="T2258" t="s">
        <v>372</v>
      </c>
    </row>
    <row r="2259" spans="1:20">
      <c r="A2259">
        <v>2269</v>
      </c>
      <c r="B2259" t="s">
        <v>2505</v>
      </c>
      <c r="C2259" t="s">
        <v>21</v>
      </c>
      <c r="D2259" t="s">
        <v>22</v>
      </c>
      <c r="E2259" t="s">
        <v>23</v>
      </c>
      <c r="F2259">
        <v>78000</v>
      </c>
      <c r="G2259">
        <v>19</v>
      </c>
      <c r="H2259">
        <v>92820</v>
      </c>
      <c r="I2259" t="s">
        <v>24</v>
      </c>
      <c r="J2259" t="s">
        <v>25</v>
      </c>
      <c r="K2259">
        <v>0</v>
      </c>
      <c r="L2259">
        <v>0</v>
      </c>
      <c r="M2259" t="s">
        <v>25</v>
      </c>
      <c r="N2259" t="s">
        <v>25</v>
      </c>
      <c r="O2259" t="s">
        <v>26</v>
      </c>
      <c r="P2259" t="s">
        <v>25</v>
      </c>
      <c r="Q2259" t="s">
        <v>51</v>
      </c>
      <c r="R2259" t="s">
        <v>372</v>
      </c>
    </row>
    <row r="2260" spans="1:20">
      <c r="A2260">
        <v>2270</v>
      </c>
      <c r="B2260" t="s">
        <v>2506</v>
      </c>
      <c r="C2260" t="s">
        <v>21</v>
      </c>
      <c r="D2260" t="s">
        <v>22</v>
      </c>
      <c r="E2260" t="s">
        <v>23</v>
      </c>
      <c r="F2260">
        <v>78000</v>
      </c>
      <c r="G2260">
        <v>19</v>
      </c>
      <c r="H2260">
        <v>92820</v>
      </c>
      <c r="I2260" t="s">
        <v>24</v>
      </c>
      <c r="J2260" t="s">
        <v>25</v>
      </c>
      <c r="K2260">
        <v>0</v>
      </c>
      <c r="L2260">
        <v>0</v>
      </c>
      <c r="M2260" t="s">
        <v>25</v>
      </c>
      <c r="N2260" t="s">
        <v>25</v>
      </c>
      <c r="O2260" t="s">
        <v>26</v>
      </c>
      <c r="P2260" t="s">
        <v>25</v>
      </c>
      <c r="Q2260" t="s">
        <v>51</v>
      </c>
      <c r="R2260" t="s">
        <v>372</v>
      </c>
    </row>
    <row r="2261" spans="1:20">
      <c r="A2261">
        <v>2271</v>
      </c>
      <c r="B2261" t="s">
        <v>2507</v>
      </c>
      <c r="C2261" t="s">
        <v>21</v>
      </c>
      <c r="D2261" t="s">
        <v>22</v>
      </c>
      <c r="E2261" t="s">
        <v>23</v>
      </c>
      <c r="F2261">
        <v>78000</v>
      </c>
      <c r="G2261">
        <v>19</v>
      </c>
      <c r="H2261">
        <v>92820</v>
      </c>
      <c r="I2261" t="s">
        <v>24</v>
      </c>
      <c r="J2261" t="s">
        <v>25</v>
      </c>
      <c r="K2261">
        <v>0</v>
      </c>
      <c r="L2261">
        <v>0</v>
      </c>
      <c r="M2261" t="s">
        <v>25</v>
      </c>
      <c r="N2261" t="s">
        <v>25</v>
      </c>
      <c r="O2261" t="s">
        <v>26</v>
      </c>
      <c r="P2261" t="s">
        <v>25</v>
      </c>
      <c r="Q2261" t="s">
        <v>51</v>
      </c>
      <c r="R2261" t="s">
        <v>372</v>
      </c>
    </row>
    <row r="2262" spans="1:20">
      <c r="A2262">
        <v>2272</v>
      </c>
      <c r="B2262" t="s">
        <v>2508</v>
      </c>
      <c r="C2262" t="s">
        <v>21</v>
      </c>
      <c r="D2262" t="s">
        <v>22</v>
      </c>
      <c r="E2262" t="s">
        <v>23</v>
      </c>
      <c r="F2262">
        <v>520</v>
      </c>
      <c r="G2262">
        <v>19</v>
      </c>
      <c r="H2262">
        <v>618.79999999999995</v>
      </c>
      <c r="I2262" t="s">
        <v>24</v>
      </c>
      <c r="J2262" t="s">
        <v>25</v>
      </c>
      <c r="K2262">
        <v>0</v>
      </c>
      <c r="L2262">
        <v>0</v>
      </c>
      <c r="M2262" t="s">
        <v>25</v>
      </c>
      <c r="N2262" t="s">
        <v>25</v>
      </c>
      <c r="O2262" t="s">
        <v>26</v>
      </c>
      <c r="P2262" t="s">
        <v>25</v>
      </c>
      <c r="Q2262" t="s">
        <v>51</v>
      </c>
      <c r="R2262" t="s">
        <v>372</v>
      </c>
    </row>
    <row r="2263" spans="1:20">
      <c r="A2263">
        <v>2273</v>
      </c>
      <c r="B2263" t="s">
        <v>2509</v>
      </c>
      <c r="C2263" t="s">
        <v>21</v>
      </c>
      <c r="D2263" t="s">
        <v>22</v>
      </c>
      <c r="E2263" t="s">
        <v>23</v>
      </c>
      <c r="F2263">
        <v>0</v>
      </c>
      <c r="G2263">
        <v>19</v>
      </c>
      <c r="H2263">
        <v>0</v>
      </c>
      <c r="I2263" t="s">
        <v>24</v>
      </c>
      <c r="J2263" t="s">
        <v>25</v>
      </c>
      <c r="K2263">
        <v>0</v>
      </c>
      <c r="L2263">
        <v>0</v>
      </c>
      <c r="M2263" t="s">
        <v>25</v>
      </c>
      <c r="N2263" t="s">
        <v>25</v>
      </c>
      <c r="O2263" t="s">
        <v>26</v>
      </c>
      <c r="P2263" t="s">
        <v>25</v>
      </c>
      <c r="Q2263" t="s">
        <v>51</v>
      </c>
      <c r="R2263" t="s">
        <v>2510</v>
      </c>
    </row>
    <row r="2264" spans="1:20">
      <c r="A2264">
        <v>2274</v>
      </c>
      <c r="B2264" t="s">
        <v>2511</v>
      </c>
      <c r="C2264" t="s">
        <v>21</v>
      </c>
      <c r="D2264" t="s">
        <v>22</v>
      </c>
      <c r="E2264" t="s">
        <v>23</v>
      </c>
      <c r="F2264">
        <v>163000</v>
      </c>
      <c r="G2264">
        <v>19</v>
      </c>
      <c r="H2264">
        <v>193970</v>
      </c>
      <c r="I2264" t="s">
        <v>24</v>
      </c>
      <c r="J2264" t="s">
        <v>25</v>
      </c>
      <c r="K2264">
        <v>0</v>
      </c>
      <c r="L2264">
        <v>0</v>
      </c>
      <c r="M2264" t="s">
        <v>25</v>
      </c>
      <c r="N2264" t="s">
        <v>25</v>
      </c>
      <c r="O2264" t="s">
        <v>26</v>
      </c>
      <c r="P2264" t="s">
        <v>25</v>
      </c>
      <c r="Q2264" t="s">
        <v>51</v>
      </c>
      <c r="R2264" t="s">
        <v>376</v>
      </c>
    </row>
    <row r="2265" spans="1:20">
      <c r="A2265">
        <v>2275</v>
      </c>
      <c r="B2265" t="s">
        <v>2512</v>
      </c>
      <c r="C2265" t="s">
        <v>21</v>
      </c>
      <c r="D2265" t="s">
        <v>22</v>
      </c>
      <c r="E2265" t="s">
        <v>23</v>
      </c>
      <c r="F2265">
        <v>580</v>
      </c>
      <c r="G2265">
        <v>19</v>
      </c>
      <c r="H2265">
        <v>690.2</v>
      </c>
      <c r="I2265" t="s">
        <v>24</v>
      </c>
      <c r="J2265" t="s">
        <v>25</v>
      </c>
      <c r="K2265">
        <v>0</v>
      </c>
      <c r="L2265">
        <v>0</v>
      </c>
      <c r="M2265" t="s">
        <v>25</v>
      </c>
      <c r="N2265" t="s">
        <v>25</v>
      </c>
      <c r="O2265" t="s">
        <v>26</v>
      </c>
      <c r="P2265" t="s">
        <v>25</v>
      </c>
      <c r="Q2265" t="s">
        <v>51</v>
      </c>
      <c r="R2265" t="s">
        <v>376</v>
      </c>
    </row>
    <row r="2266" spans="1:20">
      <c r="A2266">
        <v>2276</v>
      </c>
      <c r="B2266" t="s">
        <v>2513</v>
      </c>
      <c r="C2266" t="s">
        <v>21</v>
      </c>
      <c r="D2266" t="s">
        <v>22</v>
      </c>
      <c r="E2266" t="s">
        <v>23</v>
      </c>
      <c r="F2266">
        <v>14800</v>
      </c>
      <c r="G2266">
        <v>19</v>
      </c>
      <c r="H2266">
        <v>17612</v>
      </c>
      <c r="I2266" t="s">
        <v>24</v>
      </c>
      <c r="J2266" t="s">
        <v>25</v>
      </c>
      <c r="K2266">
        <v>0</v>
      </c>
      <c r="L2266">
        <v>0</v>
      </c>
      <c r="M2266" t="s">
        <v>25</v>
      </c>
      <c r="N2266" t="s">
        <v>25</v>
      </c>
      <c r="O2266" t="s">
        <v>26</v>
      </c>
      <c r="P2266" t="s">
        <v>25</v>
      </c>
      <c r="Q2266" t="s">
        <v>51</v>
      </c>
      <c r="R2266" t="s">
        <v>376</v>
      </c>
    </row>
    <row r="2267" spans="1:20">
      <c r="A2267">
        <v>2277</v>
      </c>
      <c r="B2267" t="s">
        <v>2514</v>
      </c>
      <c r="C2267" t="s">
        <v>21</v>
      </c>
      <c r="D2267" t="s">
        <v>22</v>
      </c>
      <c r="E2267" t="s">
        <v>23</v>
      </c>
      <c r="F2267">
        <v>0</v>
      </c>
      <c r="G2267">
        <v>19</v>
      </c>
      <c r="H2267">
        <v>0</v>
      </c>
      <c r="I2267" t="s">
        <v>24</v>
      </c>
      <c r="J2267" t="s">
        <v>25</v>
      </c>
      <c r="K2267">
        <v>0</v>
      </c>
      <c r="L2267">
        <v>0</v>
      </c>
      <c r="M2267" t="s">
        <v>25</v>
      </c>
      <c r="N2267" t="s">
        <v>25</v>
      </c>
      <c r="O2267" t="s">
        <v>26</v>
      </c>
      <c r="P2267" t="s">
        <v>25</v>
      </c>
      <c r="Q2267" t="s">
        <v>238</v>
      </c>
      <c r="R2267" t="s">
        <v>2515</v>
      </c>
      <c r="S2267" t="s">
        <v>238</v>
      </c>
      <c r="T2267" t="s">
        <v>2515</v>
      </c>
    </row>
    <row r="2268" spans="1:20">
      <c r="A2268">
        <v>2278</v>
      </c>
      <c r="B2268" t="s">
        <v>2516</v>
      </c>
      <c r="C2268" t="s">
        <v>21</v>
      </c>
      <c r="D2268" t="s">
        <v>22</v>
      </c>
      <c r="E2268" t="s">
        <v>23</v>
      </c>
      <c r="F2268">
        <v>0</v>
      </c>
      <c r="G2268">
        <v>19</v>
      </c>
      <c r="H2268">
        <v>0</v>
      </c>
      <c r="I2268" t="s">
        <v>24</v>
      </c>
      <c r="J2268" t="s">
        <v>25</v>
      </c>
      <c r="K2268">
        <v>0</v>
      </c>
      <c r="L2268">
        <v>0</v>
      </c>
      <c r="M2268" t="s">
        <v>25</v>
      </c>
      <c r="N2268" t="s">
        <v>25</v>
      </c>
      <c r="O2268" t="s">
        <v>26</v>
      </c>
      <c r="P2268" t="s">
        <v>25</v>
      </c>
      <c r="Q2268" t="s">
        <v>238</v>
      </c>
      <c r="R2268" t="s">
        <v>788</v>
      </c>
    </row>
    <row r="2269" spans="1:20">
      <c r="A2269">
        <v>2279</v>
      </c>
      <c r="B2269" t="s">
        <v>2517</v>
      </c>
      <c r="C2269" t="s">
        <v>21</v>
      </c>
      <c r="D2269" t="s">
        <v>22</v>
      </c>
      <c r="E2269" t="s">
        <v>23</v>
      </c>
      <c r="F2269">
        <v>0</v>
      </c>
      <c r="G2269">
        <v>19</v>
      </c>
      <c r="H2269">
        <v>0</v>
      </c>
      <c r="I2269" t="s">
        <v>24</v>
      </c>
      <c r="J2269" t="s">
        <v>25</v>
      </c>
      <c r="K2269">
        <v>0</v>
      </c>
      <c r="L2269">
        <v>0</v>
      </c>
      <c r="M2269" t="s">
        <v>25</v>
      </c>
      <c r="N2269" t="s">
        <v>25</v>
      </c>
      <c r="O2269" t="s">
        <v>26</v>
      </c>
      <c r="P2269" t="s">
        <v>25</v>
      </c>
      <c r="Q2269" t="s">
        <v>238</v>
      </c>
      <c r="R2269" t="s">
        <v>788</v>
      </c>
    </row>
    <row r="2270" spans="1:20">
      <c r="A2270">
        <v>2280</v>
      </c>
      <c r="B2270" t="s">
        <v>2518</v>
      </c>
      <c r="C2270" t="s">
        <v>21</v>
      </c>
      <c r="D2270" t="s">
        <v>22</v>
      </c>
      <c r="E2270" t="s">
        <v>23</v>
      </c>
      <c r="F2270">
        <v>0</v>
      </c>
      <c r="G2270">
        <v>19</v>
      </c>
      <c r="H2270">
        <v>0</v>
      </c>
      <c r="I2270" t="s">
        <v>24</v>
      </c>
      <c r="J2270" t="s">
        <v>25</v>
      </c>
      <c r="K2270">
        <v>0</v>
      </c>
      <c r="L2270">
        <v>0</v>
      </c>
      <c r="M2270" t="s">
        <v>25</v>
      </c>
      <c r="N2270" t="s">
        <v>25</v>
      </c>
      <c r="O2270" t="s">
        <v>26</v>
      </c>
      <c r="P2270" t="s">
        <v>25</v>
      </c>
      <c r="Q2270" t="s">
        <v>238</v>
      </c>
      <c r="R2270" t="s">
        <v>788</v>
      </c>
    </row>
    <row r="2271" spans="1:20">
      <c r="A2271">
        <v>2281</v>
      </c>
      <c r="B2271" t="s">
        <v>2519</v>
      </c>
      <c r="C2271" t="s">
        <v>21</v>
      </c>
      <c r="D2271" t="s">
        <v>449</v>
      </c>
      <c r="E2271" t="s">
        <v>23</v>
      </c>
      <c r="F2271">
        <v>569900</v>
      </c>
      <c r="G2271">
        <v>19</v>
      </c>
      <c r="H2271">
        <v>678181</v>
      </c>
      <c r="I2271" t="s">
        <v>24</v>
      </c>
      <c r="J2271" t="s">
        <v>25</v>
      </c>
      <c r="K2271">
        <v>0</v>
      </c>
      <c r="L2271">
        <v>0</v>
      </c>
      <c r="M2271" t="s">
        <v>25</v>
      </c>
      <c r="N2271" t="s">
        <v>25</v>
      </c>
      <c r="O2271" t="s">
        <v>26</v>
      </c>
      <c r="P2271" t="s">
        <v>25</v>
      </c>
      <c r="Q2271" t="s">
        <v>51</v>
      </c>
      <c r="R2271" t="s">
        <v>788</v>
      </c>
      <c r="S2271" t="s">
        <v>51</v>
      </c>
      <c r="T2271" t="s">
        <v>788</v>
      </c>
    </row>
    <row r="2272" spans="1:20">
      <c r="A2272">
        <v>2282</v>
      </c>
      <c r="B2272" t="s">
        <v>2520</v>
      </c>
      <c r="C2272" t="s">
        <v>21</v>
      </c>
      <c r="D2272" t="s">
        <v>22</v>
      </c>
      <c r="E2272" t="s">
        <v>23</v>
      </c>
      <c r="F2272">
        <v>140822</v>
      </c>
      <c r="G2272">
        <v>19</v>
      </c>
      <c r="H2272">
        <v>167578.18</v>
      </c>
      <c r="I2272" t="s">
        <v>24</v>
      </c>
      <c r="J2272" t="s">
        <v>25</v>
      </c>
      <c r="K2272">
        <v>0</v>
      </c>
      <c r="L2272">
        <v>0</v>
      </c>
      <c r="M2272" t="s">
        <v>25</v>
      </c>
      <c r="N2272" t="s">
        <v>25</v>
      </c>
      <c r="O2272" t="s">
        <v>26</v>
      </c>
      <c r="P2272" t="s">
        <v>25</v>
      </c>
      <c r="Q2272" t="s">
        <v>51</v>
      </c>
      <c r="R2272" t="s">
        <v>788</v>
      </c>
    </row>
    <row r="2273" spans="1:20">
      <c r="A2273">
        <v>2283</v>
      </c>
      <c r="B2273" t="s">
        <v>2521</v>
      </c>
      <c r="C2273" t="s">
        <v>21</v>
      </c>
      <c r="D2273" t="s">
        <v>22</v>
      </c>
      <c r="E2273" t="s">
        <v>23</v>
      </c>
      <c r="F2273">
        <v>50</v>
      </c>
      <c r="G2273">
        <v>19</v>
      </c>
      <c r="H2273">
        <v>59.5</v>
      </c>
      <c r="I2273" t="s">
        <v>24</v>
      </c>
      <c r="J2273" t="s">
        <v>25</v>
      </c>
      <c r="K2273">
        <v>0</v>
      </c>
      <c r="L2273">
        <v>0</v>
      </c>
      <c r="M2273" t="s">
        <v>25</v>
      </c>
      <c r="N2273" t="s">
        <v>25</v>
      </c>
      <c r="O2273" t="s">
        <v>26</v>
      </c>
      <c r="P2273" t="s">
        <v>25</v>
      </c>
      <c r="Q2273" t="s">
        <v>51</v>
      </c>
      <c r="R2273" t="s">
        <v>788</v>
      </c>
    </row>
    <row r="2274" spans="1:20">
      <c r="A2274">
        <v>2284</v>
      </c>
      <c r="B2274" t="s">
        <v>2522</v>
      </c>
      <c r="C2274" t="s">
        <v>21</v>
      </c>
      <c r="D2274" t="s">
        <v>22</v>
      </c>
      <c r="E2274" t="s">
        <v>23</v>
      </c>
      <c r="F2274">
        <v>2000</v>
      </c>
      <c r="G2274">
        <v>19</v>
      </c>
      <c r="H2274">
        <v>2380</v>
      </c>
      <c r="I2274" t="s">
        <v>24</v>
      </c>
      <c r="J2274" t="s">
        <v>25</v>
      </c>
      <c r="K2274">
        <v>0</v>
      </c>
      <c r="L2274">
        <v>0</v>
      </c>
      <c r="M2274" t="s">
        <v>25</v>
      </c>
      <c r="N2274" t="s">
        <v>25</v>
      </c>
      <c r="O2274" t="s">
        <v>26</v>
      </c>
      <c r="P2274" t="s">
        <v>25</v>
      </c>
      <c r="Q2274" t="s">
        <v>51</v>
      </c>
      <c r="R2274" t="s">
        <v>788</v>
      </c>
    </row>
    <row r="2275" spans="1:20">
      <c r="A2275">
        <v>2285</v>
      </c>
      <c r="B2275" t="s">
        <v>2523</v>
      </c>
      <c r="C2275" t="s">
        <v>21</v>
      </c>
      <c r="D2275" t="s">
        <v>22</v>
      </c>
      <c r="E2275" t="s">
        <v>23</v>
      </c>
      <c r="F2275">
        <v>5200</v>
      </c>
      <c r="G2275">
        <v>19</v>
      </c>
      <c r="H2275">
        <v>6188</v>
      </c>
      <c r="I2275" t="s">
        <v>24</v>
      </c>
      <c r="J2275" t="s">
        <v>25</v>
      </c>
      <c r="K2275">
        <v>0</v>
      </c>
      <c r="L2275">
        <v>0</v>
      </c>
      <c r="M2275" t="s">
        <v>25</v>
      </c>
      <c r="N2275" t="s">
        <v>25</v>
      </c>
      <c r="O2275" t="s">
        <v>26</v>
      </c>
      <c r="P2275" t="s">
        <v>25</v>
      </c>
      <c r="Q2275" t="s">
        <v>51</v>
      </c>
      <c r="R2275" t="s">
        <v>788</v>
      </c>
      <c r="S2275" t="s">
        <v>51</v>
      </c>
      <c r="T2275" t="s">
        <v>788</v>
      </c>
    </row>
    <row r="2276" spans="1:20">
      <c r="A2276">
        <v>2286</v>
      </c>
      <c r="B2276" t="s">
        <v>2524</v>
      </c>
      <c r="C2276" t="s">
        <v>21</v>
      </c>
      <c r="D2276" t="s">
        <v>22</v>
      </c>
      <c r="E2276" t="s">
        <v>23</v>
      </c>
      <c r="F2276">
        <v>0</v>
      </c>
      <c r="G2276">
        <v>19</v>
      </c>
      <c r="H2276">
        <v>0</v>
      </c>
      <c r="I2276" t="s">
        <v>24</v>
      </c>
      <c r="J2276" t="s">
        <v>25</v>
      </c>
      <c r="K2276">
        <v>0</v>
      </c>
      <c r="L2276">
        <v>0</v>
      </c>
      <c r="M2276" t="s">
        <v>25</v>
      </c>
      <c r="N2276" t="s">
        <v>25</v>
      </c>
      <c r="O2276" t="s">
        <v>26</v>
      </c>
      <c r="P2276" t="s">
        <v>25</v>
      </c>
      <c r="Q2276" t="s">
        <v>51</v>
      </c>
      <c r="R2276" t="s">
        <v>308</v>
      </c>
      <c r="S2276" t="s">
        <v>51</v>
      </c>
      <c r="T2276" t="s">
        <v>308</v>
      </c>
    </row>
    <row r="2277" spans="1:20">
      <c r="A2277">
        <v>2287</v>
      </c>
      <c r="B2277" t="s">
        <v>2525</v>
      </c>
      <c r="C2277" t="s">
        <v>36</v>
      </c>
      <c r="D2277" t="s">
        <v>217</v>
      </c>
      <c r="E2277" t="s">
        <v>230</v>
      </c>
      <c r="F2277">
        <v>0</v>
      </c>
      <c r="G2277">
        <v>19</v>
      </c>
      <c r="H2277">
        <v>0</v>
      </c>
      <c r="I2277" t="s">
        <v>24</v>
      </c>
      <c r="J2277" t="s">
        <v>25</v>
      </c>
      <c r="K2277">
        <v>0</v>
      </c>
      <c r="L2277">
        <v>0</v>
      </c>
      <c r="M2277" t="s">
        <v>25</v>
      </c>
      <c r="N2277" t="s">
        <v>25</v>
      </c>
      <c r="O2277" t="s">
        <v>26</v>
      </c>
      <c r="P2277" t="s">
        <v>25</v>
      </c>
      <c r="Q2277" t="s">
        <v>238</v>
      </c>
      <c r="R2277" t="s">
        <v>2526</v>
      </c>
    </row>
    <row r="2278" spans="1:20">
      <c r="A2278">
        <v>2288</v>
      </c>
      <c r="B2278" t="s">
        <v>2527</v>
      </c>
      <c r="C2278" t="s">
        <v>21</v>
      </c>
      <c r="D2278" t="s">
        <v>22</v>
      </c>
      <c r="E2278" t="s">
        <v>23</v>
      </c>
      <c r="F2278">
        <v>300000</v>
      </c>
      <c r="G2278">
        <v>19</v>
      </c>
      <c r="H2278">
        <v>357000</v>
      </c>
      <c r="I2278" t="s">
        <v>24</v>
      </c>
      <c r="J2278" t="s">
        <v>25</v>
      </c>
      <c r="K2278">
        <v>0</v>
      </c>
      <c r="L2278">
        <v>0</v>
      </c>
      <c r="M2278" t="s">
        <v>25</v>
      </c>
      <c r="N2278" t="s">
        <v>25</v>
      </c>
      <c r="O2278" t="s">
        <v>26</v>
      </c>
      <c r="P2278" t="s">
        <v>25</v>
      </c>
      <c r="Q2278" t="s">
        <v>51</v>
      </c>
      <c r="R2278" t="s">
        <v>1816</v>
      </c>
    </row>
    <row r="2279" spans="1:20">
      <c r="A2279">
        <v>2289</v>
      </c>
      <c r="B2279" t="s">
        <v>2528</v>
      </c>
      <c r="C2279" t="s">
        <v>21</v>
      </c>
      <c r="D2279" t="s">
        <v>22</v>
      </c>
      <c r="E2279" t="s">
        <v>23</v>
      </c>
      <c r="F2279">
        <v>69200</v>
      </c>
      <c r="G2279">
        <v>19</v>
      </c>
      <c r="H2279">
        <v>82348</v>
      </c>
      <c r="I2279" t="s">
        <v>24</v>
      </c>
      <c r="J2279" t="s">
        <v>25</v>
      </c>
      <c r="K2279">
        <v>0</v>
      </c>
      <c r="L2279">
        <v>0</v>
      </c>
      <c r="M2279" t="s">
        <v>25</v>
      </c>
      <c r="N2279" t="s">
        <v>25</v>
      </c>
      <c r="O2279" t="s">
        <v>26</v>
      </c>
      <c r="P2279" t="s">
        <v>25</v>
      </c>
      <c r="Q2279" t="s">
        <v>51</v>
      </c>
      <c r="R2279" t="s">
        <v>1816</v>
      </c>
    </row>
    <row r="2280" spans="1:20">
      <c r="A2280">
        <v>2290</v>
      </c>
      <c r="B2280" t="s">
        <v>2529</v>
      </c>
      <c r="C2280" t="s">
        <v>21</v>
      </c>
      <c r="D2280" t="s">
        <v>22</v>
      </c>
      <c r="E2280" t="s">
        <v>23</v>
      </c>
      <c r="F2280">
        <v>0</v>
      </c>
      <c r="G2280">
        <v>19</v>
      </c>
      <c r="H2280">
        <v>0</v>
      </c>
      <c r="I2280" t="s">
        <v>24</v>
      </c>
      <c r="J2280" t="s">
        <v>25</v>
      </c>
      <c r="K2280">
        <v>0</v>
      </c>
      <c r="L2280">
        <v>0</v>
      </c>
      <c r="M2280" t="s">
        <v>25</v>
      </c>
      <c r="N2280" t="s">
        <v>25</v>
      </c>
      <c r="O2280" t="s">
        <v>26</v>
      </c>
      <c r="P2280" t="s">
        <v>25</v>
      </c>
      <c r="Q2280" t="s">
        <v>51</v>
      </c>
      <c r="R2280" t="s">
        <v>1816</v>
      </c>
      <c r="S2280" t="s">
        <v>51</v>
      </c>
      <c r="T2280" t="s">
        <v>1816</v>
      </c>
    </row>
    <row r="2281" spans="1:20">
      <c r="A2281">
        <v>2291</v>
      </c>
      <c r="B2281" t="s">
        <v>2530</v>
      </c>
      <c r="C2281" t="s">
        <v>21</v>
      </c>
      <c r="D2281" t="s">
        <v>22</v>
      </c>
      <c r="E2281" t="s">
        <v>23</v>
      </c>
      <c r="F2281">
        <v>0</v>
      </c>
      <c r="G2281">
        <v>19</v>
      </c>
      <c r="H2281">
        <v>0</v>
      </c>
      <c r="I2281" t="s">
        <v>24</v>
      </c>
      <c r="J2281" t="s">
        <v>25</v>
      </c>
      <c r="K2281">
        <v>0</v>
      </c>
      <c r="L2281">
        <v>0</v>
      </c>
      <c r="M2281" t="s">
        <v>25</v>
      </c>
      <c r="N2281" t="s">
        <v>25</v>
      </c>
      <c r="O2281" t="s">
        <v>26</v>
      </c>
      <c r="P2281" t="s">
        <v>25</v>
      </c>
      <c r="Q2281" t="s">
        <v>51</v>
      </c>
      <c r="R2281" t="s">
        <v>1816</v>
      </c>
      <c r="S2281" t="s">
        <v>51</v>
      </c>
      <c r="T2281" t="s">
        <v>1816</v>
      </c>
    </row>
    <row r="2282" spans="1:20">
      <c r="A2282">
        <v>2292</v>
      </c>
      <c r="B2282" t="s">
        <v>2531</v>
      </c>
      <c r="C2282" t="s">
        <v>21</v>
      </c>
      <c r="D2282" t="s">
        <v>22</v>
      </c>
      <c r="E2282" t="s">
        <v>23</v>
      </c>
      <c r="F2282">
        <v>0</v>
      </c>
      <c r="G2282">
        <v>19</v>
      </c>
      <c r="H2282">
        <v>0</v>
      </c>
      <c r="I2282" t="s">
        <v>24</v>
      </c>
      <c r="J2282" t="s">
        <v>25</v>
      </c>
      <c r="K2282">
        <v>0</v>
      </c>
      <c r="L2282">
        <v>0</v>
      </c>
      <c r="M2282" t="s">
        <v>25</v>
      </c>
      <c r="N2282" t="s">
        <v>25</v>
      </c>
      <c r="O2282" t="s">
        <v>26</v>
      </c>
      <c r="P2282" t="s">
        <v>25</v>
      </c>
      <c r="Q2282" t="s">
        <v>51</v>
      </c>
      <c r="R2282" t="s">
        <v>1816</v>
      </c>
      <c r="S2282" t="s">
        <v>51</v>
      </c>
      <c r="T2282" t="s">
        <v>1816</v>
      </c>
    </row>
    <row r="2283" spans="1:20">
      <c r="A2283">
        <v>2293</v>
      </c>
      <c r="B2283" t="s">
        <v>2532</v>
      </c>
      <c r="C2283" t="s">
        <v>21</v>
      </c>
      <c r="D2283" t="s">
        <v>22</v>
      </c>
      <c r="E2283" t="s">
        <v>23</v>
      </c>
      <c r="F2283">
        <v>0</v>
      </c>
      <c r="G2283">
        <v>19</v>
      </c>
      <c r="H2283">
        <v>0</v>
      </c>
      <c r="I2283" t="s">
        <v>24</v>
      </c>
      <c r="J2283" t="s">
        <v>25</v>
      </c>
      <c r="K2283">
        <v>0</v>
      </c>
      <c r="L2283">
        <v>0</v>
      </c>
      <c r="M2283" t="s">
        <v>25</v>
      </c>
      <c r="N2283" t="s">
        <v>25</v>
      </c>
      <c r="O2283" t="s">
        <v>26</v>
      </c>
      <c r="P2283" t="s">
        <v>25</v>
      </c>
      <c r="Q2283" t="s">
        <v>238</v>
      </c>
      <c r="R2283" t="s">
        <v>1816</v>
      </c>
      <c r="S2283" t="s">
        <v>238</v>
      </c>
      <c r="T2283" t="s">
        <v>1816</v>
      </c>
    </row>
    <row r="2284" spans="1:20">
      <c r="A2284">
        <v>2294</v>
      </c>
      <c r="B2284" t="s">
        <v>2533</v>
      </c>
      <c r="C2284" t="s">
        <v>21</v>
      </c>
      <c r="D2284" t="s">
        <v>22</v>
      </c>
      <c r="E2284" t="s">
        <v>23</v>
      </c>
      <c r="F2284">
        <v>0</v>
      </c>
      <c r="G2284">
        <v>19</v>
      </c>
      <c r="H2284">
        <v>0</v>
      </c>
      <c r="I2284" t="s">
        <v>24</v>
      </c>
      <c r="J2284" t="s">
        <v>25</v>
      </c>
      <c r="K2284">
        <v>0</v>
      </c>
      <c r="L2284">
        <v>0</v>
      </c>
      <c r="M2284" t="s">
        <v>25</v>
      </c>
      <c r="N2284" t="s">
        <v>25</v>
      </c>
      <c r="O2284" t="s">
        <v>26</v>
      </c>
      <c r="P2284" t="s">
        <v>25</v>
      </c>
      <c r="Q2284" t="s">
        <v>238</v>
      </c>
      <c r="R2284" t="s">
        <v>1816</v>
      </c>
      <c r="S2284" t="s">
        <v>238</v>
      </c>
      <c r="T2284" t="s">
        <v>1816</v>
      </c>
    </row>
    <row r="2285" spans="1:20">
      <c r="A2285">
        <v>2295</v>
      </c>
      <c r="B2285" t="s">
        <v>2534</v>
      </c>
      <c r="C2285" t="s">
        <v>21</v>
      </c>
      <c r="D2285" t="s">
        <v>22</v>
      </c>
      <c r="E2285" t="s">
        <v>23</v>
      </c>
      <c r="F2285">
        <v>0</v>
      </c>
      <c r="G2285">
        <v>19</v>
      </c>
      <c r="H2285">
        <v>0</v>
      </c>
      <c r="I2285" t="s">
        <v>24</v>
      </c>
      <c r="J2285" t="s">
        <v>25</v>
      </c>
      <c r="K2285">
        <v>0</v>
      </c>
      <c r="L2285">
        <v>0</v>
      </c>
      <c r="M2285" t="s">
        <v>25</v>
      </c>
      <c r="N2285" t="s">
        <v>25</v>
      </c>
      <c r="O2285" t="s">
        <v>26</v>
      </c>
      <c r="P2285" t="s">
        <v>25</v>
      </c>
      <c r="Q2285" t="s">
        <v>238</v>
      </c>
      <c r="R2285" t="s">
        <v>1816</v>
      </c>
    </row>
    <row r="2286" spans="1:20">
      <c r="A2286">
        <v>2296</v>
      </c>
      <c r="B2286" t="s">
        <v>2535</v>
      </c>
      <c r="C2286" t="s">
        <v>21</v>
      </c>
      <c r="D2286" t="s">
        <v>22</v>
      </c>
      <c r="E2286" t="s">
        <v>23</v>
      </c>
      <c r="F2286">
        <v>0</v>
      </c>
      <c r="G2286">
        <v>19</v>
      </c>
      <c r="H2286">
        <v>0</v>
      </c>
      <c r="I2286" t="s">
        <v>24</v>
      </c>
      <c r="J2286" t="s">
        <v>25</v>
      </c>
      <c r="K2286">
        <v>0</v>
      </c>
      <c r="L2286">
        <v>0</v>
      </c>
      <c r="M2286" t="s">
        <v>25</v>
      </c>
      <c r="N2286" t="s">
        <v>25</v>
      </c>
      <c r="O2286" t="s">
        <v>26</v>
      </c>
      <c r="P2286" t="s">
        <v>25</v>
      </c>
      <c r="Q2286" t="s">
        <v>238</v>
      </c>
      <c r="R2286" t="s">
        <v>1816</v>
      </c>
      <c r="S2286" t="s">
        <v>51</v>
      </c>
      <c r="T2286" t="s">
        <v>303</v>
      </c>
    </row>
    <row r="2287" spans="1:20">
      <c r="A2287">
        <v>2297</v>
      </c>
      <c r="B2287" t="s">
        <v>2536</v>
      </c>
      <c r="C2287" t="s">
        <v>21</v>
      </c>
      <c r="D2287" t="s">
        <v>310</v>
      </c>
      <c r="E2287" t="s">
        <v>23</v>
      </c>
      <c r="F2287">
        <v>0</v>
      </c>
      <c r="G2287">
        <v>19</v>
      </c>
      <c r="H2287">
        <v>0</v>
      </c>
      <c r="I2287" t="s">
        <v>24</v>
      </c>
      <c r="J2287" t="s">
        <v>25</v>
      </c>
      <c r="K2287">
        <v>0</v>
      </c>
      <c r="L2287">
        <v>0</v>
      </c>
      <c r="M2287" t="s">
        <v>25</v>
      </c>
      <c r="N2287" t="s">
        <v>25</v>
      </c>
      <c r="O2287" t="s">
        <v>26</v>
      </c>
      <c r="P2287" t="s">
        <v>25</v>
      </c>
      <c r="Q2287" t="s">
        <v>238</v>
      </c>
      <c r="R2287" t="s">
        <v>1816</v>
      </c>
      <c r="S2287" t="s">
        <v>51</v>
      </c>
      <c r="T2287" t="s">
        <v>303</v>
      </c>
    </row>
    <row r="2288" spans="1:20">
      <c r="A2288">
        <v>2298</v>
      </c>
      <c r="B2288" t="s">
        <v>2537</v>
      </c>
      <c r="C2288" t="s">
        <v>21</v>
      </c>
      <c r="D2288" t="s">
        <v>22</v>
      </c>
      <c r="E2288" t="s">
        <v>23</v>
      </c>
      <c r="F2288">
        <v>0</v>
      </c>
      <c r="G2288">
        <v>19</v>
      </c>
      <c r="H2288">
        <v>0</v>
      </c>
      <c r="I2288" t="s">
        <v>24</v>
      </c>
      <c r="J2288" t="s">
        <v>25</v>
      </c>
      <c r="K2288">
        <v>0</v>
      </c>
      <c r="L2288">
        <v>0</v>
      </c>
      <c r="M2288" t="s">
        <v>25</v>
      </c>
      <c r="N2288" t="s">
        <v>25</v>
      </c>
      <c r="O2288" t="s">
        <v>26</v>
      </c>
      <c r="P2288" t="s">
        <v>25</v>
      </c>
      <c r="Q2288" t="s">
        <v>238</v>
      </c>
      <c r="R2288" t="s">
        <v>1816</v>
      </c>
    </row>
    <row r="2289" spans="1:20">
      <c r="A2289">
        <v>2299</v>
      </c>
      <c r="B2289" t="s">
        <v>2538</v>
      </c>
      <c r="C2289" t="s">
        <v>21</v>
      </c>
      <c r="D2289" t="s">
        <v>283</v>
      </c>
      <c r="E2289" t="s">
        <v>23</v>
      </c>
      <c r="F2289">
        <v>18000</v>
      </c>
      <c r="G2289">
        <v>19</v>
      </c>
      <c r="H2289">
        <v>21420</v>
      </c>
      <c r="I2289" t="s">
        <v>24</v>
      </c>
      <c r="J2289" t="s">
        <v>25</v>
      </c>
      <c r="K2289">
        <v>0</v>
      </c>
      <c r="L2289">
        <v>0</v>
      </c>
      <c r="M2289" t="s">
        <v>25</v>
      </c>
      <c r="N2289" t="s">
        <v>25</v>
      </c>
      <c r="O2289" t="s">
        <v>26</v>
      </c>
      <c r="P2289" t="s">
        <v>25</v>
      </c>
      <c r="Q2289" t="s">
        <v>51</v>
      </c>
      <c r="R2289" t="s">
        <v>2539</v>
      </c>
    </row>
    <row r="2290" spans="1:20">
      <c r="A2290">
        <v>2300</v>
      </c>
      <c r="B2290" t="s">
        <v>2540</v>
      </c>
      <c r="C2290" t="s">
        <v>21</v>
      </c>
      <c r="D2290" t="s">
        <v>22</v>
      </c>
      <c r="E2290" t="s">
        <v>23</v>
      </c>
      <c r="F2290">
        <v>0</v>
      </c>
      <c r="G2290">
        <v>19</v>
      </c>
      <c r="H2290">
        <v>0</v>
      </c>
      <c r="I2290" t="s">
        <v>24</v>
      </c>
      <c r="J2290" t="s">
        <v>25</v>
      </c>
      <c r="K2290">
        <v>0</v>
      </c>
      <c r="L2290">
        <v>0</v>
      </c>
      <c r="M2290" t="s">
        <v>25</v>
      </c>
      <c r="N2290" t="s">
        <v>25</v>
      </c>
      <c r="O2290" t="s">
        <v>26</v>
      </c>
      <c r="P2290" t="s">
        <v>25</v>
      </c>
      <c r="Q2290" t="s">
        <v>238</v>
      </c>
      <c r="R2290" t="s">
        <v>2539</v>
      </c>
    </row>
    <row r="2291" spans="1:20">
      <c r="A2291">
        <v>2301</v>
      </c>
      <c r="B2291" t="s">
        <v>2541</v>
      </c>
      <c r="C2291" t="s">
        <v>21</v>
      </c>
      <c r="D2291" t="s">
        <v>22</v>
      </c>
      <c r="E2291" t="s">
        <v>23</v>
      </c>
      <c r="F2291">
        <v>0</v>
      </c>
      <c r="G2291">
        <v>19</v>
      </c>
      <c r="H2291">
        <v>0</v>
      </c>
      <c r="I2291" t="s">
        <v>24</v>
      </c>
      <c r="J2291" t="s">
        <v>25</v>
      </c>
      <c r="K2291">
        <v>0</v>
      </c>
      <c r="L2291">
        <v>0</v>
      </c>
      <c r="M2291" t="s">
        <v>25</v>
      </c>
      <c r="N2291" t="s">
        <v>25</v>
      </c>
      <c r="O2291" t="s">
        <v>26</v>
      </c>
      <c r="P2291" t="s">
        <v>25</v>
      </c>
      <c r="Q2291" t="s">
        <v>238</v>
      </c>
      <c r="R2291" t="s">
        <v>2539</v>
      </c>
    </row>
    <row r="2292" spans="1:20">
      <c r="A2292">
        <v>2302</v>
      </c>
      <c r="B2292" t="s">
        <v>2542</v>
      </c>
      <c r="C2292" t="s">
        <v>21</v>
      </c>
      <c r="D2292" t="s">
        <v>22</v>
      </c>
      <c r="E2292" t="s">
        <v>23</v>
      </c>
      <c r="F2292">
        <v>0</v>
      </c>
      <c r="G2292">
        <v>19</v>
      </c>
      <c r="H2292">
        <v>0</v>
      </c>
      <c r="I2292" t="s">
        <v>24</v>
      </c>
      <c r="J2292" t="s">
        <v>25</v>
      </c>
      <c r="K2292">
        <v>0</v>
      </c>
      <c r="L2292">
        <v>0</v>
      </c>
      <c r="M2292" t="s">
        <v>25</v>
      </c>
      <c r="N2292" t="s">
        <v>25</v>
      </c>
      <c r="O2292" t="s">
        <v>26</v>
      </c>
      <c r="P2292" t="s">
        <v>25</v>
      </c>
      <c r="Q2292" t="s">
        <v>238</v>
      </c>
      <c r="R2292" t="s">
        <v>2539</v>
      </c>
    </row>
    <row r="2293" spans="1:20">
      <c r="A2293">
        <v>2303</v>
      </c>
      <c r="B2293" t="s">
        <v>2543</v>
      </c>
      <c r="C2293" t="s">
        <v>21</v>
      </c>
      <c r="D2293" t="s">
        <v>848</v>
      </c>
      <c r="E2293" t="s">
        <v>23</v>
      </c>
      <c r="F2293">
        <v>40666</v>
      </c>
      <c r="G2293">
        <v>19</v>
      </c>
      <c r="H2293">
        <v>48392.54</v>
      </c>
      <c r="I2293" t="s">
        <v>24</v>
      </c>
      <c r="J2293" t="s">
        <v>25</v>
      </c>
      <c r="K2293">
        <v>0</v>
      </c>
      <c r="L2293">
        <v>0</v>
      </c>
      <c r="M2293" t="s">
        <v>25</v>
      </c>
      <c r="N2293" t="s">
        <v>25</v>
      </c>
      <c r="O2293" t="s">
        <v>26</v>
      </c>
      <c r="P2293" t="s">
        <v>25</v>
      </c>
      <c r="Q2293" t="s">
        <v>51</v>
      </c>
      <c r="R2293" t="s">
        <v>646</v>
      </c>
      <c r="S2293" t="s">
        <v>51</v>
      </c>
      <c r="T2293" t="s">
        <v>646</v>
      </c>
    </row>
    <row r="2294" spans="1:20">
      <c r="A2294">
        <v>2304</v>
      </c>
      <c r="B2294" t="s">
        <v>2544</v>
      </c>
      <c r="C2294" t="s">
        <v>2204</v>
      </c>
      <c r="D2294" t="s">
        <v>32</v>
      </c>
      <c r="E2294" t="s">
        <v>1951</v>
      </c>
      <c r="F2294">
        <v>0</v>
      </c>
      <c r="G2294">
        <v>0</v>
      </c>
      <c r="H2294">
        <v>0</v>
      </c>
      <c r="I2294" t="s">
        <v>24</v>
      </c>
      <c r="J2294" t="s">
        <v>25</v>
      </c>
      <c r="K2294">
        <v>0</v>
      </c>
      <c r="L2294">
        <v>0</v>
      </c>
      <c r="M2294" t="s">
        <v>25</v>
      </c>
      <c r="N2294" t="s">
        <v>25</v>
      </c>
      <c r="O2294" t="s">
        <v>26</v>
      </c>
      <c r="P2294" t="s">
        <v>25</v>
      </c>
      <c r="Q2294" t="s">
        <v>231</v>
      </c>
      <c r="R2294" t="s">
        <v>646</v>
      </c>
    </row>
    <row r="2295" spans="1:20">
      <c r="A2295">
        <v>2305</v>
      </c>
      <c r="B2295" t="s">
        <v>2545</v>
      </c>
      <c r="C2295" t="s">
        <v>21</v>
      </c>
      <c r="D2295" t="s">
        <v>22</v>
      </c>
      <c r="E2295" t="s">
        <v>23</v>
      </c>
      <c r="F2295">
        <v>1300</v>
      </c>
      <c r="G2295">
        <v>19</v>
      </c>
      <c r="H2295">
        <v>1547</v>
      </c>
      <c r="I2295" t="s">
        <v>24</v>
      </c>
      <c r="J2295" t="s">
        <v>25</v>
      </c>
      <c r="K2295">
        <v>0</v>
      </c>
      <c r="L2295">
        <v>0</v>
      </c>
      <c r="M2295" t="s">
        <v>25</v>
      </c>
      <c r="N2295" t="s">
        <v>25</v>
      </c>
      <c r="O2295" t="s">
        <v>26</v>
      </c>
      <c r="P2295" t="s">
        <v>25</v>
      </c>
      <c r="Q2295" t="s">
        <v>51</v>
      </c>
      <c r="R2295" t="s">
        <v>646</v>
      </c>
    </row>
    <row r="2296" spans="1:20">
      <c r="A2296">
        <v>2306</v>
      </c>
      <c r="B2296" t="s">
        <v>2546</v>
      </c>
      <c r="C2296" t="s">
        <v>21</v>
      </c>
      <c r="D2296" t="s">
        <v>22</v>
      </c>
      <c r="E2296" t="s">
        <v>23</v>
      </c>
      <c r="F2296">
        <v>6450</v>
      </c>
      <c r="G2296">
        <v>19</v>
      </c>
      <c r="H2296">
        <v>7675.5</v>
      </c>
      <c r="I2296" t="s">
        <v>24</v>
      </c>
      <c r="J2296" t="s">
        <v>25</v>
      </c>
      <c r="K2296">
        <v>0</v>
      </c>
      <c r="L2296">
        <v>0</v>
      </c>
      <c r="M2296" t="s">
        <v>25</v>
      </c>
      <c r="N2296" t="s">
        <v>25</v>
      </c>
      <c r="O2296" t="s">
        <v>26</v>
      </c>
      <c r="P2296" t="s">
        <v>25</v>
      </c>
      <c r="Q2296" t="s">
        <v>51</v>
      </c>
      <c r="R2296" t="s">
        <v>54</v>
      </c>
      <c r="S2296" t="s">
        <v>51</v>
      </c>
      <c r="T2296" t="s">
        <v>54</v>
      </c>
    </row>
    <row r="2297" spans="1:20">
      <c r="A2297">
        <v>2307</v>
      </c>
      <c r="B2297" t="s">
        <v>2547</v>
      </c>
      <c r="C2297" t="s">
        <v>21</v>
      </c>
      <c r="D2297" t="s">
        <v>22</v>
      </c>
      <c r="E2297" t="s">
        <v>23</v>
      </c>
      <c r="F2297">
        <v>8000</v>
      </c>
      <c r="G2297">
        <v>19</v>
      </c>
      <c r="H2297">
        <v>9520</v>
      </c>
      <c r="I2297" t="s">
        <v>24</v>
      </c>
      <c r="J2297" t="s">
        <v>25</v>
      </c>
      <c r="K2297">
        <v>0</v>
      </c>
      <c r="L2297">
        <v>0</v>
      </c>
      <c r="M2297" t="s">
        <v>25</v>
      </c>
      <c r="N2297" t="s">
        <v>25</v>
      </c>
      <c r="O2297" t="s">
        <v>26</v>
      </c>
      <c r="P2297" t="s">
        <v>25</v>
      </c>
      <c r="Q2297" t="s">
        <v>51</v>
      </c>
      <c r="R2297" t="s">
        <v>54</v>
      </c>
      <c r="S2297" t="s">
        <v>51</v>
      </c>
      <c r="T2297" t="s">
        <v>54</v>
      </c>
    </row>
    <row r="2298" spans="1:20">
      <c r="A2298">
        <v>2308</v>
      </c>
      <c r="B2298" t="s">
        <v>2548</v>
      </c>
      <c r="C2298" t="s">
        <v>21</v>
      </c>
      <c r="D2298" t="s">
        <v>22</v>
      </c>
      <c r="E2298" t="s">
        <v>23</v>
      </c>
      <c r="F2298">
        <v>17000</v>
      </c>
      <c r="G2298">
        <v>19</v>
      </c>
      <c r="H2298">
        <v>20230</v>
      </c>
      <c r="I2298" t="s">
        <v>24</v>
      </c>
      <c r="J2298" t="s">
        <v>25</v>
      </c>
      <c r="K2298">
        <v>0</v>
      </c>
      <c r="L2298">
        <v>0</v>
      </c>
      <c r="M2298" t="s">
        <v>25</v>
      </c>
      <c r="N2298" t="s">
        <v>25</v>
      </c>
      <c r="O2298" t="s">
        <v>26</v>
      </c>
      <c r="P2298" t="s">
        <v>25</v>
      </c>
      <c r="Q2298" t="s">
        <v>51</v>
      </c>
      <c r="R2298" t="s">
        <v>54</v>
      </c>
      <c r="S2298" t="s">
        <v>51</v>
      </c>
      <c r="T2298" t="s">
        <v>54</v>
      </c>
    </row>
    <row r="2299" spans="1:20">
      <c r="A2299">
        <v>2309</v>
      </c>
      <c r="B2299" t="s">
        <v>2549</v>
      </c>
      <c r="C2299" t="s">
        <v>21</v>
      </c>
      <c r="D2299" t="s">
        <v>22</v>
      </c>
      <c r="E2299" t="s">
        <v>23</v>
      </c>
      <c r="F2299">
        <v>8500</v>
      </c>
      <c r="G2299">
        <v>19</v>
      </c>
      <c r="H2299">
        <v>10115</v>
      </c>
      <c r="I2299" t="s">
        <v>24</v>
      </c>
      <c r="J2299" t="s">
        <v>25</v>
      </c>
      <c r="K2299">
        <v>0</v>
      </c>
      <c r="L2299">
        <v>0</v>
      </c>
      <c r="M2299" t="s">
        <v>25</v>
      </c>
      <c r="N2299" t="s">
        <v>25</v>
      </c>
      <c r="O2299" t="s">
        <v>26</v>
      </c>
      <c r="P2299" t="s">
        <v>25</v>
      </c>
      <c r="Q2299" t="s">
        <v>51</v>
      </c>
      <c r="R2299" t="s">
        <v>54</v>
      </c>
    </row>
    <row r="2300" spans="1:20">
      <c r="A2300">
        <v>2310</v>
      </c>
      <c r="B2300" t="s">
        <v>2550</v>
      </c>
      <c r="C2300" t="s">
        <v>21</v>
      </c>
      <c r="D2300" t="s">
        <v>22</v>
      </c>
      <c r="E2300" t="s">
        <v>23</v>
      </c>
      <c r="F2300">
        <v>9300</v>
      </c>
      <c r="G2300">
        <v>19</v>
      </c>
      <c r="H2300">
        <v>11067</v>
      </c>
      <c r="I2300" t="s">
        <v>24</v>
      </c>
      <c r="J2300" t="s">
        <v>25</v>
      </c>
      <c r="K2300">
        <v>0</v>
      </c>
      <c r="L2300">
        <v>0</v>
      </c>
      <c r="M2300" t="s">
        <v>25</v>
      </c>
      <c r="N2300" t="s">
        <v>25</v>
      </c>
      <c r="O2300" t="s">
        <v>26</v>
      </c>
      <c r="P2300" t="s">
        <v>25</v>
      </c>
      <c r="Q2300" t="s">
        <v>51</v>
      </c>
      <c r="R2300" t="s">
        <v>54</v>
      </c>
    </row>
    <row r="2301" spans="1:20">
      <c r="A2301">
        <v>2311</v>
      </c>
      <c r="B2301" t="s">
        <v>2551</v>
      </c>
      <c r="C2301" t="s">
        <v>21</v>
      </c>
      <c r="D2301" t="s">
        <v>22</v>
      </c>
      <c r="E2301" t="s">
        <v>23</v>
      </c>
      <c r="F2301">
        <v>0</v>
      </c>
      <c r="G2301">
        <v>19</v>
      </c>
      <c r="H2301">
        <v>0</v>
      </c>
      <c r="I2301" t="s">
        <v>24</v>
      </c>
      <c r="J2301" t="s">
        <v>25</v>
      </c>
      <c r="K2301">
        <v>0</v>
      </c>
      <c r="L2301">
        <v>0</v>
      </c>
      <c r="M2301" t="s">
        <v>25</v>
      </c>
      <c r="N2301" t="s">
        <v>25</v>
      </c>
      <c r="O2301" t="s">
        <v>26</v>
      </c>
      <c r="P2301" t="s">
        <v>25</v>
      </c>
      <c r="Q2301" t="s">
        <v>51</v>
      </c>
      <c r="R2301" t="s">
        <v>1455</v>
      </c>
    </row>
    <row r="2302" spans="1:20">
      <c r="A2302">
        <v>2312</v>
      </c>
      <c r="B2302" t="s">
        <v>2552</v>
      </c>
      <c r="C2302" t="s">
        <v>21</v>
      </c>
      <c r="D2302" t="s">
        <v>22</v>
      </c>
      <c r="E2302" t="s">
        <v>23</v>
      </c>
      <c r="F2302">
        <v>0</v>
      </c>
      <c r="G2302">
        <v>19</v>
      </c>
      <c r="H2302">
        <v>0</v>
      </c>
      <c r="I2302" t="s">
        <v>24</v>
      </c>
      <c r="J2302" t="s">
        <v>25</v>
      </c>
      <c r="K2302">
        <v>0</v>
      </c>
      <c r="L2302">
        <v>0</v>
      </c>
      <c r="M2302" t="s">
        <v>25</v>
      </c>
      <c r="N2302" t="s">
        <v>25</v>
      </c>
      <c r="O2302" t="s">
        <v>26</v>
      </c>
      <c r="P2302" t="s">
        <v>25</v>
      </c>
      <c r="Q2302" t="s">
        <v>51</v>
      </c>
      <c r="R2302" t="s">
        <v>1455</v>
      </c>
    </row>
    <row r="2303" spans="1:20">
      <c r="A2303">
        <v>2313</v>
      </c>
      <c r="B2303" t="s">
        <v>2553</v>
      </c>
      <c r="C2303" t="s">
        <v>21</v>
      </c>
      <c r="D2303" t="s">
        <v>22</v>
      </c>
      <c r="E2303" t="s">
        <v>23</v>
      </c>
      <c r="F2303">
        <v>0</v>
      </c>
      <c r="G2303">
        <v>19</v>
      </c>
      <c r="H2303">
        <v>0</v>
      </c>
      <c r="I2303" t="s">
        <v>24</v>
      </c>
      <c r="J2303" t="s">
        <v>25</v>
      </c>
      <c r="K2303">
        <v>0</v>
      </c>
      <c r="L2303">
        <v>0</v>
      </c>
      <c r="M2303" t="s">
        <v>25</v>
      </c>
      <c r="N2303" t="s">
        <v>25</v>
      </c>
      <c r="O2303" t="s">
        <v>26</v>
      </c>
      <c r="P2303" t="s">
        <v>25</v>
      </c>
      <c r="Q2303" t="s">
        <v>51</v>
      </c>
      <c r="R2303" t="s">
        <v>1455</v>
      </c>
    </row>
    <row r="2304" spans="1:20">
      <c r="A2304">
        <v>2314</v>
      </c>
      <c r="B2304" t="s">
        <v>2554</v>
      </c>
      <c r="C2304" t="s">
        <v>21</v>
      </c>
      <c r="D2304" t="s">
        <v>22</v>
      </c>
      <c r="E2304" t="s">
        <v>23</v>
      </c>
      <c r="F2304">
        <v>0</v>
      </c>
      <c r="G2304">
        <v>19</v>
      </c>
      <c r="H2304">
        <v>0</v>
      </c>
      <c r="I2304" t="s">
        <v>24</v>
      </c>
      <c r="J2304" t="s">
        <v>25</v>
      </c>
      <c r="K2304">
        <v>0</v>
      </c>
      <c r="L2304">
        <v>0</v>
      </c>
      <c r="M2304" t="s">
        <v>25</v>
      </c>
      <c r="N2304" t="s">
        <v>25</v>
      </c>
      <c r="O2304" t="s">
        <v>26</v>
      </c>
      <c r="P2304" t="s">
        <v>25</v>
      </c>
      <c r="Q2304" t="s">
        <v>51</v>
      </c>
      <c r="R2304" t="s">
        <v>1455</v>
      </c>
    </row>
    <row r="2305" spans="1:20">
      <c r="A2305">
        <v>2315</v>
      </c>
      <c r="B2305" t="s">
        <v>2555</v>
      </c>
      <c r="C2305" t="s">
        <v>21</v>
      </c>
      <c r="D2305" t="s">
        <v>22</v>
      </c>
      <c r="E2305" t="s">
        <v>23</v>
      </c>
      <c r="F2305">
        <v>0</v>
      </c>
      <c r="G2305">
        <v>19</v>
      </c>
      <c r="H2305">
        <v>0</v>
      </c>
      <c r="I2305" t="s">
        <v>24</v>
      </c>
      <c r="J2305" t="s">
        <v>25</v>
      </c>
      <c r="K2305">
        <v>0</v>
      </c>
      <c r="L2305">
        <v>0</v>
      </c>
      <c r="M2305" t="s">
        <v>25</v>
      </c>
      <c r="N2305" t="s">
        <v>25</v>
      </c>
      <c r="O2305" t="s">
        <v>26</v>
      </c>
      <c r="P2305" t="s">
        <v>25</v>
      </c>
      <c r="Q2305" t="s">
        <v>51</v>
      </c>
      <c r="R2305" t="s">
        <v>1455</v>
      </c>
      <c r="S2305" t="s">
        <v>51</v>
      </c>
      <c r="T2305" t="s">
        <v>1455</v>
      </c>
    </row>
    <row r="2306" spans="1:20">
      <c r="A2306">
        <v>2316</v>
      </c>
      <c r="B2306" t="s">
        <v>2556</v>
      </c>
      <c r="C2306" t="s">
        <v>21</v>
      </c>
      <c r="D2306" t="s">
        <v>22</v>
      </c>
      <c r="E2306" t="s">
        <v>23</v>
      </c>
      <c r="F2306">
        <v>0</v>
      </c>
      <c r="G2306">
        <v>19</v>
      </c>
      <c r="H2306">
        <v>0</v>
      </c>
      <c r="I2306" t="s">
        <v>24</v>
      </c>
      <c r="J2306" t="s">
        <v>25</v>
      </c>
      <c r="K2306">
        <v>0</v>
      </c>
      <c r="L2306">
        <v>0</v>
      </c>
      <c r="M2306" t="s">
        <v>25</v>
      </c>
      <c r="N2306" t="s">
        <v>25</v>
      </c>
      <c r="O2306" t="s">
        <v>26</v>
      </c>
      <c r="P2306" t="s">
        <v>25</v>
      </c>
      <c r="Q2306" t="s">
        <v>51</v>
      </c>
      <c r="R2306" t="s">
        <v>1455</v>
      </c>
    </row>
    <row r="2307" spans="1:20">
      <c r="A2307">
        <v>2317</v>
      </c>
      <c r="B2307" t="s">
        <v>2557</v>
      </c>
      <c r="C2307" t="s">
        <v>21</v>
      </c>
      <c r="D2307" t="s">
        <v>22</v>
      </c>
      <c r="E2307" t="s">
        <v>23</v>
      </c>
      <c r="F2307">
        <v>0</v>
      </c>
      <c r="G2307">
        <v>19</v>
      </c>
      <c r="H2307">
        <v>0</v>
      </c>
      <c r="I2307" t="s">
        <v>24</v>
      </c>
      <c r="J2307" t="s">
        <v>25</v>
      </c>
      <c r="K2307">
        <v>0</v>
      </c>
      <c r="L2307">
        <v>0</v>
      </c>
      <c r="M2307" t="s">
        <v>25</v>
      </c>
      <c r="N2307" t="s">
        <v>25</v>
      </c>
      <c r="O2307" t="s">
        <v>26</v>
      </c>
      <c r="P2307" t="s">
        <v>25</v>
      </c>
      <c r="Q2307" t="s">
        <v>51</v>
      </c>
      <c r="R2307" t="s">
        <v>1455</v>
      </c>
    </row>
    <row r="2308" spans="1:20">
      <c r="A2308">
        <v>2318</v>
      </c>
      <c r="B2308" t="s">
        <v>2558</v>
      </c>
      <c r="C2308" t="s">
        <v>21</v>
      </c>
      <c r="D2308" t="s">
        <v>22</v>
      </c>
      <c r="E2308" t="s">
        <v>23</v>
      </c>
      <c r="F2308">
        <v>0</v>
      </c>
      <c r="G2308">
        <v>19</v>
      </c>
      <c r="H2308">
        <v>0</v>
      </c>
      <c r="I2308" t="s">
        <v>24</v>
      </c>
      <c r="J2308" t="s">
        <v>25</v>
      </c>
      <c r="K2308">
        <v>0</v>
      </c>
      <c r="L2308">
        <v>0</v>
      </c>
      <c r="M2308" t="s">
        <v>25</v>
      </c>
      <c r="N2308" t="s">
        <v>25</v>
      </c>
      <c r="O2308" t="s">
        <v>26</v>
      </c>
      <c r="P2308" t="s">
        <v>25</v>
      </c>
      <c r="Q2308" t="s">
        <v>51</v>
      </c>
      <c r="R2308" t="s">
        <v>1455</v>
      </c>
    </row>
    <row r="2309" spans="1:20">
      <c r="A2309">
        <v>2319</v>
      </c>
      <c r="B2309" t="s">
        <v>2559</v>
      </c>
      <c r="C2309" t="s">
        <v>21</v>
      </c>
      <c r="D2309" t="s">
        <v>22</v>
      </c>
      <c r="E2309" t="s">
        <v>23</v>
      </c>
      <c r="F2309">
        <v>0</v>
      </c>
      <c r="G2309">
        <v>19</v>
      </c>
      <c r="H2309">
        <v>0</v>
      </c>
      <c r="I2309" t="s">
        <v>24</v>
      </c>
      <c r="J2309" t="s">
        <v>25</v>
      </c>
      <c r="K2309">
        <v>0</v>
      </c>
      <c r="L2309">
        <v>0</v>
      </c>
      <c r="M2309" t="s">
        <v>25</v>
      </c>
      <c r="N2309" t="s">
        <v>25</v>
      </c>
      <c r="O2309" t="s">
        <v>26</v>
      </c>
      <c r="P2309" t="s">
        <v>25</v>
      </c>
      <c r="Q2309" t="s">
        <v>51</v>
      </c>
      <c r="R2309" t="s">
        <v>1455</v>
      </c>
    </row>
    <row r="2310" spans="1:20">
      <c r="A2310">
        <v>2320</v>
      </c>
      <c r="B2310" t="s">
        <v>2560</v>
      </c>
      <c r="C2310" t="s">
        <v>21</v>
      </c>
      <c r="D2310" t="s">
        <v>22</v>
      </c>
      <c r="E2310" t="s">
        <v>23</v>
      </c>
      <c r="F2310">
        <v>0</v>
      </c>
      <c r="G2310">
        <v>19</v>
      </c>
      <c r="H2310">
        <v>0</v>
      </c>
      <c r="I2310" t="s">
        <v>24</v>
      </c>
      <c r="J2310" t="s">
        <v>25</v>
      </c>
      <c r="K2310">
        <v>0</v>
      </c>
      <c r="L2310">
        <v>0</v>
      </c>
      <c r="M2310" t="s">
        <v>25</v>
      </c>
      <c r="N2310" t="s">
        <v>25</v>
      </c>
      <c r="O2310" t="s">
        <v>26</v>
      </c>
      <c r="P2310" t="s">
        <v>25</v>
      </c>
      <c r="Q2310" t="s">
        <v>51</v>
      </c>
      <c r="R2310" t="s">
        <v>1455</v>
      </c>
    </row>
    <row r="2311" spans="1:20">
      <c r="A2311">
        <v>2321</v>
      </c>
      <c r="B2311" t="s">
        <v>2561</v>
      </c>
      <c r="C2311" t="s">
        <v>21</v>
      </c>
      <c r="D2311" t="s">
        <v>22</v>
      </c>
      <c r="E2311" t="s">
        <v>23</v>
      </c>
      <c r="F2311">
        <v>0</v>
      </c>
      <c r="G2311">
        <v>19</v>
      </c>
      <c r="H2311">
        <v>0</v>
      </c>
      <c r="I2311" t="s">
        <v>24</v>
      </c>
      <c r="J2311" t="s">
        <v>25</v>
      </c>
      <c r="K2311">
        <v>0</v>
      </c>
      <c r="L2311">
        <v>0</v>
      </c>
      <c r="M2311" t="s">
        <v>25</v>
      </c>
      <c r="N2311" t="s">
        <v>25</v>
      </c>
      <c r="O2311" t="s">
        <v>26</v>
      </c>
      <c r="P2311" t="s">
        <v>25</v>
      </c>
      <c r="Q2311" t="s">
        <v>2562</v>
      </c>
      <c r="R2311" t="s">
        <v>676</v>
      </c>
    </row>
    <row r="2312" spans="1:20">
      <c r="A2312">
        <v>2322</v>
      </c>
      <c r="B2312" t="s">
        <v>2563</v>
      </c>
      <c r="C2312" t="s">
        <v>21</v>
      </c>
      <c r="D2312" t="s">
        <v>22</v>
      </c>
      <c r="E2312" t="s">
        <v>23</v>
      </c>
      <c r="F2312">
        <v>0</v>
      </c>
      <c r="G2312">
        <v>0</v>
      </c>
      <c r="H2312">
        <v>0</v>
      </c>
      <c r="I2312" t="s">
        <v>24</v>
      </c>
      <c r="J2312" t="s">
        <v>25</v>
      </c>
      <c r="K2312">
        <v>0</v>
      </c>
      <c r="L2312">
        <v>0</v>
      </c>
      <c r="M2312" t="s">
        <v>25</v>
      </c>
      <c r="N2312" t="s">
        <v>25</v>
      </c>
      <c r="O2312" t="s">
        <v>26</v>
      </c>
      <c r="P2312" t="s">
        <v>25</v>
      </c>
      <c r="Q2312" t="s">
        <v>2562</v>
      </c>
      <c r="R2312" t="s">
        <v>676</v>
      </c>
    </row>
    <row r="2313" spans="1:20">
      <c r="A2313">
        <v>2323</v>
      </c>
      <c r="B2313" t="s">
        <v>2564</v>
      </c>
      <c r="C2313" t="s">
        <v>21</v>
      </c>
      <c r="D2313" t="s">
        <v>22</v>
      </c>
      <c r="E2313" t="s">
        <v>23</v>
      </c>
      <c r="F2313">
        <v>75000</v>
      </c>
      <c r="G2313">
        <v>19</v>
      </c>
      <c r="H2313">
        <v>89250</v>
      </c>
      <c r="I2313" t="s">
        <v>24</v>
      </c>
      <c r="J2313" t="s">
        <v>25</v>
      </c>
      <c r="K2313">
        <v>0</v>
      </c>
      <c r="L2313">
        <v>0</v>
      </c>
      <c r="M2313" t="s">
        <v>25</v>
      </c>
      <c r="N2313" t="s">
        <v>25</v>
      </c>
      <c r="O2313" t="s">
        <v>26</v>
      </c>
      <c r="P2313" t="s">
        <v>25</v>
      </c>
      <c r="Q2313" t="s">
        <v>51</v>
      </c>
      <c r="R2313" t="s">
        <v>676</v>
      </c>
      <c r="S2313" t="s">
        <v>51</v>
      </c>
      <c r="T2313" t="s">
        <v>676</v>
      </c>
    </row>
    <row r="2314" spans="1:20">
      <c r="A2314">
        <v>2324</v>
      </c>
      <c r="B2314" t="s">
        <v>2565</v>
      </c>
      <c r="C2314" t="s">
        <v>21</v>
      </c>
      <c r="D2314" t="s">
        <v>22</v>
      </c>
      <c r="E2314" t="s">
        <v>23</v>
      </c>
      <c r="F2314">
        <v>83850</v>
      </c>
      <c r="G2314">
        <v>19</v>
      </c>
      <c r="H2314">
        <v>99781.5</v>
      </c>
      <c r="I2314" t="s">
        <v>24</v>
      </c>
      <c r="J2314" t="s">
        <v>25</v>
      </c>
      <c r="K2314">
        <v>0</v>
      </c>
      <c r="L2314">
        <v>0</v>
      </c>
      <c r="M2314" t="s">
        <v>25</v>
      </c>
      <c r="N2314" t="s">
        <v>25</v>
      </c>
      <c r="O2314" t="s">
        <v>26</v>
      </c>
      <c r="P2314" t="s">
        <v>25</v>
      </c>
      <c r="Q2314" t="s">
        <v>51</v>
      </c>
      <c r="R2314" t="s">
        <v>676</v>
      </c>
      <c r="S2314" t="s">
        <v>51</v>
      </c>
      <c r="T2314" t="s">
        <v>676</v>
      </c>
    </row>
    <row r="2315" spans="1:20">
      <c r="A2315">
        <v>2325</v>
      </c>
      <c r="B2315" t="s">
        <v>2566</v>
      </c>
      <c r="C2315" t="s">
        <v>21</v>
      </c>
      <c r="D2315" t="s">
        <v>22</v>
      </c>
      <c r="E2315" t="s">
        <v>23</v>
      </c>
      <c r="F2315">
        <v>1738152</v>
      </c>
      <c r="G2315">
        <v>19</v>
      </c>
      <c r="H2315">
        <v>2068400.88</v>
      </c>
      <c r="I2315" t="s">
        <v>24</v>
      </c>
      <c r="J2315" t="s">
        <v>25</v>
      </c>
      <c r="K2315">
        <v>0</v>
      </c>
      <c r="L2315">
        <v>0</v>
      </c>
      <c r="M2315" t="s">
        <v>25</v>
      </c>
      <c r="N2315" t="s">
        <v>25</v>
      </c>
      <c r="O2315" t="s">
        <v>26</v>
      </c>
      <c r="P2315" t="s">
        <v>25</v>
      </c>
      <c r="Q2315" t="s">
        <v>51</v>
      </c>
      <c r="R2315" t="s">
        <v>676</v>
      </c>
    </row>
    <row r="2316" spans="1:20">
      <c r="A2316">
        <v>2326</v>
      </c>
      <c r="B2316" t="s">
        <v>2567</v>
      </c>
      <c r="C2316" t="s">
        <v>21</v>
      </c>
      <c r="D2316" t="s">
        <v>22</v>
      </c>
      <c r="E2316" t="s">
        <v>23</v>
      </c>
      <c r="F2316">
        <v>0</v>
      </c>
      <c r="G2316">
        <v>19</v>
      </c>
      <c r="H2316">
        <v>0</v>
      </c>
      <c r="I2316" t="s">
        <v>24</v>
      </c>
      <c r="J2316" t="s">
        <v>25</v>
      </c>
      <c r="K2316">
        <v>0</v>
      </c>
      <c r="L2316">
        <v>0</v>
      </c>
      <c r="M2316" t="s">
        <v>25</v>
      </c>
      <c r="N2316" t="s">
        <v>25</v>
      </c>
      <c r="O2316" t="s">
        <v>26</v>
      </c>
      <c r="P2316" t="s">
        <v>25</v>
      </c>
      <c r="Q2316" t="s">
        <v>2562</v>
      </c>
      <c r="R2316" t="s">
        <v>1044</v>
      </c>
      <c r="S2316" t="s">
        <v>51</v>
      </c>
      <c r="T2316" t="s">
        <v>411</v>
      </c>
    </row>
    <row r="2317" spans="1:20">
      <c r="A2317">
        <v>2327</v>
      </c>
      <c r="B2317" t="s">
        <v>2568</v>
      </c>
      <c r="C2317" t="s">
        <v>21</v>
      </c>
      <c r="D2317" t="s">
        <v>22</v>
      </c>
      <c r="E2317" t="s">
        <v>23</v>
      </c>
      <c r="F2317">
        <v>131932</v>
      </c>
      <c r="G2317">
        <v>19</v>
      </c>
      <c r="H2317">
        <v>156999.07999999999</v>
      </c>
      <c r="I2317" t="s">
        <v>24</v>
      </c>
      <c r="J2317" t="s">
        <v>25</v>
      </c>
      <c r="K2317">
        <v>0</v>
      </c>
      <c r="L2317">
        <v>0</v>
      </c>
      <c r="M2317" t="s">
        <v>25</v>
      </c>
      <c r="N2317" t="s">
        <v>25</v>
      </c>
      <c r="O2317" t="s">
        <v>26</v>
      </c>
      <c r="P2317" t="s">
        <v>25</v>
      </c>
      <c r="Q2317" t="s">
        <v>2562</v>
      </c>
      <c r="R2317" t="s">
        <v>1044</v>
      </c>
      <c r="S2317" t="s">
        <v>51</v>
      </c>
      <c r="T2317" t="s">
        <v>1802</v>
      </c>
    </row>
    <row r="2318" spans="1:20">
      <c r="A2318">
        <v>2328</v>
      </c>
      <c r="B2318" t="s">
        <v>2569</v>
      </c>
      <c r="C2318" t="s">
        <v>21</v>
      </c>
      <c r="D2318" t="s">
        <v>22</v>
      </c>
      <c r="E2318" t="s">
        <v>23</v>
      </c>
      <c r="F2318">
        <v>36134</v>
      </c>
      <c r="G2318">
        <v>19</v>
      </c>
      <c r="H2318">
        <v>42999.46</v>
      </c>
      <c r="I2318" t="s">
        <v>24</v>
      </c>
      <c r="J2318" t="s">
        <v>25</v>
      </c>
      <c r="K2318">
        <v>0</v>
      </c>
      <c r="L2318">
        <v>0</v>
      </c>
      <c r="M2318" t="s">
        <v>25</v>
      </c>
      <c r="N2318" t="s">
        <v>25</v>
      </c>
      <c r="O2318" t="s">
        <v>26</v>
      </c>
      <c r="P2318" t="s">
        <v>25</v>
      </c>
      <c r="Q2318" t="s">
        <v>2562</v>
      </c>
      <c r="R2318" t="s">
        <v>1044</v>
      </c>
      <c r="S2318" t="s">
        <v>51</v>
      </c>
      <c r="T2318" t="s">
        <v>1802</v>
      </c>
    </row>
    <row r="2319" spans="1:20">
      <c r="A2319">
        <v>2329</v>
      </c>
      <c r="B2319" t="s">
        <v>2570</v>
      </c>
      <c r="C2319" t="s">
        <v>21</v>
      </c>
      <c r="D2319" t="s">
        <v>22</v>
      </c>
      <c r="E2319" t="s">
        <v>23</v>
      </c>
      <c r="F2319">
        <v>0</v>
      </c>
      <c r="G2319">
        <v>19</v>
      </c>
      <c r="H2319">
        <v>0</v>
      </c>
      <c r="I2319" t="s">
        <v>24</v>
      </c>
      <c r="J2319" t="s">
        <v>25</v>
      </c>
      <c r="K2319">
        <v>0</v>
      </c>
      <c r="L2319">
        <v>0</v>
      </c>
      <c r="M2319" t="s">
        <v>25</v>
      </c>
      <c r="N2319" t="s">
        <v>25</v>
      </c>
      <c r="O2319" t="s">
        <v>26</v>
      </c>
      <c r="P2319" t="s">
        <v>25</v>
      </c>
      <c r="Q2319" t="s">
        <v>2562</v>
      </c>
      <c r="R2319" t="s">
        <v>1044</v>
      </c>
    </row>
    <row r="2320" spans="1:20">
      <c r="A2320">
        <v>2330</v>
      </c>
      <c r="B2320" t="s">
        <v>2571</v>
      </c>
      <c r="C2320" t="s">
        <v>21</v>
      </c>
      <c r="D2320" t="s">
        <v>22</v>
      </c>
      <c r="E2320" t="s">
        <v>23</v>
      </c>
      <c r="F2320">
        <v>0</v>
      </c>
      <c r="G2320">
        <v>19</v>
      </c>
      <c r="H2320">
        <v>0</v>
      </c>
      <c r="I2320" t="s">
        <v>24</v>
      </c>
      <c r="J2320" t="s">
        <v>25</v>
      </c>
      <c r="K2320">
        <v>0</v>
      </c>
      <c r="L2320">
        <v>0</v>
      </c>
      <c r="M2320" t="s">
        <v>25</v>
      </c>
      <c r="N2320" t="s">
        <v>25</v>
      </c>
      <c r="O2320" t="s">
        <v>26</v>
      </c>
      <c r="P2320" t="s">
        <v>25</v>
      </c>
      <c r="Q2320" t="s">
        <v>2562</v>
      </c>
      <c r="R2320" t="s">
        <v>1044</v>
      </c>
    </row>
    <row r="2321" spans="1:20">
      <c r="A2321">
        <v>2331</v>
      </c>
      <c r="B2321" t="s">
        <v>2572</v>
      </c>
      <c r="C2321" t="s">
        <v>21</v>
      </c>
      <c r="D2321" t="s">
        <v>851</v>
      </c>
      <c r="E2321" t="s">
        <v>1975</v>
      </c>
      <c r="F2321">
        <v>0</v>
      </c>
      <c r="G2321">
        <v>19</v>
      </c>
      <c r="H2321">
        <v>0</v>
      </c>
      <c r="I2321" t="s">
        <v>24</v>
      </c>
      <c r="J2321" t="s">
        <v>25</v>
      </c>
      <c r="K2321">
        <v>0</v>
      </c>
      <c r="L2321">
        <v>0</v>
      </c>
      <c r="M2321" t="s">
        <v>25</v>
      </c>
      <c r="N2321" t="s">
        <v>25</v>
      </c>
      <c r="O2321" t="s">
        <v>26</v>
      </c>
      <c r="P2321" t="s">
        <v>25</v>
      </c>
      <c r="Q2321" t="s">
        <v>2562</v>
      </c>
      <c r="R2321" t="s">
        <v>1044</v>
      </c>
    </row>
    <row r="2322" spans="1:20">
      <c r="A2322">
        <v>2332</v>
      </c>
      <c r="B2322" t="s">
        <v>2573</v>
      </c>
      <c r="C2322" t="s">
        <v>102</v>
      </c>
      <c r="D2322" t="s">
        <v>22</v>
      </c>
      <c r="E2322" t="s">
        <v>23</v>
      </c>
      <c r="F2322">
        <v>0</v>
      </c>
      <c r="G2322">
        <v>0</v>
      </c>
      <c r="H2322">
        <v>0</v>
      </c>
      <c r="I2322" t="s">
        <v>24</v>
      </c>
      <c r="J2322" t="s">
        <v>25</v>
      </c>
      <c r="K2322">
        <v>0</v>
      </c>
      <c r="L2322">
        <v>0</v>
      </c>
      <c r="M2322" t="s">
        <v>25</v>
      </c>
      <c r="N2322" t="s">
        <v>25</v>
      </c>
      <c r="O2322" t="s">
        <v>26</v>
      </c>
      <c r="P2322" t="s">
        <v>25</v>
      </c>
      <c r="Q2322" t="s">
        <v>27</v>
      </c>
      <c r="R2322" t="s">
        <v>836</v>
      </c>
    </row>
    <row r="2323" spans="1:20">
      <c r="A2323">
        <v>2333</v>
      </c>
      <c r="B2323" t="s">
        <v>2574</v>
      </c>
      <c r="C2323" t="s">
        <v>21</v>
      </c>
      <c r="D2323" t="s">
        <v>22</v>
      </c>
      <c r="E2323" t="s">
        <v>23</v>
      </c>
      <c r="F2323">
        <v>12072</v>
      </c>
      <c r="G2323">
        <v>19</v>
      </c>
      <c r="H2323">
        <v>14365.68</v>
      </c>
      <c r="I2323" t="s">
        <v>24</v>
      </c>
      <c r="J2323" t="s">
        <v>25</v>
      </c>
      <c r="K2323">
        <v>0</v>
      </c>
      <c r="L2323">
        <v>0</v>
      </c>
      <c r="M2323" t="s">
        <v>25</v>
      </c>
      <c r="N2323" t="s">
        <v>25</v>
      </c>
      <c r="O2323" t="s">
        <v>26</v>
      </c>
      <c r="P2323" t="s">
        <v>25</v>
      </c>
      <c r="Q2323" t="s">
        <v>48</v>
      </c>
      <c r="R2323" t="s">
        <v>836</v>
      </c>
    </row>
    <row r="2324" spans="1:20">
      <c r="A2324">
        <v>2334</v>
      </c>
      <c r="B2324" t="s">
        <v>2575</v>
      </c>
      <c r="C2324" t="s">
        <v>21</v>
      </c>
      <c r="D2324" t="s">
        <v>22</v>
      </c>
      <c r="E2324" t="s">
        <v>23</v>
      </c>
      <c r="F2324">
        <v>10950</v>
      </c>
      <c r="G2324">
        <v>19</v>
      </c>
      <c r="H2324">
        <v>13030.5</v>
      </c>
      <c r="I2324" t="s">
        <v>24</v>
      </c>
      <c r="J2324" t="s">
        <v>25</v>
      </c>
      <c r="K2324">
        <v>0</v>
      </c>
      <c r="L2324">
        <v>0</v>
      </c>
      <c r="M2324" t="s">
        <v>25</v>
      </c>
      <c r="N2324" t="s">
        <v>25</v>
      </c>
      <c r="O2324" t="s">
        <v>26</v>
      </c>
      <c r="P2324" t="s">
        <v>25</v>
      </c>
      <c r="Q2324" t="s">
        <v>48</v>
      </c>
      <c r="R2324" t="s">
        <v>836</v>
      </c>
      <c r="S2324" t="s">
        <v>48</v>
      </c>
      <c r="T2324" t="s">
        <v>836</v>
      </c>
    </row>
    <row r="2325" spans="1:20">
      <c r="A2325">
        <v>2335</v>
      </c>
      <c r="B2325" t="s">
        <v>2576</v>
      </c>
      <c r="C2325" t="s">
        <v>21</v>
      </c>
      <c r="D2325" t="s">
        <v>848</v>
      </c>
      <c r="E2325" t="s">
        <v>23</v>
      </c>
      <c r="F2325">
        <v>0</v>
      </c>
      <c r="G2325">
        <v>19</v>
      </c>
      <c r="H2325">
        <v>0</v>
      </c>
      <c r="I2325" t="s">
        <v>24</v>
      </c>
      <c r="J2325" t="s">
        <v>25</v>
      </c>
      <c r="K2325">
        <v>0</v>
      </c>
      <c r="L2325">
        <v>0</v>
      </c>
      <c r="M2325" t="s">
        <v>25</v>
      </c>
      <c r="N2325" t="s">
        <v>25</v>
      </c>
      <c r="O2325" t="s">
        <v>26</v>
      </c>
      <c r="P2325" t="s">
        <v>25</v>
      </c>
      <c r="Q2325" t="s">
        <v>51</v>
      </c>
      <c r="R2325" t="s">
        <v>836</v>
      </c>
      <c r="S2325" t="s">
        <v>48</v>
      </c>
      <c r="T2325" t="s">
        <v>2469</v>
      </c>
    </row>
    <row r="2326" spans="1:20">
      <c r="A2326">
        <v>2336</v>
      </c>
      <c r="B2326" t="s">
        <v>2577</v>
      </c>
      <c r="C2326" t="s">
        <v>36</v>
      </c>
      <c r="D2326" t="s">
        <v>217</v>
      </c>
      <c r="E2326" t="s">
        <v>1146</v>
      </c>
      <c r="F2326">
        <v>0</v>
      </c>
      <c r="G2326">
        <v>0</v>
      </c>
      <c r="H2326">
        <v>0</v>
      </c>
      <c r="I2326" t="s">
        <v>24</v>
      </c>
      <c r="J2326" t="s">
        <v>25</v>
      </c>
      <c r="K2326">
        <v>0</v>
      </c>
      <c r="L2326">
        <v>0</v>
      </c>
      <c r="M2326" t="s">
        <v>25</v>
      </c>
      <c r="N2326" t="s">
        <v>25</v>
      </c>
      <c r="O2326" t="s">
        <v>26</v>
      </c>
      <c r="P2326" t="s">
        <v>25</v>
      </c>
      <c r="Q2326" t="s">
        <v>231</v>
      </c>
      <c r="R2326" t="s">
        <v>836</v>
      </c>
      <c r="S2326" t="s">
        <v>231</v>
      </c>
      <c r="T2326" t="s">
        <v>836</v>
      </c>
    </row>
    <row r="2327" spans="1:20">
      <c r="A2327">
        <v>2337</v>
      </c>
      <c r="B2327" t="s">
        <v>2578</v>
      </c>
      <c r="C2327" t="s">
        <v>102</v>
      </c>
      <c r="D2327" t="s">
        <v>1131</v>
      </c>
      <c r="E2327" t="s">
        <v>1146</v>
      </c>
      <c r="F2327">
        <v>0</v>
      </c>
      <c r="G2327">
        <v>0</v>
      </c>
      <c r="H2327">
        <v>0</v>
      </c>
      <c r="I2327" t="s">
        <v>24</v>
      </c>
      <c r="J2327" t="s">
        <v>25</v>
      </c>
      <c r="K2327">
        <v>0</v>
      </c>
      <c r="L2327">
        <v>0</v>
      </c>
      <c r="M2327" t="s">
        <v>25</v>
      </c>
      <c r="N2327" t="s">
        <v>25</v>
      </c>
      <c r="O2327" t="s">
        <v>26</v>
      </c>
      <c r="P2327" t="s">
        <v>25</v>
      </c>
      <c r="Q2327" t="s">
        <v>231</v>
      </c>
      <c r="R2327" t="s">
        <v>836</v>
      </c>
    </row>
    <row r="2328" spans="1:20">
      <c r="A2328">
        <v>2338</v>
      </c>
      <c r="B2328" t="s">
        <v>2579</v>
      </c>
      <c r="C2328" t="s">
        <v>36</v>
      </c>
      <c r="D2328" t="s">
        <v>1131</v>
      </c>
      <c r="E2328" t="s">
        <v>37</v>
      </c>
      <c r="F2328">
        <v>0</v>
      </c>
      <c r="G2328">
        <v>0</v>
      </c>
      <c r="H2328">
        <v>0</v>
      </c>
      <c r="I2328" t="s">
        <v>24</v>
      </c>
      <c r="J2328" t="s">
        <v>25</v>
      </c>
      <c r="K2328">
        <v>0</v>
      </c>
      <c r="L2328">
        <v>0</v>
      </c>
      <c r="M2328" t="s">
        <v>25</v>
      </c>
      <c r="N2328" t="s">
        <v>25</v>
      </c>
      <c r="O2328" t="s">
        <v>26</v>
      </c>
      <c r="P2328" t="s">
        <v>25</v>
      </c>
      <c r="Q2328" t="s">
        <v>231</v>
      </c>
      <c r="R2328" t="s">
        <v>836</v>
      </c>
    </row>
    <row r="2329" spans="1:20">
      <c r="A2329">
        <v>2339</v>
      </c>
      <c r="B2329" t="s">
        <v>2580</v>
      </c>
      <c r="C2329" t="s">
        <v>21</v>
      </c>
      <c r="D2329" t="s">
        <v>22</v>
      </c>
      <c r="E2329" t="s">
        <v>23</v>
      </c>
      <c r="F2329">
        <v>0</v>
      </c>
      <c r="G2329">
        <v>19</v>
      </c>
      <c r="H2329">
        <v>0</v>
      </c>
      <c r="I2329" t="s">
        <v>24</v>
      </c>
      <c r="J2329" t="s">
        <v>25</v>
      </c>
      <c r="K2329">
        <v>0</v>
      </c>
      <c r="L2329">
        <v>0</v>
      </c>
      <c r="M2329" t="s">
        <v>25</v>
      </c>
      <c r="N2329" t="s">
        <v>25</v>
      </c>
      <c r="O2329" t="s">
        <v>26</v>
      </c>
      <c r="P2329" t="s">
        <v>25</v>
      </c>
      <c r="Q2329" t="s">
        <v>51</v>
      </c>
      <c r="R2329" t="s">
        <v>303</v>
      </c>
    </row>
    <row r="2330" spans="1:20">
      <c r="A2330">
        <v>2340</v>
      </c>
      <c r="B2330" t="s">
        <v>2581</v>
      </c>
      <c r="C2330" t="s">
        <v>21</v>
      </c>
      <c r="D2330" t="s">
        <v>22</v>
      </c>
      <c r="E2330" t="s">
        <v>23</v>
      </c>
      <c r="F2330">
        <v>0</v>
      </c>
      <c r="G2330">
        <v>0</v>
      </c>
      <c r="H2330">
        <v>0</v>
      </c>
      <c r="I2330" t="s">
        <v>24</v>
      </c>
      <c r="J2330" t="s">
        <v>25</v>
      </c>
      <c r="K2330">
        <v>0</v>
      </c>
      <c r="L2330">
        <v>0</v>
      </c>
      <c r="M2330" t="s">
        <v>25</v>
      </c>
      <c r="N2330" t="s">
        <v>25</v>
      </c>
      <c r="O2330" t="s">
        <v>26</v>
      </c>
      <c r="P2330" t="s">
        <v>25</v>
      </c>
      <c r="Q2330" t="s">
        <v>51</v>
      </c>
      <c r="R2330" t="s">
        <v>303</v>
      </c>
    </row>
    <row r="2331" spans="1:20">
      <c r="A2331">
        <v>2341</v>
      </c>
      <c r="B2331" t="s">
        <v>2582</v>
      </c>
      <c r="C2331" t="s">
        <v>21</v>
      </c>
      <c r="D2331" t="s">
        <v>22</v>
      </c>
      <c r="E2331" t="s">
        <v>23</v>
      </c>
      <c r="F2331">
        <v>0</v>
      </c>
      <c r="G2331">
        <v>19</v>
      </c>
      <c r="H2331">
        <v>0</v>
      </c>
      <c r="I2331" t="s">
        <v>24</v>
      </c>
      <c r="J2331" t="s">
        <v>25</v>
      </c>
      <c r="K2331">
        <v>0</v>
      </c>
      <c r="L2331">
        <v>0</v>
      </c>
      <c r="M2331" t="s">
        <v>25</v>
      </c>
      <c r="N2331" t="s">
        <v>25</v>
      </c>
      <c r="O2331" t="s">
        <v>26</v>
      </c>
      <c r="P2331" t="s">
        <v>25</v>
      </c>
      <c r="Q2331" t="s">
        <v>51</v>
      </c>
      <c r="R2331" t="s">
        <v>303</v>
      </c>
    </row>
    <row r="2332" spans="1:20">
      <c r="A2332">
        <v>2342</v>
      </c>
      <c r="B2332" t="s">
        <v>2583</v>
      </c>
      <c r="C2332" t="s">
        <v>21</v>
      </c>
      <c r="D2332" t="s">
        <v>22</v>
      </c>
      <c r="E2332" t="s">
        <v>23</v>
      </c>
      <c r="F2332">
        <v>0</v>
      </c>
      <c r="G2332">
        <v>19</v>
      </c>
      <c r="H2332">
        <v>0</v>
      </c>
      <c r="I2332" t="s">
        <v>24</v>
      </c>
      <c r="J2332" t="s">
        <v>25</v>
      </c>
      <c r="K2332">
        <v>0</v>
      </c>
      <c r="L2332">
        <v>0</v>
      </c>
      <c r="M2332" t="s">
        <v>25</v>
      </c>
      <c r="N2332" t="s">
        <v>25</v>
      </c>
      <c r="O2332" t="s">
        <v>26</v>
      </c>
      <c r="P2332" t="s">
        <v>25</v>
      </c>
      <c r="Q2332" t="s">
        <v>51</v>
      </c>
      <c r="R2332" t="s">
        <v>303</v>
      </c>
    </row>
    <row r="2333" spans="1:20">
      <c r="A2333">
        <v>2343</v>
      </c>
      <c r="B2333" t="s">
        <v>2584</v>
      </c>
      <c r="C2333" t="s">
        <v>21</v>
      </c>
      <c r="D2333" t="s">
        <v>22</v>
      </c>
      <c r="E2333" t="s">
        <v>23</v>
      </c>
      <c r="F2333">
        <v>0</v>
      </c>
      <c r="G2333">
        <v>19</v>
      </c>
      <c r="H2333">
        <v>0</v>
      </c>
      <c r="I2333" t="s">
        <v>24</v>
      </c>
      <c r="J2333" t="s">
        <v>25</v>
      </c>
      <c r="K2333">
        <v>0</v>
      </c>
      <c r="L2333">
        <v>0</v>
      </c>
      <c r="M2333" t="s">
        <v>25</v>
      </c>
      <c r="N2333" t="s">
        <v>25</v>
      </c>
      <c r="O2333" t="s">
        <v>26</v>
      </c>
      <c r="P2333" t="s">
        <v>25</v>
      </c>
      <c r="Q2333" t="s">
        <v>51</v>
      </c>
      <c r="R2333" t="s">
        <v>303</v>
      </c>
    </row>
    <row r="2334" spans="1:20">
      <c r="A2334">
        <v>2344</v>
      </c>
      <c r="B2334" t="s">
        <v>2585</v>
      </c>
      <c r="C2334" t="s">
        <v>21</v>
      </c>
      <c r="D2334" t="s">
        <v>22</v>
      </c>
      <c r="E2334" t="s">
        <v>23</v>
      </c>
      <c r="F2334">
        <v>0</v>
      </c>
      <c r="G2334">
        <v>19</v>
      </c>
      <c r="H2334">
        <v>0</v>
      </c>
      <c r="I2334" t="s">
        <v>24</v>
      </c>
      <c r="J2334" t="s">
        <v>25</v>
      </c>
      <c r="K2334">
        <v>0</v>
      </c>
      <c r="L2334">
        <v>0</v>
      </c>
      <c r="M2334" t="s">
        <v>25</v>
      </c>
      <c r="N2334" t="s">
        <v>25</v>
      </c>
      <c r="O2334" t="s">
        <v>26</v>
      </c>
      <c r="P2334" t="s">
        <v>25</v>
      </c>
      <c r="Q2334" t="s">
        <v>51</v>
      </c>
      <c r="R2334" t="s">
        <v>303</v>
      </c>
    </row>
    <row r="2335" spans="1:20">
      <c r="A2335">
        <v>2345</v>
      </c>
      <c r="B2335" t="s">
        <v>2586</v>
      </c>
      <c r="C2335" t="s">
        <v>21</v>
      </c>
      <c r="D2335" t="s">
        <v>343</v>
      </c>
      <c r="E2335" t="s">
        <v>23</v>
      </c>
      <c r="F2335">
        <v>0</v>
      </c>
      <c r="G2335">
        <v>19</v>
      </c>
      <c r="H2335">
        <v>0</v>
      </c>
      <c r="I2335" t="s">
        <v>24</v>
      </c>
      <c r="J2335" t="s">
        <v>25</v>
      </c>
      <c r="K2335">
        <v>0</v>
      </c>
      <c r="L2335">
        <v>0</v>
      </c>
      <c r="M2335" t="s">
        <v>25</v>
      </c>
      <c r="N2335" t="s">
        <v>25</v>
      </c>
      <c r="O2335" t="s">
        <v>26</v>
      </c>
      <c r="P2335" t="s">
        <v>25</v>
      </c>
      <c r="Q2335" t="s">
        <v>51</v>
      </c>
      <c r="R2335" t="s">
        <v>303</v>
      </c>
    </row>
    <row r="2336" spans="1:20">
      <c r="A2336">
        <v>2346</v>
      </c>
      <c r="B2336" t="s">
        <v>2587</v>
      </c>
      <c r="C2336" t="s">
        <v>21</v>
      </c>
      <c r="D2336" t="s">
        <v>22</v>
      </c>
      <c r="E2336" t="s">
        <v>23</v>
      </c>
      <c r="F2336">
        <v>0</v>
      </c>
      <c r="G2336">
        <v>19</v>
      </c>
      <c r="H2336">
        <v>0</v>
      </c>
      <c r="I2336" t="s">
        <v>24</v>
      </c>
      <c r="J2336" t="s">
        <v>25</v>
      </c>
      <c r="K2336">
        <v>0</v>
      </c>
      <c r="L2336">
        <v>0</v>
      </c>
      <c r="M2336" t="s">
        <v>25</v>
      </c>
      <c r="N2336" t="s">
        <v>25</v>
      </c>
      <c r="O2336" t="s">
        <v>26</v>
      </c>
      <c r="P2336" t="s">
        <v>25</v>
      </c>
      <c r="Q2336" t="s">
        <v>51</v>
      </c>
      <c r="R2336" t="s">
        <v>303</v>
      </c>
    </row>
    <row r="2337" spans="1:18">
      <c r="A2337">
        <v>2347</v>
      </c>
      <c r="B2337" t="s">
        <v>2588</v>
      </c>
      <c r="C2337" t="s">
        <v>21</v>
      </c>
      <c r="D2337" t="s">
        <v>22</v>
      </c>
      <c r="E2337" t="s">
        <v>23</v>
      </c>
      <c r="F2337">
        <v>0</v>
      </c>
      <c r="G2337">
        <v>19</v>
      </c>
      <c r="H2337">
        <v>0</v>
      </c>
      <c r="I2337" t="s">
        <v>24</v>
      </c>
      <c r="J2337" t="s">
        <v>25</v>
      </c>
      <c r="K2337">
        <v>0</v>
      </c>
      <c r="L2337">
        <v>0</v>
      </c>
      <c r="M2337" t="s">
        <v>25</v>
      </c>
      <c r="N2337" t="s">
        <v>25</v>
      </c>
      <c r="O2337" t="s">
        <v>26</v>
      </c>
      <c r="P2337" t="s">
        <v>25</v>
      </c>
      <c r="Q2337" t="s">
        <v>51</v>
      </c>
      <c r="R2337" t="s">
        <v>303</v>
      </c>
    </row>
    <row r="2338" spans="1:18">
      <c r="A2338">
        <v>2348</v>
      </c>
      <c r="B2338" t="s">
        <v>2589</v>
      </c>
      <c r="C2338" t="s">
        <v>21</v>
      </c>
      <c r="D2338" t="s">
        <v>22</v>
      </c>
      <c r="E2338" t="s">
        <v>23</v>
      </c>
      <c r="F2338">
        <v>0</v>
      </c>
      <c r="G2338">
        <v>19</v>
      </c>
      <c r="H2338">
        <v>0</v>
      </c>
      <c r="I2338" t="s">
        <v>24</v>
      </c>
      <c r="J2338" t="s">
        <v>25</v>
      </c>
      <c r="K2338">
        <v>0</v>
      </c>
      <c r="L2338">
        <v>0</v>
      </c>
      <c r="M2338" t="s">
        <v>25</v>
      </c>
      <c r="N2338" t="s">
        <v>25</v>
      </c>
      <c r="O2338" t="s">
        <v>26</v>
      </c>
      <c r="P2338" t="s">
        <v>25</v>
      </c>
      <c r="Q2338" t="s">
        <v>51</v>
      </c>
      <c r="R2338" t="s">
        <v>303</v>
      </c>
    </row>
    <row r="2339" spans="1:18">
      <c r="A2339">
        <v>2349</v>
      </c>
      <c r="B2339" t="s">
        <v>2590</v>
      </c>
      <c r="C2339" t="s">
        <v>21</v>
      </c>
      <c r="D2339" t="s">
        <v>22</v>
      </c>
      <c r="E2339" t="s">
        <v>23</v>
      </c>
      <c r="F2339">
        <v>0</v>
      </c>
      <c r="G2339">
        <v>19</v>
      </c>
      <c r="H2339">
        <v>0</v>
      </c>
      <c r="I2339" t="s">
        <v>24</v>
      </c>
      <c r="J2339" t="s">
        <v>25</v>
      </c>
      <c r="K2339">
        <v>0</v>
      </c>
      <c r="L2339">
        <v>0</v>
      </c>
      <c r="M2339" t="s">
        <v>25</v>
      </c>
      <c r="N2339" t="s">
        <v>25</v>
      </c>
      <c r="O2339" t="s">
        <v>26</v>
      </c>
      <c r="P2339" t="s">
        <v>25</v>
      </c>
      <c r="Q2339" t="s">
        <v>51</v>
      </c>
      <c r="R2339" t="s">
        <v>303</v>
      </c>
    </row>
    <row r="2340" spans="1:18">
      <c r="A2340">
        <v>2350</v>
      </c>
      <c r="B2340" t="s">
        <v>2591</v>
      </c>
      <c r="C2340" t="s">
        <v>21</v>
      </c>
      <c r="D2340" t="s">
        <v>22</v>
      </c>
      <c r="E2340" t="s">
        <v>23</v>
      </c>
      <c r="F2340">
        <v>0</v>
      </c>
      <c r="G2340">
        <v>19</v>
      </c>
      <c r="H2340">
        <v>0</v>
      </c>
      <c r="I2340" t="s">
        <v>24</v>
      </c>
      <c r="J2340" t="s">
        <v>25</v>
      </c>
      <c r="K2340">
        <v>0</v>
      </c>
      <c r="L2340">
        <v>0</v>
      </c>
      <c r="M2340" t="s">
        <v>25</v>
      </c>
      <c r="N2340" t="s">
        <v>25</v>
      </c>
      <c r="O2340" t="s">
        <v>26</v>
      </c>
      <c r="P2340" t="s">
        <v>25</v>
      </c>
      <c r="Q2340" t="s">
        <v>51</v>
      </c>
      <c r="R2340" t="s">
        <v>303</v>
      </c>
    </row>
    <row r="2341" spans="1:18">
      <c r="A2341">
        <v>2351</v>
      </c>
      <c r="B2341" t="s">
        <v>2592</v>
      </c>
      <c r="C2341" t="s">
        <v>21</v>
      </c>
      <c r="D2341" t="s">
        <v>22</v>
      </c>
      <c r="E2341" t="s">
        <v>23</v>
      </c>
      <c r="F2341">
        <v>0</v>
      </c>
      <c r="G2341">
        <v>19</v>
      </c>
      <c r="H2341">
        <v>0</v>
      </c>
      <c r="I2341" t="s">
        <v>24</v>
      </c>
      <c r="J2341" t="s">
        <v>25</v>
      </c>
      <c r="K2341">
        <v>0</v>
      </c>
      <c r="L2341">
        <v>0</v>
      </c>
      <c r="M2341" t="s">
        <v>25</v>
      </c>
      <c r="N2341" t="s">
        <v>25</v>
      </c>
      <c r="O2341" t="s">
        <v>26</v>
      </c>
      <c r="P2341" t="s">
        <v>25</v>
      </c>
      <c r="Q2341" t="s">
        <v>51</v>
      </c>
      <c r="R2341" t="s">
        <v>303</v>
      </c>
    </row>
    <row r="2342" spans="1:18">
      <c r="A2342">
        <v>2352</v>
      </c>
      <c r="B2342" t="s">
        <v>2593</v>
      </c>
      <c r="C2342" t="s">
        <v>21</v>
      </c>
      <c r="D2342" t="s">
        <v>22</v>
      </c>
      <c r="E2342" t="s">
        <v>23</v>
      </c>
      <c r="F2342">
        <v>0</v>
      </c>
      <c r="G2342">
        <v>19</v>
      </c>
      <c r="H2342">
        <v>0</v>
      </c>
      <c r="I2342" t="s">
        <v>24</v>
      </c>
      <c r="J2342" t="s">
        <v>25</v>
      </c>
      <c r="K2342">
        <v>0</v>
      </c>
      <c r="L2342">
        <v>0</v>
      </c>
      <c r="M2342" t="s">
        <v>25</v>
      </c>
      <c r="N2342" t="s">
        <v>25</v>
      </c>
      <c r="O2342" t="s">
        <v>26</v>
      </c>
      <c r="P2342" t="s">
        <v>25</v>
      </c>
      <c r="Q2342" t="s">
        <v>51</v>
      </c>
      <c r="R2342" t="s">
        <v>303</v>
      </c>
    </row>
    <row r="2343" spans="1:18">
      <c r="A2343">
        <v>2353</v>
      </c>
      <c r="B2343" t="s">
        <v>2594</v>
      </c>
      <c r="C2343" t="s">
        <v>21</v>
      </c>
      <c r="D2343" t="s">
        <v>22</v>
      </c>
      <c r="E2343" t="s">
        <v>23</v>
      </c>
      <c r="F2343">
        <v>0</v>
      </c>
      <c r="G2343">
        <v>19</v>
      </c>
      <c r="H2343">
        <v>0</v>
      </c>
      <c r="I2343" t="s">
        <v>24</v>
      </c>
      <c r="J2343" t="s">
        <v>25</v>
      </c>
      <c r="K2343">
        <v>0</v>
      </c>
      <c r="L2343">
        <v>0</v>
      </c>
      <c r="M2343" t="s">
        <v>25</v>
      </c>
      <c r="N2343" t="s">
        <v>25</v>
      </c>
      <c r="O2343" t="s">
        <v>26</v>
      </c>
      <c r="P2343" t="s">
        <v>25</v>
      </c>
      <c r="Q2343" t="s">
        <v>51</v>
      </c>
      <c r="R2343" t="s">
        <v>303</v>
      </c>
    </row>
    <row r="2344" spans="1:18">
      <c r="A2344">
        <v>2354</v>
      </c>
      <c r="B2344" t="s">
        <v>2595</v>
      </c>
      <c r="C2344" t="s">
        <v>21</v>
      </c>
      <c r="D2344" t="s">
        <v>22</v>
      </c>
      <c r="E2344" t="s">
        <v>23</v>
      </c>
      <c r="F2344">
        <v>0</v>
      </c>
      <c r="G2344">
        <v>19</v>
      </c>
      <c r="H2344">
        <v>0</v>
      </c>
      <c r="I2344" t="s">
        <v>24</v>
      </c>
      <c r="J2344" t="s">
        <v>25</v>
      </c>
      <c r="K2344">
        <v>0</v>
      </c>
      <c r="L2344">
        <v>0</v>
      </c>
      <c r="M2344" t="s">
        <v>25</v>
      </c>
      <c r="N2344" t="s">
        <v>25</v>
      </c>
      <c r="O2344" t="s">
        <v>26</v>
      </c>
      <c r="P2344" t="s">
        <v>25</v>
      </c>
      <c r="Q2344" t="s">
        <v>51</v>
      </c>
      <c r="R2344" t="s">
        <v>303</v>
      </c>
    </row>
    <row r="2345" spans="1:18">
      <c r="A2345">
        <v>2355</v>
      </c>
      <c r="B2345" t="s">
        <v>2596</v>
      </c>
      <c r="C2345" t="s">
        <v>21</v>
      </c>
      <c r="D2345" t="s">
        <v>22</v>
      </c>
      <c r="E2345" t="s">
        <v>23</v>
      </c>
      <c r="F2345">
        <v>0</v>
      </c>
      <c r="G2345">
        <v>19</v>
      </c>
      <c r="H2345">
        <v>0</v>
      </c>
      <c r="I2345" t="s">
        <v>24</v>
      </c>
      <c r="J2345" t="s">
        <v>25</v>
      </c>
      <c r="K2345">
        <v>0</v>
      </c>
      <c r="L2345">
        <v>0</v>
      </c>
      <c r="M2345" t="s">
        <v>25</v>
      </c>
      <c r="N2345" t="s">
        <v>25</v>
      </c>
      <c r="O2345" t="s">
        <v>26</v>
      </c>
      <c r="P2345" t="s">
        <v>25</v>
      </c>
      <c r="Q2345" t="s">
        <v>51</v>
      </c>
      <c r="R2345" t="s">
        <v>303</v>
      </c>
    </row>
    <row r="2346" spans="1:18">
      <c r="A2346">
        <v>2356</v>
      </c>
      <c r="B2346" t="s">
        <v>2597</v>
      </c>
      <c r="C2346" t="s">
        <v>21</v>
      </c>
      <c r="D2346" t="s">
        <v>22</v>
      </c>
      <c r="E2346" t="s">
        <v>23</v>
      </c>
      <c r="F2346">
        <v>0</v>
      </c>
      <c r="G2346">
        <v>19</v>
      </c>
      <c r="H2346">
        <v>0</v>
      </c>
      <c r="I2346" t="s">
        <v>24</v>
      </c>
      <c r="J2346" t="s">
        <v>25</v>
      </c>
      <c r="K2346">
        <v>0</v>
      </c>
      <c r="L2346">
        <v>0</v>
      </c>
      <c r="M2346" t="s">
        <v>25</v>
      </c>
      <c r="N2346" t="s">
        <v>25</v>
      </c>
      <c r="O2346" t="s">
        <v>26</v>
      </c>
      <c r="P2346" t="s">
        <v>25</v>
      </c>
      <c r="Q2346" t="s">
        <v>51</v>
      </c>
      <c r="R2346" t="s">
        <v>303</v>
      </c>
    </row>
    <row r="2347" spans="1:18">
      <c r="A2347">
        <v>2357</v>
      </c>
      <c r="B2347" t="s">
        <v>2598</v>
      </c>
      <c r="C2347" t="s">
        <v>21</v>
      </c>
      <c r="D2347" t="s">
        <v>22</v>
      </c>
      <c r="E2347" t="s">
        <v>23</v>
      </c>
      <c r="F2347">
        <v>0</v>
      </c>
      <c r="G2347">
        <v>19</v>
      </c>
      <c r="H2347">
        <v>0</v>
      </c>
      <c r="I2347" t="s">
        <v>24</v>
      </c>
      <c r="J2347" t="s">
        <v>25</v>
      </c>
      <c r="K2347">
        <v>0</v>
      </c>
      <c r="L2347">
        <v>0</v>
      </c>
      <c r="M2347" t="s">
        <v>25</v>
      </c>
      <c r="N2347" t="s">
        <v>25</v>
      </c>
      <c r="O2347" t="s">
        <v>26</v>
      </c>
      <c r="P2347" t="s">
        <v>25</v>
      </c>
      <c r="Q2347" t="s">
        <v>51</v>
      </c>
      <c r="R2347" t="s">
        <v>303</v>
      </c>
    </row>
    <row r="2348" spans="1:18">
      <c r="A2348">
        <v>2358</v>
      </c>
      <c r="B2348" t="s">
        <v>2599</v>
      </c>
      <c r="C2348" t="s">
        <v>102</v>
      </c>
      <c r="D2348" t="s">
        <v>22</v>
      </c>
      <c r="E2348" t="s">
        <v>23</v>
      </c>
      <c r="F2348">
        <v>0</v>
      </c>
      <c r="G2348">
        <v>0</v>
      </c>
      <c r="H2348">
        <v>0</v>
      </c>
      <c r="I2348" t="s">
        <v>24</v>
      </c>
      <c r="J2348" t="s">
        <v>25</v>
      </c>
      <c r="K2348">
        <v>0</v>
      </c>
      <c r="L2348">
        <v>0</v>
      </c>
      <c r="M2348" t="s">
        <v>25</v>
      </c>
      <c r="N2348" t="s">
        <v>25</v>
      </c>
      <c r="O2348" t="s">
        <v>26</v>
      </c>
      <c r="P2348" t="s">
        <v>25</v>
      </c>
      <c r="Q2348" t="s">
        <v>27</v>
      </c>
      <c r="R2348" t="s">
        <v>2600</v>
      </c>
    </row>
    <row r="2349" spans="1:18">
      <c r="A2349">
        <v>2359</v>
      </c>
      <c r="B2349" t="s">
        <v>2601</v>
      </c>
      <c r="C2349" t="s">
        <v>102</v>
      </c>
      <c r="D2349" t="s">
        <v>22</v>
      </c>
      <c r="E2349" t="s">
        <v>23</v>
      </c>
      <c r="F2349">
        <v>0</v>
      </c>
      <c r="G2349">
        <v>0</v>
      </c>
      <c r="H2349">
        <v>0</v>
      </c>
      <c r="I2349" t="s">
        <v>24</v>
      </c>
      <c r="J2349" t="s">
        <v>25</v>
      </c>
      <c r="K2349">
        <v>0</v>
      </c>
      <c r="L2349">
        <v>0</v>
      </c>
      <c r="M2349" t="s">
        <v>25</v>
      </c>
      <c r="N2349" t="s">
        <v>25</v>
      </c>
      <c r="O2349" t="s">
        <v>26</v>
      </c>
      <c r="P2349" t="s">
        <v>25</v>
      </c>
      <c r="Q2349" t="s">
        <v>27</v>
      </c>
      <c r="R2349" t="s">
        <v>2600</v>
      </c>
    </row>
    <row r="2350" spans="1:18">
      <c r="A2350">
        <v>2360</v>
      </c>
      <c r="B2350" t="s">
        <v>2602</v>
      </c>
      <c r="C2350" t="s">
        <v>102</v>
      </c>
      <c r="D2350" t="s">
        <v>22</v>
      </c>
      <c r="E2350" t="s">
        <v>23</v>
      </c>
      <c r="F2350">
        <v>0</v>
      </c>
      <c r="G2350">
        <v>0</v>
      </c>
      <c r="H2350">
        <v>0</v>
      </c>
      <c r="I2350" t="s">
        <v>24</v>
      </c>
      <c r="J2350" t="s">
        <v>25</v>
      </c>
      <c r="K2350">
        <v>0</v>
      </c>
      <c r="L2350">
        <v>0</v>
      </c>
      <c r="M2350" t="s">
        <v>25</v>
      </c>
      <c r="N2350" t="s">
        <v>25</v>
      </c>
      <c r="O2350" t="s">
        <v>26</v>
      </c>
      <c r="P2350" t="s">
        <v>25</v>
      </c>
      <c r="Q2350" t="s">
        <v>27</v>
      </c>
      <c r="R2350" t="s">
        <v>2600</v>
      </c>
    </row>
    <row r="2351" spans="1:18">
      <c r="A2351">
        <v>2361</v>
      </c>
      <c r="B2351" t="s">
        <v>2603</v>
      </c>
      <c r="C2351" t="s">
        <v>102</v>
      </c>
      <c r="D2351" t="s">
        <v>22</v>
      </c>
      <c r="E2351" t="s">
        <v>23</v>
      </c>
      <c r="F2351">
        <v>0</v>
      </c>
      <c r="G2351">
        <v>0</v>
      </c>
      <c r="H2351">
        <v>0</v>
      </c>
      <c r="I2351" t="s">
        <v>24</v>
      </c>
      <c r="J2351" t="s">
        <v>25</v>
      </c>
      <c r="K2351">
        <v>0</v>
      </c>
      <c r="L2351">
        <v>0</v>
      </c>
      <c r="M2351" t="s">
        <v>25</v>
      </c>
      <c r="N2351" t="s">
        <v>25</v>
      </c>
      <c r="O2351" t="s">
        <v>26</v>
      </c>
      <c r="P2351" t="s">
        <v>25</v>
      </c>
      <c r="Q2351" t="s">
        <v>27</v>
      </c>
      <c r="R2351" t="s">
        <v>2600</v>
      </c>
    </row>
    <row r="2352" spans="1:18">
      <c r="A2352">
        <v>2362</v>
      </c>
      <c r="B2352" t="s">
        <v>2604</v>
      </c>
      <c r="C2352" t="s">
        <v>102</v>
      </c>
      <c r="D2352" t="s">
        <v>22</v>
      </c>
      <c r="E2352" t="s">
        <v>23</v>
      </c>
      <c r="F2352">
        <v>0</v>
      </c>
      <c r="G2352">
        <v>0</v>
      </c>
      <c r="H2352">
        <v>0</v>
      </c>
      <c r="I2352" t="s">
        <v>24</v>
      </c>
      <c r="J2352" t="s">
        <v>25</v>
      </c>
      <c r="K2352">
        <v>0</v>
      </c>
      <c r="L2352">
        <v>0</v>
      </c>
      <c r="M2352" t="s">
        <v>25</v>
      </c>
      <c r="N2352" t="s">
        <v>25</v>
      </c>
      <c r="O2352" t="s">
        <v>26</v>
      </c>
      <c r="P2352" t="s">
        <v>25</v>
      </c>
      <c r="Q2352" t="s">
        <v>27</v>
      </c>
      <c r="R2352" t="s">
        <v>2600</v>
      </c>
    </row>
    <row r="2353" spans="1:20">
      <c r="A2353">
        <v>2363</v>
      </c>
      <c r="B2353" t="s">
        <v>2605</v>
      </c>
      <c r="C2353" t="s">
        <v>102</v>
      </c>
      <c r="D2353" t="s">
        <v>22</v>
      </c>
      <c r="E2353" t="s">
        <v>23</v>
      </c>
      <c r="F2353">
        <v>0</v>
      </c>
      <c r="G2353">
        <v>0</v>
      </c>
      <c r="H2353">
        <v>0</v>
      </c>
      <c r="I2353" t="s">
        <v>24</v>
      </c>
      <c r="J2353" t="s">
        <v>25</v>
      </c>
      <c r="K2353">
        <v>0</v>
      </c>
      <c r="L2353">
        <v>0</v>
      </c>
      <c r="M2353" t="s">
        <v>25</v>
      </c>
      <c r="N2353" t="s">
        <v>25</v>
      </c>
      <c r="O2353" t="s">
        <v>26</v>
      </c>
      <c r="P2353" t="s">
        <v>25</v>
      </c>
      <c r="Q2353" t="s">
        <v>27</v>
      </c>
      <c r="R2353" t="s">
        <v>2600</v>
      </c>
    </row>
    <row r="2354" spans="1:20">
      <c r="A2354">
        <v>2364</v>
      </c>
      <c r="B2354" t="s">
        <v>2606</v>
      </c>
      <c r="C2354" t="s">
        <v>1130</v>
      </c>
      <c r="D2354" t="s">
        <v>1131</v>
      </c>
      <c r="E2354" t="s">
        <v>1132</v>
      </c>
      <c r="F2354">
        <v>0</v>
      </c>
      <c r="G2354">
        <v>0</v>
      </c>
      <c r="H2354">
        <v>0</v>
      </c>
      <c r="I2354" t="s">
        <v>24</v>
      </c>
      <c r="J2354" t="s">
        <v>25</v>
      </c>
      <c r="K2354">
        <v>0</v>
      </c>
      <c r="L2354">
        <v>0</v>
      </c>
      <c r="M2354" t="s">
        <v>25</v>
      </c>
      <c r="N2354" t="s">
        <v>25</v>
      </c>
      <c r="O2354" t="s">
        <v>26</v>
      </c>
      <c r="P2354" t="s">
        <v>25</v>
      </c>
      <c r="Q2354" t="s">
        <v>231</v>
      </c>
      <c r="R2354" t="s">
        <v>1133</v>
      </c>
    </row>
    <row r="2355" spans="1:20">
      <c r="A2355">
        <v>2365</v>
      </c>
      <c r="B2355" t="s">
        <v>2607</v>
      </c>
      <c r="C2355" t="s">
        <v>1130</v>
      </c>
      <c r="D2355" t="s">
        <v>1131</v>
      </c>
      <c r="E2355" t="s">
        <v>1132</v>
      </c>
      <c r="F2355">
        <v>0</v>
      </c>
      <c r="G2355">
        <v>0</v>
      </c>
      <c r="H2355">
        <v>0</v>
      </c>
      <c r="I2355" t="s">
        <v>24</v>
      </c>
      <c r="J2355" t="s">
        <v>25</v>
      </c>
      <c r="K2355">
        <v>0</v>
      </c>
      <c r="L2355">
        <v>0</v>
      </c>
      <c r="M2355" t="s">
        <v>25</v>
      </c>
      <c r="N2355" t="s">
        <v>25</v>
      </c>
      <c r="O2355" t="s">
        <v>26</v>
      </c>
      <c r="P2355" t="s">
        <v>25</v>
      </c>
      <c r="Q2355" t="s">
        <v>231</v>
      </c>
      <c r="R2355" t="s">
        <v>1133</v>
      </c>
    </row>
    <row r="2356" spans="1:20">
      <c r="A2356">
        <v>2366</v>
      </c>
      <c r="B2356" t="s">
        <v>2608</v>
      </c>
      <c r="C2356" t="s">
        <v>21</v>
      </c>
      <c r="D2356" t="s">
        <v>22</v>
      </c>
      <c r="E2356" t="s">
        <v>23</v>
      </c>
      <c r="F2356">
        <v>19000</v>
      </c>
      <c r="G2356">
        <v>19</v>
      </c>
      <c r="H2356">
        <v>22610</v>
      </c>
      <c r="I2356" t="s">
        <v>24</v>
      </c>
      <c r="J2356" t="s">
        <v>25</v>
      </c>
      <c r="K2356">
        <v>0</v>
      </c>
      <c r="L2356">
        <v>0</v>
      </c>
      <c r="M2356" t="s">
        <v>25</v>
      </c>
      <c r="N2356" t="s">
        <v>25</v>
      </c>
      <c r="O2356" t="s">
        <v>26</v>
      </c>
      <c r="P2356" t="s">
        <v>25</v>
      </c>
      <c r="Q2356" t="s">
        <v>51</v>
      </c>
      <c r="R2356" t="s">
        <v>334</v>
      </c>
      <c r="S2356" t="s">
        <v>51</v>
      </c>
      <c r="T2356" t="s">
        <v>334</v>
      </c>
    </row>
    <row r="2357" spans="1:20">
      <c r="A2357">
        <v>2367</v>
      </c>
      <c r="B2357" t="s">
        <v>2609</v>
      </c>
      <c r="C2357" t="s">
        <v>21</v>
      </c>
      <c r="D2357" t="s">
        <v>22</v>
      </c>
      <c r="E2357" t="s">
        <v>23</v>
      </c>
      <c r="F2357">
        <v>10000</v>
      </c>
      <c r="G2357">
        <v>19</v>
      </c>
      <c r="H2357">
        <v>11900</v>
      </c>
      <c r="I2357" t="s">
        <v>24</v>
      </c>
      <c r="J2357" t="s">
        <v>25</v>
      </c>
      <c r="K2357">
        <v>0</v>
      </c>
      <c r="L2357">
        <v>0</v>
      </c>
      <c r="M2357" t="s">
        <v>25</v>
      </c>
      <c r="N2357" t="s">
        <v>25</v>
      </c>
      <c r="O2357" t="s">
        <v>26</v>
      </c>
      <c r="P2357" t="s">
        <v>25</v>
      </c>
      <c r="Q2357" t="s">
        <v>51</v>
      </c>
      <c r="R2357" t="s">
        <v>334</v>
      </c>
    </row>
    <row r="2358" spans="1:20">
      <c r="A2358">
        <v>2368</v>
      </c>
      <c r="B2358" t="s">
        <v>2610</v>
      </c>
      <c r="C2358" t="s">
        <v>21</v>
      </c>
      <c r="D2358" t="s">
        <v>22</v>
      </c>
      <c r="E2358" t="s">
        <v>23</v>
      </c>
      <c r="F2358">
        <v>0</v>
      </c>
      <c r="G2358">
        <v>19</v>
      </c>
      <c r="H2358">
        <v>0</v>
      </c>
      <c r="I2358" t="s">
        <v>24</v>
      </c>
      <c r="J2358" t="s">
        <v>25</v>
      </c>
      <c r="K2358">
        <v>0</v>
      </c>
      <c r="L2358">
        <v>0</v>
      </c>
      <c r="M2358" t="s">
        <v>25</v>
      </c>
      <c r="N2358" t="s">
        <v>25</v>
      </c>
      <c r="O2358" t="s">
        <v>26</v>
      </c>
      <c r="P2358" t="s">
        <v>25</v>
      </c>
      <c r="Q2358" t="s">
        <v>51</v>
      </c>
      <c r="R2358" t="s">
        <v>334</v>
      </c>
      <c r="S2358" t="s">
        <v>51</v>
      </c>
      <c r="T2358" t="s">
        <v>334</v>
      </c>
    </row>
    <row r="2359" spans="1:20">
      <c r="A2359">
        <v>2369</v>
      </c>
      <c r="B2359" t="s">
        <v>2611</v>
      </c>
      <c r="C2359" t="s">
        <v>21</v>
      </c>
      <c r="D2359" t="s">
        <v>343</v>
      </c>
      <c r="E2359" t="s">
        <v>23</v>
      </c>
      <c r="F2359">
        <v>67000</v>
      </c>
      <c r="G2359">
        <v>19</v>
      </c>
      <c r="H2359">
        <v>79730</v>
      </c>
      <c r="I2359" t="s">
        <v>24</v>
      </c>
      <c r="J2359" t="s">
        <v>25</v>
      </c>
      <c r="K2359">
        <v>0</v>
      </c>
      <c r="L2359">
        <v>0</v>
      </c>
      <c r="M2359" t="s">
        <v>25</v>
      </c>
      <c r="N2359" t="s">
        <v>25</v>
      </c>
      <c r="O2359" t="s">
        <v>26</v>
      </c>
      <c r="P2359" t="s">
        <v>25</v>
      </c>
      <c r="Q2359" t="s">
        <v>51</v>
      </c>
      <c r="R2359" t="s">
        <v>334</v>
      </c>
    </row>
    <row r="2360" spans="1:20">
      <c r="A2360">
        <v>2370</v>
      </c>
      <c r="B2360" t="s">
        <v>2612</v>
      </c>
      <c r="C2360" t="s">
        <v>21</v>
      </c>
      <c r="D2360" t="s">
        <v>22</v>
      </c>
      <c r="E2360" t="s">
        <v>23</v>
      </c>
      <c r="F2360">
        <v>10000</v>
      </c>
      <c r="G2360">
        <v>19</v>
      </c>
      <c r="H2360">
        <v>11900</v>
      </c>
      <c r="I2360" t="s">
        <v>24</v>
      </c>
      <c r="J2360" t="s">
        <v>25</v>
      </c>
      <c r="K2360">
        <v>0</v>
      </c>
      <c r="L2360">
        <v>0</v>
      </c>
      <c r="M2360" t="s">
        <v>25</v>
      </c>
      <c r="N2360" t="s">
        <v>25</v>
      </c>
      <c r="O2360" t="s">
        <v>26</v>
      </c>
      <c r="P2360" t="s">
        <v>25</v>
      </c>
      <c r="Q2360" t="s">
        <v>51</v>
      </c>
      <c r="R2360" t="s">
        <v>334</v>
      </c>
    </row>
    <row r="2361" spans="1:20">
      <c r="A2361">
        <v>2371</v>
      </c>
      <c r="B2361" t="s">
        <v>2613</v>
      </c>
      <c r="C2361" t="s">
        <v>21</v>
      </c>
      <c r="D2361" t="s">
        <v>22</v>
      </c>
      <c r="E2361" t="s">
        <v>23</v>
      </c>
      <c r="F2361">
        <v>7000</v>
      </c>
      <c r="G2361">
        <v>19</v>
      </c>
      <c r="H2361">
        <v>8330</v>
      </c>
      <c r="I2361" t="s">
        <v>24</v>
      </c>
      <c r="J2361" t="s">
        <v>25</v>
      </c>
      <c r="K2361">
        <v>0</v>
      </c>
      <c r="L2361">
        <v>0</v>
      </c>
      <c r="M2361" t="s">
        <v>25</v>
      </c>
      <c r="N2361" t="s">
        <v>25</v>
      </c>
      <c r="O2361" t="s">
        <v>26</v>
      </c>
      <c r="P2361" t="s">
        <v>25</v>
      </c>
      <c r="Q2361" t="s">
        <v>51</v>
      </c>
      <c r="R2361" t="s">
        <v>334</v>
      </c>
    </row>
    <row r="2362" spans="1:20">
      <c r="A2362">
        <v>2372</v>
      </c>
      <c r="B2362" t="s">
        <v>2614</v>
      </c>
      <c r="C2362" t="s">
        <v>21</v>
      </c>
      <c r="D2362" t="s">
        <v>22</v>
      </c>
      <c r="E2362" t="s">
        <v>23</v>
      </c>
      <c r="F2362">
        <v>39500</v>
      </c>
      <c r="G2362">
        <v>19</v>
      </c>
      <c r="H2362">
        <v>47005</v>
      </c>
      <c r="I2362" t="s">
        <v>24</v>
      </c>
      <c r="J2362" t="s">
        <v>25</v>
      </c>
      <c r="K2362">
        <v>0</v>
      </c>
      <c r="L2362">
        <v>0</v>
      </c>
      <c r="M2362" t="s">
        <v>25</v>
      </c>
      <c r="N2362" t="s">
        <v>25</v>
      </c>
      <c r="O2362" t="s">
        <v>26</v>
      </c>
      <c r="P2362" t="s">
        <v>25</v>
      </c>
      <c r="Q2362" t="s">
        <v>51</v>
      </c>
      <c r="R2362" t="s">
        <v>334</v>
      </c>
    </row>
    <row r="2363" spans="1:20">
      <c r="A2363">
        <v>2373</v>
      </c>
      <c r="B2363" t="s">
        <v>2615</v>
      </c>
      <c r="C2363" t="s">
        <v>21</v>
      </c>
      <c r="D2363" t="s">
        <v>22</v>
      </c>
      <c r="E2363" t="s">
        <v>23</v>
      </c>
      <c r="F2363">
        <v>39500</v>
      </c>
      <c r="G2363">
        <v>19</v>
      </c>
      <c r="H2363">
        <v>47005</v>
      </c>
      <c r="I2363" t="s">
        <v>24</v>
      </c>
      <c r="J2363" t="s">
        <v>25</v>
      </c>
      <c r="K2363">
        <v>0</v>
      </c>
      <c r="L2363">
        <v>0</v>
      </c>
      <c r="M2363" t="s">
        <v>25</v>
      </c>
      <c r="N2363" t="s">
        <v>25</v>
      </c>
      <c r="O2363" t="s">
        <v>26</v>
      </c>
      <c r="P2363" t="s">
        <v>25</v>
      </c>
      <c r="Q2363" t="s">
        <v>51</v>
      </c>
      <c r="R2363" t="s">
        <v>334</v>
      </c>
    </row>
    <row r="2364" spans="1:20">
      <c r="A2364">
        <v>2374</v>
      </c>
      <c r="B2364" t="s">
        <v>2616</v>
      </c>
      <c r="C2364" t="s">
        <v>21</v>
      </c>
      <c r="D2364" t="s">
        <v>22</v>
      </c>
      <c r="E2364" t="s">
        <v>23</v>
      </c>
      <c r="F2364">
        <v>39500</v>
      </c>
      <c r="G2364">
        <v>19</v>
      </c>
      <c r="H2364">
        <v>47005</v>
      </c>
      <c r="I2364" t="s">
        <v>24</v>
      </c>
      <c r="J2364" t="s">
        <v>25</v>
      </c>
      <c r="K2364">
        <v>0</v>
      </c>
      <c r="L2364">
        <v>0</v>
      </c>
      <c r="M2364" t="s">
        <v>25</v>
      </c>
      <c r="N2364" t="s">
        <v>25</v>
      </c>
      <c r="O2364" t="s">
        <v>26</v>
      </c>
      <c r="P2364" t="s">
        <v>25</v>
      </c>
      <c r="Q2364" t="s">
        <v>51</v>
      </c>
      <c r="R2364" t="s">
        <v>334</v>
      </c>
    </row>
    <row r="2365" spans="1:20">
      <c r="A2365">
        <v>2375</v>
      </c>
      <c r="B2365" t="s">
        <v>2617</v>
      </c>
      <c r="C2365" t="s">
        <v>21</v>
      </c>
      <c r="D2365" t="s">
        <v>22</v>
      </c>
      <c r="E2365" t="s">
        <v>23</v>
      </c>
      <c r="F2365">
        <v>39500</v>
      </c>
      <c r="G2365">
        <v>19</v>
      </c>
      <c r="H2365">
        <v>47005</v>
      </c>
      <c r="I2365" t="s">
        <v>24</v>
      </c>
      <c r="J2365" t="s">
        <v>25</v>
      </c>
      <c r="K2365">
        <v>0</v>
      </c>
      <c r="L2365">
        <v>0</v>
      </c>
      <c r="M2365" t="s">
        <v>25</v>
      </c>
      <c r="N2365" t="s">
        <v>25</v>
      </c>
      <c r="O2365" t="s">
        <v>26</v>
      </c>
      <c r="P2365" t="s">
        <v>25</v>
      </c>
      <c r="Q2365" t="s">
        <v>51</v>
      </c>
      <c r="R2365" t="s">
        <v>334</v>
      </c>
    </row>
    <row r="2366" spans="1:20">
      <c r="A2366">
        <v>2376</v>
      </c>
      <c r="B2366" t="s">
        <v>2618</v>
      </c>
      <c r="C2366" t="s">
        <v>21</v>
      </c>
      <c r="D2366" t="s">
        <v>343</v>
      </c>
      <c r="E2366" t="s">
        <v>23</v>
      </c>
      <c r="F2366">
        <v>53600</v>
      </c>
      <c r="G2366">
        <v>19</v>
      </c>
      <c r="H2366">
        <v>63784</v>
      </c>
      <c r="I2366" t="s">
        <v>24</v>
      </c>
      <c r="J2366" t="s">
        <v>25</v>
      </c>
      <c r="K2366">
        <v>0</v>
      </c>
      <c r="L2366">
        <v>0</v>
      </c>
      <c r="M2366" t="s">
        <v>25</v>
      </c>
      <c r="N2366" t="s">
        <v>25</v>
      </c>
      <c r="O2366" t="s">
        <v>26</v>
      </c>
      <c r="P2366" t="s">
        <v>25</v>
      </c>
      <c r="Q2366" t="s">
        <v>51</v>
      </c>
      <c r="R2366" t="s">
        <v>334</v>
      </c>
    </row>
    <row r="2367" spans="1:20">
      <c r="A2367">
        <v>2377</v>
      </c>
      <c r="B2367" t="s">
        <v>2619</v>
      </c>
      <c r="C2367" t="s">
        <v>21</v>
      </c>
      <c r="D2367" t="s">
        <v>343</v>
      </c>
      <c r="E2367" t="s">
        <v>23</v>
      </c>
      <c r="F2367">
        <v>19300</v>
      </c>
      <c r="G2367">
        <v>19</v>
      </c>
      <c r="H2367">
        <v>22967</v>
      </c>
      <c r="I2367" t="s">
        <v>24</v>
      </c>
      <c r="J2367" t="s">
        <v>25</v>
      </c>
      <c r="K2367">
        <v>0</v>
      </c>
      <c r="L2367">
        <v>0</v>
      </c>
      <c r="M2367" t="s">
        <v>25</v>
      </c>
      <c r="N2367" t="s">
        <v>25</v>
      </c>
      <c r="O2367" t="s">
        <v>26</v>
      </c>
      <c r="P2367" t="s">
        <v>25</v>
      </c>
      <c r="Q2367" t="s">
        <v>51</v>
      </c>
      <c r="R2367" t="s">
        <v>334</v>
      </c>
    </row>
    <row r="2368" spans="1:20">
      <c r="A2368">
        <v>2378</v>
      </c>
      <c r="B2368" t="s">
        <v>2620</v>
      </c>
      <c r="C2368" t="s">
        <v>247</v>
      </c>
      <c r="D2368" t="s">
        <v>22</v>
      </c>
      <c r="E2368" t="s">
        <v>23</v>
      </c>
      <c r="F2368">
        <v>0</v>
      </c>
      <c r="G2368">
        <v>0</v>
      </c>
      <c r="H2368">
        <v>0</v>
      </c>
      <c r="I2368" t="s">
        <v>24</v>
      </c>
      <c r="J2368" t="s">
        <v>25</v>
      </c>
      <c r="K2368">
        <v>0</v>
      </c>
      <c r="L2368">
        <v>0</v>
      </c>
      <c r="M2368" t="s">
        <v>25</v>
      </c>
      <c r="N2368" t="s">
        <v>25</v>
      </c>
      <c r="O2368" t="s">
        <v>26</v>
      </c>
      <c r="P2368" t="s">
        <v>25</v>
      </c>
      <c r="Q2368" t="s">
        <v>231</v>
      </c>
      <c r="R2368" t="s">
        <v>2621</v>
      </c>
    </row>
    <row r="2369" spans="1:18">
      <c r="A2369">
        <v>2379</v>
      </c>
      <c r="B2369" t="s">
        <v>2622</v>
      </c>
      <c r="C2369" t="s">
        <v>21</v>
      </c>
      <c r="D2369" t="s">
        <v>22</v>
      </c>
      <c r="E2369" t="s">
        <v>23</v>
      </c>
      <c r="F2369">
        <v>8910</v>
      </c>
      <c r="G2369">
        <v>19</v>
      </c>
      <c r="H2369">
        <v>10602.9</v>
      </c>
      <c r="I2369" t="s">
        <v>24</v>
      </c>
      <c r="J2369" t="s">
        <v>25</v>
      </c>
      <c r="K2369">
        <v>0</v>
      </c>
      <c r="L2369">
        <v>0</v>
      </c>
      <c r="M2369" t="s">
        <v>25</v>
      </c>
      <c r="N2369" t="s">
        <v>25</v>
      </c>
      <c r="O2369" t="s">
        <v>26</v>
      </c>
      <c r="P2369" t="s">
        <v>25</v>
      </c>
      <c r="Q2369" t="s">
        <v>51</v>
      </c>
      <c r="R2369" t="s">
        <v>2623</v>
      </c>
    </row>
    <row r="2370" spans="1:18">
      <c r="A2370">
        <v>2380</v>
      </c>
      <c r="B2370" t="s">
        <v>2624</v>
      </c>
      <c r="C2370" t="s">
        <v>21</v>
      </c>
      <c r="D2370" t="s">
        <v>22</v>
      </c>
      <c r="E2370" t="s">
        <v>23</v>
      </c>
      <c r="F2370">
        <v>8910</v>
      </c>
      <c r="G2370">
        <v>19</v>
      </c>
      <c r="H2370">
        <v>10602.9</v>
      </c>
      <c r="I2370" t="s">
        <v>24</v>
      </c>
      <c r="J2370" t="s">
        <v>25</v>
      </c>
      <c r="K2370">
        <v>0</v>
      </c>
      <c r="L2370">
        <v>0</v>
      </c>
      <c r="M2370" t="s">
        <v>25</v>
      </c>
      <c r="N2370" t="s">
        <v>25</v>
      </c>
      <c r="O2370" t="s">
        <v>26</v>
      </c>
      <c r="P2370" t="s">
        <v>25</v>
      </c>
      <c r="Q2370" t="s">
        <v>51</v>
      </c>
      <c r="R2370" t="s">
        <v>2623</v>
      </c>
    </row>
    <row r="2371" spans="1:18">
      <c r="A2371">
        <v>2381</v>
      </c>
      <c r="B2371" t="s">
        <v>2625</v>
      </c>
      <c r="C2371" t="s">
        <v>21</v>
      </c>
      <c r="D2371" t="s">
        <v>22</v>
      </c>
      <c r="E2371" t="s">
        <v>23</v>
      </c>
      <c r="F2371">
        <v>8910</v>
      </c>
      <c r="G2371">
        <v>19</v>
      </c>
      <c r="H2371">
        <v>10602.9</v>
      </c>
      <c r="I2371" t="s">
        <v>24</v>
      </c>
      <c r="J2371" t="s">
        <v>25</v>
      </c>
      <c r="K2371">
        <v>0</v>
      </c>
      <c r="L2371">
        <v>0</v>
      </c>
      <c r="M2371" t="s">
        <v>25</v>
      </c>
      <c r="N2371" t="s">
        <v>25</v>
      </c>
      <c r="O2371" t="s">
        <v>26</v>
      </c>
      <c r="P2371" t="s">
        <v>25</v>
      </c>
      <c r="Q2371" t="s">
        <v>51</v>
      </c>
      <c r="R2371" t="s">
        <v>2623</v>
      </c>
    </row>
    <row r="2372" spans="1:18">
      <c r="A2372">
        <v>2382</v>
      </c>
      <c r="B2372" t="s">
        <v>2626</v>
      </c>
      <c r="C2372" t="s">
        <v>21</v>
      </c>
      <c r="D2372" t="s">
        <v>22</v>
      </c>
      <c r="E2372" t="s">
        <v>23</v>
      </c>
      <c r="F2372">
        <v>1295</v>
      </c>
      <c r="G2372">
        <v>19</v>
      </c>
      <c r="H2372">
        <v>1541.05</v>
      </c>
      <c r="I2372" t="s">
        <v>24</v>
      </c>
      <c r="J2372" t="s">
        <v>25</v>
      </c>
      <c r="K2372">
        <v>0</v>
      </c>
      <c r="L2372">
        <v>0</v>
      </c>
      <c r="M2372" t="s">
        <v>25</v>
      </c>
      <c r="N2372" t="s">
        <v>25</v>
      </c>
      <c r="O2372" t="s">
        <v>26</v>
      </c>
      <c r="P2372" t="s">
        <v>25</v>
      </c>
      <c r="Q2372" t="s">
        <v>51</v>
      </c>
      <c r="R2372" t="s">
        <v>2623</v>
      </c>
    </row>
    <row r="2373" spans="1:18">
      <c r="A2373">
        <v>2383</v>
      </c>
      <c r="B2373" t="s">
        <v>2627</v>
      </c>
      <c r="C2373" t="s">
        <v>21</v>
      </c>
      <c r="D2373" t="s">
        <v>22</v>
      </c>
      <c r="E2373" t="s">
        <v>23</v>
      </c>
      <c r="F2373">
        <v>1295</v>
      </c>
      <c r="G2373">
        <v>19</v>
      </c>
      <c r="H2373">
        <v>1541.05</v>
      </c>
      <c r="I2373" t="s">
        <v>24</v>
      </c>
      <c r="J2373" t="s">
        <v>25</v>
      </c>
      <c r="K2373">
        <v>0</v>
      </c>
      <c r="L2373">
        <v>0</v>
      </c>
      <c r="M2373" t="s">
        <v>25</v>
      </c>
      <c r="N2373" t="s">
        <v>25</v>
      </c>
      <c r="O2373" t="s">
        <v>26</v>
      </c>
      <c r="P2373" t="s">
        <v>25</v>
      </c>
      <c r="Q2373" t="s">
        <v>51</v>
      </c>
      <c r="R2373" t="s">
        <v>2623</v>
      </c>
    </row>
    <row r="2374" spans="1:18">
      <c r="A2374">
        <v>2384</v>
      </c>
      <c r="B2374" t="s">
        <v>2628</v>
      </c>
      <c r="C2374" t="s">
        <v>21</v>
      </c>
      <c r="D2374" t="s">
        <v>22</v>
      </c>
      <c r="E2374" t="s">
        <v>23</v>
      </c>
      <c r="F2374">
        <v>1295</v>
      </c>
      <c r="G2374">
        <v>19</v>
      </c>
      <c r="H2374">
        <v>1541.05</v>
      </c>
      <c r="I2374" t="s">
        <v>24</v>
      </c>
      <c r="J2374" t="s">
        <v>25</v>
      </c>
      <c r="K2374">
        <v>0</v>
      </c>
      <c r="L2374">
        <v>0</v>
      </c>
      <c r="M2374" t="s">
        <v>25</v>
      </c>
      <c r="N2374" t="s">
        <v>25</v>
      </c>
      <c r="O2374" t="s">
        <v>26</v>
      </c>
      <c r="P2374" t="s">
        <v>25</v>
      </c>
      <c r="Q2374" t="s">
        <v>51</v>
      </c>
      <c r="R2374" t="s">
        <v>2623</v>
      </c>
    </row>
    <row r="2375" spans="1:18">
      <c r="A2375">
        <v>2385</v>
      </c>
      <c r="B2375" t="s">
        <v>2629</v>
      </c>
      <c r="C2375" t="s">
        <v>21</v>
      </c>
      <c r="D2375" t="s">
        <v>22</v>
      </c>
      <c r="E2375" t="s">
        <v>23</v>
      </c>
      <c r="F2375">
        <v>1295</v>
      </c>
      <c r="G2375">
        <v>19</v>
      </c>
      <c r="H2375">
        <v>1541.05</v>
      </c>
      <c r="I2375" t="s">
        <v>24</v>
      </c>
      <c r="J2375" t="s">
        <v>25</v>
      </c>
      <c r="K2375">
        <v>0</v>
      </c>
      <c r="L2375">
        <v>0</v>
      </c>
      <c r="M2375" t="s">
        <v>25</v>
      </c>
      <c r="N2375" t="s">
        <v>25</v>
      </c>
      <c r="O2375" t="s">
        <v>26</v>
      </c>
      <c r="P2375" t="s">
        <v>25</v>
      </c>
      <c r="Q2375" t="s">
        <v>51</v>
      </c>
      <c r="R2375" t="s">
        <v>2623</v>
      </c>
    </row>
    <row r="2376" spans="1:18">
      <c r="A2376">
        <v>2386</v>
      </c>
      <c r="B2376" t="s">
        <v>2630</v>
      </c>
      <c r="C2376" t="s">
        <v>21</v>
      </c>
      <c r="D2376" t="s">
        <v>22</v>
      </c>
      <c r="E2376" t="s">
        <v>23</v>
      </c>
      <c r="F2376">
        <v>915</v>
      </c>
      <c r="G2376">
        <v>19</v>
      </c>
      <c r="H2376">
        <v>1088.8499999999999</v>
      </c>
      <c r="I2376" t="s">
        <v>24</v>
      </c>
      <c r="J2376" t="s">
        <v>25</v>
      </c>
      <c r="K2376">
        <v>0</v>
      </c>
      <c r="L2376">
        <v>0</v>
      </c>
      <c r="M2376" t="s">
        <v>25</v>
      </c>
      <c r="N2376" t="s">
        <v>25</v>
      </c>
      <c r="O2376" t="s">
        <v>26</v>
      </c>
      <c r="P2376" t="s">
        <v>25</v>
      </c>
      <c r="Q2376" t="s">
        <v>51</v>
      </c>
      <c r="R2376" t="s">
        <v>2623</v>
      </c>
    </row>
    <row r="2377" spans="1:18">
      <c r="A2377">
        <v>2387</v>
      </c>
      <c r="B2377" t="s">
        <v>2631</v>
      </c>
      <c r="C2377" t="s">
        <v>21</v>
      </c>
      <c r="D2377" t="s">
        <v>22</v>
      </c>
      <c r="E2377" t="s">
        <v>23</v>
      </c>
      <c r="F2377">
        <v>915</v>
      </c>
      <c r="G2377">
        <v>19</v>
      </c>
      <c r="H2377">
        <v>1088.8499999999999</v>
      </c>
      <c r="I2377" t="s">
        <v>24</v>
      </c>
      <c r="J2377" t="s">
        <v>25</v>
      </c>
      <c r="K2377">
        <v>0</v>
      </c>
      <c r="L2377">
        <v>0</v>
      </c>
      <c r="M2377" t="s">
        <v>25</v>
      </c>
      <c r="N2377" t="s">
        <v>25</v>
      </c>
      <c r="O2377" t="s">
        <v>26</v>
      </c>
      <c r="P2377" t="s">
        <v>25</v>
      </c>
      <c r="Q2377" t="s">
        <v>51</v>
      </c>
      <c r="R2377" t="s">
        <v>2623</v>
      </c>
    </row>
    <row r="2378" spans="1:18">
      <c r="A2378">
        <v>2388</v>
      </c>
      <c r="B2378" t="s">
        <v>2632</v>
      </c>
      <c r="C2378" t="s">
        <v>247</v>
      </c>
      <c r="D2378" t="s">
        <v>22</v>
      </c>
      <c r="E2378" t="s">
        <v>23</v>
      </c>
      <c r="F2378">
        <v>915</v>
      </c>
      <c r="G2378">
        <v>19</v>
      </c>
      <c r="H2378">
        <v>1088.8499999999999</v>
      </c>
      <c r="I2378" t="s">
        <v>24</v>
      </c>
      <c r="J2378" t="s">
        <v>25</v>
      </c>
      <c r="K2378">
        <v>0</v>
      </c>
      <c r="L2378">
        <v>0</v>
      </c>
      <c r="M2378" t="s">
        <v>25</v>
      </c>
      <c r="N2378" t="s">
        <v>25</v>
      </c>
      <c r="O2378" t="s">
        <v>26</v>
      </c>
      <c r="P2378" t="s">
        <v>25</v>
      </c>
      <c r="Q2378" t="s">
        <v>51</v>
      </c>
      <c r="R2378" t="s">
        <v>2623</v>
      </c>
    </row>
    <row r="2379" spans="1:18">
      <c r="A2379">
        <v>2389</v>
      </c>
      <c r="B2379" t="s">
        <v>2633</v>
      </c>
      <c r="C2379" t="s">
        <v>21</v>
      </c>
      <c r="D2379" t="s">
        <v>22</v>
      </c>
      <c r="E2379" t="s">
        <v>23</v>
      </c>
      <c r="F2379">
        <v>915</v>
      </c>
      <c r="G2379">
        <v>19</v>
      </c>
      <c r="H2379">
        <v>1088.8499999999999</v>
      </c>
      <c r="I2379" t="s">
        <v>24</v>
      </c>
      <c r="J2379" t="s">
        <v>25</v>
      </c>
      <c r="K2379">
        <v>0</v>
      </c>
      <c r="L2379">
        <v>0</v>
      </c>
      <c r="M2379" t="s">
        <v>25</v>
      </c>
      <c r="N2379" t="s">
        <v>25</v>
      </c>
      <c r="O2379" t="s">
        <v>26</v>
      </c>
      <c r="P2379" t="s">
        <v>25</v>
      </c>
      <c r="Q2379" t="s">
        <v>51</v>
      </c>
      <c r="R2379" t="s">
        <v>2623</v>
      </c>
    </row>
    <row r="2380" spans="1:18">
      <c r="A2380">
        <v>2390</v>
      </c>
      <c r="B2380" t="s">
        <v>2634</v>
      </c>
      <c r="C2380" t="s">
        <v>21</v>
      </c>
      <c r="D2380" t="s">
        <v>22</v>
      </c>
      <c r="E2380" t="s">
        <v>23</v>
      </c>
      <c r="F2380">
        <v>1883</v>
      </c>
      <c r="G2380">
        <v>19</v>
      </c>
      <c r="H2380">
        <v>2240.77</v>
      </c>
      <c r="I2380" t="s">
        <v>24</v>
      </c>
      <c r="J2380" t="s">
        <v>25</v>
      </c>
      <c r="K2380">
        <v>0</v>
      </c>
      <c r="L2380">
        <v>0</v>
      </c>
      <c r="M2380" t="s">
        <v>25</v>
      </c>
      <c r="N2380" t="s">
        <v>25</v>
      </c>
      <c r="O2380" t="s">
        <v>26</v>
      </c>
      <c r="P2380" t="s">
        <v>25</v>
      </c>
      <c r="Q2380" t="s">
        <v>51</v>
      </c>
      <c r="R2380" t="s">
        <v>2623</v>
      </c>
    </row>
    <row r="2381" spans="1:18">
      <c r="A2381">
        <v>2391</v>
      </c>
      <c r="B2381" t="s">
        <v>2635</v>
      </c>
      <c r="C2381" t="s">
        <v>21</v>
      </c>
      <c r="D2381" t="s">
        <v>22</v>
      </c>
      <c r="E2381" t="s">
        <v>23</v>
      </c>
      <c r="F2381">
        <v>1730</v>
      </c>
      <c r="G2381">
        <v>19</v>
      </c>
      <c r="H2381">
        <v>2058.6999999999998</v>
      </c>
      <c r="I2381" t="s">
        <v>24</v>
      </c>
      <c r="J2381" t="s">
        <v>25</v>
      </c>
      <c r="K2381">
        <v>0</v>
      </c>
      <c r="L2381">
        <v>0</v>
      </c>
      <c r="M2381" t="s">
        <v>25</v>
      </c>
      <c r="N2381" t="s">
        <v>25</v>
      </c>
      <c r="O2381" t="s">
        <v>26</v>
      </c>
      <c r="P2381" t="s">
        <v>25</v>
      </c>
      <c r="Q2381" t="s">
        <v>51</v>
      </c>
      <c r="R2381" t="s">
        <v>2623</v>
      </c>
    </row>
    <row r="2382" spans="1:18">
      <c r="A2382">
        <v>2392</v>
      </c>
      <c r="B2382" t="s">
        <v>2636</v>
      </c>
      <c r="C2382" t="s">
        <v>21</v>
      </c>
      <c r="D2382" t="s">
        <v>22</v>
      </c>
      <c r="E2382" t="s">
        <v>23</v>
      </c>
      <c r="F2382">
        <v>1730</v>
      </c>
      <c r="G2382">
        <v>19</v>
      </c>
      <c r="H2382">
        <v>2058.6999999999998</v>
      </c>
      <c r="I2382" t="s">
        <v>24</v>
      </c>
      <c r="J2382" t="s">
        <v>25</v>
      </c>
      <c r="K2382">
        <v>0</v>
      </c>
      <c r="L2382">
        <v>0</v>
      </c>
      <c r="M2382" t="s">
        <v>25</v>
      </c>
      <c r="N2382" t="s">
        <v>25</v>
      </c>
      <c r="O2382" t="s">
        <v>26</v>
      </c>
      <c r="P2382" t="s">
        <v>25</v>
      </c>
      <c r="Q2382" t="s">
        <v>51</v>
      </c>
      <c r="R2382" t="s">
        <v>2623</v>
      </c>
    </row>
    <row r="2383" spans="1:18">
      <c r="A2383">
        <v>2393</v>
      </c>
      <c r="B2383" t="s">
        <v>2637</v>
      </c>
      <c r="C2383" t="s">
        <v>21</v>
      </c>
      <c r="D2383" t="s">
        <v>22</v>
      </c>
      <c r="E2383" t="s">
        <v>23</v>
      </c>
      <c r="F2383">
        <v>1730</v>
      </c>
      <c r="G2383">
        <v>19</v>
      </c>
      <c r="H2383">
        <v>2058.6999999999998</v>
      </c>
      <c r="I2383" t="s">
        <v>24</v>
      </c>
      <c r="J2383" t="s">
        <v>25</v>
      </c>
      <c r="K2383">
        <v>0</v>
      </c>
      <c r="L2383">
        <v>0</v>
      </c>
      <c r="M2383" t="s">
        <v>25</v>
      </c>
      <c r="N2383" t="s">
        <v>25</v>
      </c>
      <c r="O2383" t="s">
        <v>26</v>
      </c>
      <c r="P2383" t="s">
        <v>25</v>
      </c>
      <c r="Q2383" t="s">
        <v>51</v>
      </c>
      <c r="R2383" t="s">
        <v>2623</v>
      </c>
    </row>
    <row r="2384" spans="1:18">
      <c r="A2384">
        <v>2394</v>
      </c>
      <c r="B2384" t="s">
        <v>2638</v>
      </c>
      <c r="C2384" t="s">
        <v>21</v>
      </c>
      <c r="D2384" t="s">
        <v>22</v>
      </c>
      <c r="E2384" t="s">
        <v>23</v>
      </c>
      <c r="F2384">
        <v>1730</v>
      </c>
      <c r="G2384">
        <v>19</v>
      </c>
      <c r="H2384">
        <v>2058.6999999999998</v>
      </c>
      <c r="I2384" t="s">
        <v>24</v>
      </c>
      <c r="J2384" t="s">
        <v>25</v>
      </c>
      <c r="K2384">
        <v>0</v>
      </c>
      <c r="L2384">
        <v>0</v>
      </c>
      <c r="M2384" t="s">
        <v>25</v>
      </c>
      <c r="N2384" t="s">
        <v>25</v>
      </c>
      <c r="O2384" t="s">
        <v>26</v>
      </c>
      <c r="P2384" t="s">
        <v>25</v>
      </c>
      <c r="Q2384" t="s">
        <v>51</v>
      </c>
      <c r="R2384" t="s">
        <v>2623</v>
      </c>
    </row>
    <row r="2385" spans="1:20">
      <c r="A2385">
        <v>2395</v>
      </c>
      <c r="B2385" t="s">
        <v>2639</v>
      </c>
      <c r="C2385" t="s">
        <v>21</v>
      </c>
      <c r="D2385" t="s">
        <v>22</v>
      </c>
      <c r="E2385" t="s">
        <v>23</v>
      </c>
      <c r="F2385">
        <v>1730</v>
      </c>
      <c r="G2385">
        <v>19</v>
      </c>
      <c r="H2385">
        <v>2058.6999999999998</v>
      </c>
      <c r="I2385" t="s">
        <v>24</v>
      </c>
      <c r="J2385" t="s">
        <v>25</v>
      </c>
      <c r="K2385">
        <v>0</v>
      </c>
      <c r="L2385">
        <v>0</v>
      </c>
      <c r="M2385" t="s">
        <v>25</v>
      </c>
      <c r="N2385" t="s">
        <v>25</v>
      </c>
      <c r="O2385" t="s">
        <v>26</v>
      </c>
      <c r="P2385" t="s">
        <v>25</v>
      </c>
      <c r="Q2385" t="s">
        <v>51</v>
      </c>
      <c r="R2385" t="s">
        <v>2623</v>
      </c>
    </row>
    <row r="2386" spans="1:20">
      <c r="A2386">
        <v>2396</v>
      </c>
      <c r="B2386" t="s">
        <v>2640</v>
      </c>
      <c r="C2386" t="s">
        <v>21</v>
      </c>
      <c r="D2386" t="s">
        <v>22</v>
      </c>
      <c r="E2386" t="s">
        <v>23</v>
      </c>
      <c r="F2386">
        <v>6400</v>
      </c>
      <c r="G2386">
        <v>19</v>
      </c>
      <c r="H2386">
        <v>7616</v>
      </c>
      <c r="I2386" t="s">
        <v>24</v>
      </c>
      <c r="J2386" t="s">
        <v>25</v>
      </c>
      <c r="K2386">
        <v>0</v>
      </c>
      <c r="L2386">
        <v>0</v>
      </c>
      <c r="M2386" t="s">
        <v>25</v>
      </c>
      <c r="N2386" t="s">
        <v>25</v>
      </c>
      <c r="O2386" t="s">
        <v>26</v>
      </c>
      <c r="P2386" t="s">
        <v>25</v>
      </c>
      <c r="Q2386" t="s">
        <v>51</v>
      </c>
      <c r="R2386" t="s">
        <v>2623</v>
      </c>
    </row>
    <row r="2387" spans="1:20">
      <c r="A2387">
        <v>2397</v>
      </c>
      <c r="B2387" t="s">
        <v>2641</v>
      </c>
      <c r="C2387" t="s">
        <v>21</v>
      </c>
      <c r="D2387" t="s">
        <v>22</v>
      </c>
      <c r="E2387" t="s">
        <v>23</v>
      </c>
      <c r="F2387">
        <v>5535</v>
      </c>
      <c r="G2387">
        <v>19</v>
      </c>
      <c r="H2387">
        <v>6586.65</v>
      </c>
      <c r="I2387" t="s">
        <v>24</v>
      </c>
      <c r="J2387" t="s">
        <v>25</v>
      </c>
      <c r="K2387">
        <v>0</v>
      </c>
      <c r="L2387">
        <v>0</v>
      </c>
      <c r="M2387" t="s">
        <v>25</v>
      </c>
      <c r="N2387" t="s">
        <v>25</v>
      </c>
      <c r="O2387" t="s">
        <v>26</v>
      </c>
      <c r="P2387" t="s">
        <v>25</v>
      </c>
      <c r="Q2387" t="s">
        <v>51</v>
      </c>
      <c r="R2387" t="s">
        <v>2623</v>
      </c>
    </row>
    <row r="2388" spans="1:20">
      <c r="A2388">
        <v>2398</v>
      </c>
      <c r="B2388" t="s">
        <v>2642</v>
      </c>
      <c r="C2388" t="s">
        <v>21</v>
      </c>
      <c r="D2388" t="s">
        <v>22</v>
      </c>
      <c r="E2388" t="s">
        <v>23</v>
      </c>
      <c r="F2388">
        <v>2100</v>
      </c>
      <c r="G2388">
        <v>19</v>
      </c>
      <c r="H2388">
        <v>2499</v>
      </c>
      <c r="I2388" t="s">
        <v>24</v>
      </c>
      <c r="J2388" t="s">
        <v>25</v>
      </c>
      <c r="K2388">
        <v>0</v>
      </c>
      <c r="L2388">
        <v>0</v>
      </c>
      <c r="M2388" t="s">
        <v>25</v>
      </c>
      <c r="N2388" t="s">
        <v>25</v>
      </c>
      <c r="O2388" t="s">
        <v>26</v>
      </c>
      <c r="P2388" t="s">
        <v>25</v>
      </c>
      <c r="Q2388" t="s">
        <v>51</v>
      </c>
      <c r="R2388" t="s">
        <v>2623</v>
      </c>
    </row>
    <row r="2389" spans="1:20">
      <c r="A2389">
        <v>2399</v>
      </c>
      <c r="B2389" t="s">
        <v>2643</v>
      </c>
      <c r="C2389" t="s">
        <v>21</v>
      </c>
      <c r="D2389" t="s">
        <v>22</v>
      </c>
      <c r="E2389" t="s">
        <v>23</v>
      </c>
      <c r="F2389">
        <v>3800</v>
      </c>
      <c r="G2389">
        <v>19</v>
      </c>
      <c r="H2389">
        <v>4522</v>
      </c>
      <c r="I2389" t="s">
        <v>24</v>
      </c>
      <c r="J2389" t="s">
        <v>25</v>
      </c>
      <c r="K2389">
        <v>0</v>
      </c>
      <c r="L2389">
        <v>0</v>
      </c>
      <c r="M2389" t="s">
        <v>25</v>
      </c>
      <c r="N2389" t="s">
        <v>25</v>
      </c>
      <c r="O2389" t="s">
        <v>26</v>
      </c>
      <c r="P2389" t="s">
        <v>25</v>
      </c>
      <c r="Q2389" t="s">
        <v>51</v>
      </c>
      <c r="R2389" t="s">
        <v>2623</v>
      </c>
    </row>
    <row r="2390" spans="1:20">
      <c r="A2390">
        <v>2400</v>
      </c>
      <c r="B2390" t="s">
        <v>2644</v>
      </c>
      <c r="C2390" t="s">
        <v>21</v>
      </c>
      <c r="D2390" t="s">
        <v>22</v>
      </c>
      <c r="E2390" t="s">
        <v>23</v>
      </c>
      <c r="F2390">
        <v>4289</v>
      </c>
      <c r="G2390">
        <v>19</v>
      </c>
      <c r="H2390">
        <v>5103.91</v>
      </c>
      <c r="I2390" t="s">
        <v>24</v>
      </c>
      <c r="J2390" t="s">
        <v>25</v>
      </c>
      <c r="K2390">
        <v>0</v>
      </c>
      <c r="L2390">
        <v>0</v>
      </c>
      <c r="M2390" t="s">
        <v>25</v>
      </c>
      <c r="N2390" t="s">
        <v>25</v>
      </c>
      <c r="O2390" t="s">
        <v>26</v>
      </c>
      <c r="P2390" t="s">
        <v>25</v>
      </c>
      <c r="Q2390" t="s">
        <v>51</v>
      </c>
      <c r="R2390" t="s">
        <v>2623</v>
      </c>
      <c r="S2390" t="s">
        <v>51</v>
      </c>
      <c r="T2390" t="s">
        <v>2623</v>
      </c>
    </row>
    <row r="2391" spans="1:20">
      <c r="A2391">
        <v>2401</v>
      </c>
      <c r="B2391" t="s">
        <v>2645</v>
      </c>
      <c r="C2391" t="s">
        <v>21</v>
      </c>
      <c r="D2391" t="s">
        <v>22</v>
      </c>
      <c r="E2391" t="s">
        <v>23</v>
      </c>
      <c r="F2391">
        <v>3900</v>
      </c>
      <c r="G2391">
        <v>19</v>
      </c>
      <c r="H2391">
        <v>4641</v>
      </c>
      <c r="I2391" t="s">
        <v>24</v>
      </c>
      <c r="J2391" t="s">
        <v>25</v>
      </c>
      <c r="K2391">
        <v>0</v>
      </c>
      <c r="L2391">
        <v>0</v>
      </c>
      <c r="M2391" t="s">
        <v>25</v>
      </c>
      <c r="N2391" t="s">
        <v>25</v>
      </c>
      <c r="O2391" t="s">
        <v>26</v>
      </c>
      <c r="P2391" t="s">
        <v>25</v>
      </c>
      <c r="Q2391" t="s">
        <v>51</v>
      </c>
      <c r="R2391" t="s">
        <v>2623</v>
      </c>
    </row>
    <row r="2392" spans="1:20">
      <c r="A2392">
        <v>2402</v>
      </c>
      <c r="B2392" t="s">
        <v>2646</v>
      </c>
      <c r="C2392" t="s">
        <v>21</v>
      </c>
      <c r="D2392" t="s">
        <v>22</v>
      </c>
      <c r="E2392" t="s">
        <v>23</v>
      </c>
      <c r="F2392">
        <v>3900</v>
      </c>
      <c r="G2392">
        <v>19</v>
      </c>
      <c r="H2392">
        <v>4641</v>
      </c>
      <c r="I2392" t="s">
        <v>24</v>
      </c>
      <c r="J2392" t="s">
        <v>25</v>
      </c>
      <c r="K2392">
        <v>0</v>
      </c>
      <c r="L2392">
        <v>0</v>
      </c>
      <c r="M2392" t="s">
        <v>25</v>
      </c>
      <c r="N2392" t="s">
        <v>25</v>
      </c>
      <c r="O2392" t="s">
        <v>26</v>
      </c>
      <c r="P2392" t="s">
        <v>25</v>
      </c>
      <c r="Q2392" t="s">
        <v>51</v>
      </c>
      <c r="R2392" t="s">
        <v>2623</v>
      </c>
    </row>
    <row r="2393" spans="1:20">
      <c r="A2393">
        <v>2403</v>
      </c>
      <c r="B2393" t="s">
        <v>2647</v>
      </c>
      <c r="C2393" t="s">
        <v>21</v>
      </c>
      <c r="D2393" t="s">
        <v>22</v>
      </c>
      <c r="E2393" t="s">
        <v>23</v>
      </c>
      <c r="F2393">
        <v>3900</v>
      </c>
      <c r="G2393">
        <v>19</v>
      </c>
      <c r="H2393">
        <v>4641</v>
      </c>
      <c r="I2393" t="s">
        <v>24</v>
      </c>
      <c r="J2393" t="s">
        <v>25</v>
      </c>
      <c r="K2393">
        <v>0</v>
      </c>
      <c r="L2393">
        <v>0</v>
      </c>
      <c r="M2393" t="s">
        <v>25</v>
      </c>
      <c r="N2393" t="s">
        <v>25</v>
      </c>
      <c r="O2393" t="s">
        <v>26</v>
      </c>
      <c r="P2393" t="s">
        <v>25</v>
      </c>
      <c r="Q2393" t="s">
        <v>51</v>
      </c>
      <c r="R2393" t="s">
        <v>2623</v>
      </c>
    </row>
    <row r="2394" spans="1:20">
      <c r="A2394">
        <v>2404</v>
      </c>
      <c r="B2394" t="s">
        <v>2648</v>
      </c>
      <c r="C2394" t="s">
        <v>21</v>
      </c>
      <c r="D2394" t="s">
        <v>22</v>
      </c>
      <c r="E2394" t="s">
        <v>23</v>
      </c>
      <c r="F2394">
        <v>3200</v>
      </c>
      <c r="G2394">
        <v>19</v>
      </c>
      <c r="H2394">
        <v>3808</v>
      </c>
      <c r="I2394" t="s">
        <v>24</v>
      </c>
      <c r="J2394" t="s">
        <v>25</v>
      </c>
      <c r="K2394">
        <v>0</v>
      </c>
      <c r="L2394">
        <v>0</v>
      </c>
      <c r="M2394" t="s">
        <v>25</v>
      </c>
      <c r="N2394" t="s">
        <v>25</v>
      </c>
      <c r="O2394" t="s">
        <v>26</v>
      </c>
      <c r="P2394" t="s">
        <v>25</v>
      </c>
      <c r="Q2394" t="s">
        <v>51</v>
      </c>
      <c r="R2394" t="s">
        <v>2623</v>
      </c>
    </row>
    <row r="2395" spans="1:20">
      <c r="A2395">
        <v>2405</v>
      </c>
      <c r="B2395" t="s">
        <v>2649</v>
      </c>
      <c r="C2395" t="s">
        <v>21</v>
      </c>
      <c r="D2395" t="s">
        <v>22</v>
      </c>
      <c r="E2395" t="s">
        <v>23</v>
      </c>
      <c r="F2395">
        <v>15300</v>
      </c>
      <c r="G2395">
        <v>19</v>
      </c>
      <c r="H2395">
        <v>18207</v>
      </c>
      <c r="I2395" t="s">
        <v>24</v>
      </c>
      <c r="J2395" t="s">
        <v>25</v>
      </c>
      <c r="K2395">
        <v>0</v>
      </c>
      <c r="L2395">
        <v>0</v>
      </c>
      <c r="M2395" t="s">
        <v>25</v>
      </c>
      <c r="N2395" t="s">
        <v>25</v>
      </c>
      <c r="O2395" t="s">
        <v>26</v>
      </c>
      <c r="P2395" t="s">
        <v>25</v>
      </c>
      <c r="Q2395" t="s">
        <v>51</v>
      </c>
      <c r="R2395" t="s">
        <v>2623</v>
      </c>
    </row>
    <row r="2396" spans="1:20">
      <c r="A2396">
        <v>2406</v>
      </c>
      <c r="B2396" t="s">
        <v>2650</v>
      </c>
      <c r="C2396" t="s">
        <v>21</v>
      </c>
      <c r="D2396" t="s">
        <v>22</v>
      </c>
      <c r="E2396" t="s">
        <v>23</v>
      </c>
      <c r="F2396">
        <v>3100</v>
      </c>
      <c r="G2396">
        <v>19</v>
      </c>
      <c r="H2396">
        <v>3689</v>
      </c>
      <c r="I2396" t="s">
        <v>24</v>
      </c>
      <c r="J2396" t="s">
        <v>25</v>
      </c>
      <c r="K2396">
        <v>0</v>
      </c>
      <c r="L2396">
        <v>0</v>
      </c>
      <c r="M2396" t="s">
        <v>25</v>
      </c>
      <c r="N2396" t="s">
        <v>25</v>
      </c>
      <c r="O2396" t="s">
        <v>26</v>
      </c>
      <c r="P2396" t="s">
        <v>25</v>
      </c>
      <c r="Q2396" t="s">
        <v>51</v>
      </c>
      <c r="R2396" t="s">
        <v>2623</v>
      </c>
    </row>
    <row r="2397" spans="1:20">
      <c r="A2397">
        <v>2407</v>
      </c>
      <c r="B2397" t="s">
        <v>2651</v>
      </c>
      <c r="C2397" t="s">
        <v>21</v>
      </c>
      <c r="D2397" t="s">
        <v>22</v>
      </c>
      <c r="E2397" t="s">
        <v>23</v>
      </c>
      <c r="F2397">
        <v>3100</v>
      </c>
      <c r="G2397">
        <v>19</v>
      </c>
      <c r="H2397">
        <v>3689</v>
      </c>
      <c r="I2397" t="s">
        <v>24</v>
      </c>
      <c r="J2397" t="s">
        <v>25</v>
      </c>
      <c r="K2397">
        <v>0</v>
      </c>
      <c r="L2397">
        <v>0</v>
      </c>
      <c r="M2397" t="s">
        <v>25</v>
      </c>
      <c r="N2397" t="s">
        <v>25</v>
      </c>
      <c r="O2397" t="s">
        <v>26</v>
      </c>
      <c r="P2397" t="s">
        <v>25</v>
      </c>
      <c r="Q2397" t="s">
        <v>51</v>
      </c>
      <c r="R2397" t="s">
        <v>2623</v>
      </c>
    </row>
    <row r="2398" spans="1:20">
      <c r="A2398">
        <v>2408</v>
      </c>
      <c r="B2398" t="s">
        <v>2652</v>
      </c>
      <c r="C2398" t="s">
        <v>21</v>
      </c>
      <c r="D2398" t="s">
        <v>22</v>
      </c>
      <c r="E2398" t="s">
        <v>23</v>
      </c>
      <c r="F2398">
        <v>32320</v>
      </c>
      <c r="G2398">
        <v>19</v>
      </c>
      <c r="H2398">
        <v>38460.800000000003</v>
      </c>
      <c r="I2398" t="s">
        <v>24</v>
      </c>
      <c r="J2398" t="s">
        <v>25</v>
      </c>
      <c r="K2398">
        <v>0</v>
      </c>
      <c r="L2398">
        <v>0</v>
      </c>
      <c r="M2398" t="s">
        <v>25</v>
      </c>
      <c r="N2398" t="s">
        <v>25</v>
      </c>
      <c r="O2398" t="s">
        <v>26</v>
      </c>
      <c r="P2398" t="s">
        <v>25</v>
      </c>
      <c r="Q2398" t="s">
        <v>51</v>
      </c>
      <c r="R2398" t="s">
        <v>2623</v>
      </c>
    </row>
    <row r="2399" spans="1:20">
      <c r="A2399">
        <v>2409</v>
      </c>
      <c r="B2399" t="s">
        <v>2653</v>
      </c>
      <c r="C2399" t="s">
        <v>21</v>
      </c>
      <c r="D2399" t="s">
        <v>22</v>
      </c>
      <c r="E2399" t="s">
        <v>23</v>
      </c>
      <c r="F2399">
        <v>6995</v>
      </c>
      <c r="G2399">
        <v>19</v>
      </c>
      <c r="H2399">
        <v>8324.0499999999993</v>
      </c>
      <c r="I2399" t="s">
        <v>24</v>
      </c>
      <c r="J2399" t="s">
        <v>25</v>
      </c>
      <c r="K2399">
        <v>0</v>
      </c>
      <c r="L2399">
        <v>0</v>
      </c>
      <c r="M2399" t="s">
        <v>25</v>
      </c>
      <c r="N2399" t="s">
        <v>25</v>
      </c>
      <c r="O2399" t="s">
        <v>26</v>
      </c>
      <c r="P2399" t="s">
        <v>25</v>
      </c>
      <c r="Q2399" t="s">
        <v>51</v>
      </c>
      <c r="R2399" t="s">
        <v>2623</v>
      </c>
    </row>
    <row r="2400" spans="1:20">
      <c r="A2400">
        <v>2410</v>
      </c>
      <c r="B2400" t="s">
        <v>2654</v>
      </c>
      <c r="C2400" t="s">
        <v>21</v>
      </c>
      <c r="D2400" t="s">
        <v>22</v>
      </c>
      <c r="E2400" t="s">
        <v>23</v>
      </c>
      <c r="F2400">
        <v>9800</v>
      </c>
      <c r="G2400">
        <v>19</v>
      </c>
      <c r="H2400">
        <v>11662</v>
      </c>
      <c r="I2400" t="s">
        <v>24</v>
      </c>
      <c r="J2400" t="s">
        <v>25</v>
      </c>
      <c r="K2400">
        <v>0</v>
      </c>
      <c r="L2400">
        <v>0</v>
      </c>
      <c r="M2400" t="s">
        <v>25</v>
      </c>
      <c r="N2400" t="s">
        <v>25</v>
      </c>
      <c r="O2400" t="s">
        <v>26</v>
      </c>
      <c r="P2400" t="s">
        <v>25</v>
      </c>
      <c r="Q2400" t="s">
        <v>51</v>
      </c>
      <c r="R2400" t="s">
        <v>2623</v>
      </c>
    </row>
    <row r="2401" spans="1:20">
      <c r="A2401">
        <v>2411</v>
      </c>
      <c r="B2401" t="s">
        <v>2655</v>
      </c>
      <c r="C2401" t="s">
        <v>21</v>
      </c>
      <c r="D2401" t="s">
        <v>22</v>
      </c>
      <c r="E2401" t="s">
        <v>23</v>
      </c>
      <c r="F2401">
        <v>6400</v>
      </c>
      <c r="G2401">
        <v>19</v>
      </c>
      <c r="H2401">
        <v>7616</v>
      </c>
      <c r="I2401" t="s">
        <v>24</v>
      </c>
      <c r="J2401" t="s">
        <v>25</v>
      </c>
      <c r="K2401">
        <v>0</v>
      </c>
      <c r="L2401">
        <v>0</v>
      </c>
      <c r="M2401" t="s">
        <v>25</v>
      </c>
      <c r="N2401" t="s">
        <v>25</v>
      </c>
      <c r="O2401" t="s">
        <v>26</v>
      </c>
      <c r="P2401" t="s">
        <v>25</v>
      </c>
      <c r="Q2401" t="s">
        <v>51</v>
      </c>
      <c r="R2401" t="s">
        <v>2623</v>
      </c>
    </row>
    <row r="2402" spans="1:20">
      <c r="A2402">
        <v>2412</v>
      </c>
      <c r="B2402" t="s">
        <v>2656</v>
      </c>
      <c r="C2402" t="s">
        <v>21</v>
      </c>
      <c r="D2402" t="s">
        <v>22</v>
      </c>
      <c r="E2402" t="s">
        <v>23</v>
      </c>
      <c r="F2402">
        <v>25700</v>
      </c>
      <c r="G2402">
        <v>19</v>
      </c>
      <c r="H2402">
        <v>30583</v>
      </c>
      <c r="I2402" t="s">
        <v>24</v>
      </c>
      <c r="J2402" t="s">
        <v>25</v>
      </c>
      <c r="K2402">
        <v>0</v>
      </c>
      <c r="L2402">
        <v>0</v>
      </c>
      <c r="M2402" t="s">
        <v>25</v>
      </c>
      <c r="N2402" t="s">
        <v>25</v>
      </c>
      <c r="O2402" t="s">
        <v>26</v>
      </c>
      <c r="P2402" t="s">
        <v>25</v>
      </c>
      <c r="Q2402" t="s">
        <v>51</v>
      </c>
      <c r="R2402" t="s">
        <v>2623</v>
      </c>
    </row>
    <row r="2403" spans="1:20">
      <c r="A2403">
        <v>2413</v>
      </c>
      <c r="B2403" t="s">
        <v>2657</v>
      </c>
      <c r="C2403" t="s">
        <v>21</v>
      </c>
      <c r="D2403" t="s">
        <v>22</v>
      </c>
      <c r="E2403" t="s">
        <v>23</v>
      </c>
      <c r="F2403">
        <v>25700</v>
      </c>
      <c r="G2403">
        <v>19</v>
      </c>
      <c r="H2403">
        <v>30583</v>
      </c>
      <c r="I2403" t="s">
        <v>24</v>
      </c>
      <c r="J2403" t="s">
        <v>25</v>
      </c>
      <c r="K2403">
        <v>0</v>
      </c>
      <c r="L2403">
        <v>0</v>
      </c>
      <c r="M2403" t="s">
        <v>25</v>
      </c>
      <c r="N2403" t="s">
        <v>25</v>
      </c>
      <c r="O2403" t="s">
        <v>26</v>
      </c>
      <c r="P2403" t="s">
        <v>25</v>
      </c>
      <c r="Q2403" t="s">
        <v>51</v>
      </c>
      <c r="R2403" t="s">
        <v>2623</v>
      </c>
    </row>
    <row r="2404" spans="1:20">
      <c r="A2404">
        <v>2414</v>
      </c>
      <c r="B2404" t="s">
        <v>2658</v>
      </c>
      <c r="C2404" t="s">
        <v>21</v>
      </c>
      <c r="D2404" t="s">
        <v>22</v>
      </c>
      <c r="E2404" t="s">
        <v>23</v>
      </c>
      <c r="F2404">
        <v>4900</v>
      </c>
      <c r="G2404">
        <v>19</v>
      </c>
      <c r="H2404">
        <v>5831</v>
      </c>
      <c r="I2404" t="s">
        <v>24</v>
      </c>
      <c r="J2404" t="s">
        <v>25</v>
      </c>
      <c r="K2404">
        <v>0</v>
      </c>
      <c r="L2404">
        <v>0</v>
      </c>
      <c r="M2404" t="s">
        <v>25</v>
      </c>
      <c r="N2404" t="s">
        <v>25</v>
      </c>
      <c r="O2404" t="s">
        <v>26</v>
      </c>
      <c r="P2404" t="s">
        <v>25</v>
      </c>
      <c r="Q2404" t="s">
        <v>51</v>
      </c>
      <c r="R2404" t="s">
        <v>2623</v>
      </c>
    </row>
    <row r="2405" spans="1:20">
      <c r="A2405">
        <v>2415</v>
      </c>
      <c r="B2405" t="s">
        <v>2659</v>
      </c>
      <c r="C2405" t="s">
        <v>21</v>
      </c>
      <c r="D2405" t="s">
        <v>22</v>
      </c>
      <c r="E2405" t="s">
        <v>23</v>
      </c>
      <c r="F2405">
        <v>4900</v>
      </c>
      <c r="G2405">
        <v>19</v>
      </c>
      <c r="H2405">
        <v>5831</v>
      </c>
      <c r="I2405" t="s">
        <v>24</v>
      </c>
      <c r="J2405" t="s">
        <v>25</v>
      </c>
      <c r="K2405">
        <v>0</v>
      </c>
      <c r="L2405">
        <v>0</v>
      </c>
      <c r="M2405" t="s">
        <v>25</v>
      </c>
      <c r="N2405" t="s">
        <v>25</v>
      </c>
      <c r="O2405" t="s">
        <v>26</v>
      </c>
      <c r="P2405" t="s">
        <v>25</v>
      </c>
      <c r="Q2405" t="s">
        <v>51</v>
      </c>
      <c r="R2405" t="s">
        <v>2623</v>
      </c>
    </row>
    <row r="2406" spans="1:20">
      <c r="A2406">
        <v>2416</v>
      </c>
      <c r="B2406" t="s">
        <v>2660</v>
      </c>
      <c r="C2406" t="s">
        <v>21</v>
      </c>
      <c r="D2406" t="s">
        <v>22</v>
      </c>
      <c r="E2406" t="s">
        <v>23</v>
      </c>
      <c r="F2406">
        <v>8590</v>
      </c>
      <c r="G2406">
        <v>19</v>
      </c>
      <c r="H2406">
        <v>10222.1</v>
      </c>
      <c r="I2406" t="s">
        <v>24</v>
      </c>
      <c r="J2406" t="s">
        <v>25</v>
      </c>
      <c r="K2406">
        <v>0</v>
      </c>
      <c r="L2406">
        <v>0</v>
      </c>
      <c r="M2406" t="s">
        <v>25</v>
      </c>
      <c r="N2406" t="s">
        <v>25</v>
      </c>
      <c r="O2406" t="s">
        <v>26</v>
      </c>
      <c r="P2406" t="s">
        <v>25</v>
      </c>
      <c r="Q2406" t="s">
        <v>51</v>
      </c>
      <c r="R2406" t="s">
        <v>2623</v>
      </c>
    </row>
    <row r="2407" spans="1:20">
      <c r="A2407">
        <v>2417</v>
      </c>
      <c r="B2407" t="s">
        <v>2661</v>
      </c>
      <c r="C2407" t="s">
        <v>21</v>
      </c>
      <c r="D2407" t="s">
        <v>22</v>
      </c>
      <c r="E2407" t="s">
        <v>23</v>
      </c>
      <c r="F2407">
        <v>8590</v>
      </c>
      <c r="G2407">
        <v>19</v>
      </c>
      <c r="H2407">
        <v>10222.1</v>
      </c>
      <c r="I2407" t="s">
        <v>24</v>
      </c>
      <c r="J2407" t="s">
        <v>25</v>
      </c>
      <c r="K2407">
        <v>0</v>
      </c>
      <c r="L2407">
        <v>0</v>
      </c>
      <c r="M2407" t="s">
        <v>25</v>
      </c>
      <c r="N2407" t="s">
        <v>25</v>
      </c>
      <c r="O2407" t="s">
        <v>26</v>
      </c>
      <c r="P2407" t="s">
        <v>25</v>
      </c>
      <c r="Q2407" t="s">
        <v>51</v>
      </c>
      <c r="R2407" t="s">
        <v>2623</v>
      </c>
    </row>
    <row r="2408" spans="1:20">
      <c r="A2408">
        <v>2418</v>
      </c>
      <c r="B2408" t="s">
        <v>2662</v>
      </c>
      <c r="C2408" t="s">
        <v>21</v>
      </c>
      <c r="D2408" t="s">
        <v>22</v>
      </c>
      <c r="E2408" t="s">
        <v>23</v>
      </c>
      <c r="F2408">
        <v>8590</v>
      </c>
      <c r="G2408">
        <v>19</v>
      </c>
      <c r="H2408">
        <v>10222.1</v>
      </c>
      <c r="I2408" t="s">
        <v>24</v>
      </c>
      <c r="J2408" t="s">
        <v>25</v>
      </c>
      <c r="K2408">
        <v>0</v>
      </c>
      <c r="L2408">
        <v>0</v>
      </c>
      <c r="M2408" t="s">
        <v>25</v>
      </c>
      <c r="N2408" t="s">
        <v>25</v>
      </c>
      <c r="O2408" t="s">
        <v>26</v>
      </c>
      <c r="P2408" t="s">
        <v>25</v>
      </c>
      <c r="Q2408" t="s">
        <v>51</v>
      </c>
      <c r="R2408" t="s">
        <v>2623</v>
      </c>
    </row>
    <row r="2409" spans="1:20">
      <c r="A2409">
        <v>2419</v>
      </c>
      <c r="B2409" t="s">
        <v>2663</v>
      </c>
      <c r="C2409" t="s">
        <v>21</v>
      </c>
      <c r="D2409" t="s">
        <v>22</v>
      </c>
      <c r="E2409" t="s">
        <v>23</v>
      </c>
      <c r="F2409">
        <v>1960</v>
      </c>
      <c r="G2409">
        <v>19</v>
      </c>
      <c r="H2409">
        <v>2332.4</v>
      </c>
      <c r="I2409" t="s">
        <v>24</v>
      </c>
      <c r="J2409" t="s">
        <v>25</v>
      </c>
      <c r="K2409">
        <v>0</v>
      </c>
      <c r="L2409">
        <v>0</v>
      </c>
      <c r="M2409" t="s">
        <v>25</v>
      </c>
      <c r="N2409" t="s">
        <v>25</v>
      </c>
      <c r="O2409" t="s">
        <v>26</v>
      </c>
      <c r="P2409" t="s">
        <v>25</v>
      </c>
      <c r="Q2409" t="s">
        <v>51</v>
      </c>
      <c r="R2409" t="s">
        <v>2623</v>
      </c>
    </row>
    <row r="2410" spans="1:20">
      <c r="A2410">
        <v>2420</v>
      </c>
      <c r="B2410" t="s">
        <v>2664</v>
      </c>
      <c r="C2410" t="s">
        <v>21</v>
      </c>
      <c r="D2410" t="s">
        <v>22</v>
      </c>
      <c r="E2410" t="s">
        <v>23</v>
      </c>
      <c r="F2410">
        <v>38650</v>
      </c>
      <c r="G2410">
        <v>19</v>
      </c>
      <c r="H2410">
        <v>45993.5</v>
      </c>
      <c r="I2410" t="s">
        <v>24</v>
      </c>
      <c r="J2410" t="s">
        <v>25</v>
      </c>
      <c r="K2410">
        <v>0</v>
      </c>
      <c r="L2410">
        <v>0</v>
      </c>
      <c r="M2410" t="s">
        <v>25</v>
      </c>
      <c r="N2410" t="s">
        <v>25</v>
      </c>
      <c r="O2410" t="s">
        <v>26</v>
      </c>
      <c r="P2410" t="s">
        <v>25</v>
      </c>
      <c r="Q2410" t="s">
        <v>51</v>
      </c>
      <c r="R2410" t="s">
        <v>2623</v>
      </c>
    </row>
    <row r="2411" spans="1:20">
      <c r="A2411">
        <v>2421</v>
      </c>
      <c r="B2411" t="s">
        <v>2665</v>
      </c>
      <c r="C2411" t="s">
        <v>21</v>
      </c>
      <c r="D2411" t="s">
        <v>22</v>
      </c>
      <c r="E2411" t="s">
        <v>23</v>
      </c>
      <c r="F2411">
        <v>5400</v>
      </c>
      <c r="G2411">
        <v>19</v>
      </c>
      <c r="H2411">
        <v>6426</v>
      </c>
      <c r="I2411" t="s">
        <v>24</v>
      </c>
      <c r="J2411" t="s">
        <v>25</v>
      </c>
      <c r="K2411">
        <v>0</v>
      </c>
      <c r="L2411">
        <v>0</v>
      </c>
      <c r="M2411" t="s">
        <v>25</v>
      </c>
      <c r="N2411" t="s">
        <v>25</v>
      </c>
      <c r="O2411" t="s">
        <v>26</v>
      </c>
      <c r="P2411" t="s">
        <v>25</v>
      </c>
      <c r="Q2411" t="s">
        <v>51</v>
      </c>
      <c r="R2411" t="s">
        <v>2623</v>
      </c>
    </row>
    <row r="2412" spans="1:20">
      <c r="A2412">
        <v>2422</v>
      </c>
      <c r="B2412" t="s">
        <v>2666</v>
      </c>
      <c r="C2412" t="s">
        <v>21</v>
      </c>
      <c r="D2412" t="s">
        <v>22</v>
      </c>
      <c r="E2412" t="s">
        <v>23</v>
      </c>
      <c r="F2412">
        <v>4289</v>
      </c>
      <c r="G2412">
        <v>19</v>
      </c>
      <c r="H2412">
        <v>5103.91</v>
      </c>
      <c r="I2412" t="s">
        <v>24</v>
      </c>
      <c r="J2412" t="s">
        <v>25</v>
      </c>
      <c r="K2412">
        <v>0</v>
      </c>
      <c r="L2412">
        <v>0</v>
      </c>
      <c r="M2412" t="s">
        <v>25</v>
      </c>
      <c r="N2412" t="s">
        <v>25</v>
      </c>
      <c r="O2412" t="s">
        <v>26</v>
      </c>
      <c r="P2412" t="s">
        <v>25</v>
      </c>
      <c r="Q2412" t="s">
        <v>51</v>
      </c>
      <c r="R2412" t="s">
        <v>2623</v>
      </c>
      <c r="S2412" t="s">
        <v>51</v>
      </c>
      <c r="T2412" t="s">
        <v>2623</v>
      </c>
    </row>
    <row r="2413" spans="1:20">
      <c r="A2413">
        <v>2423</v>
      </c>
      <c r="B2413" t="s">
        <v>2667</v>
      </c>
      <c r="C2413" t="s">
        <v>21</v>
      </c>
      <c r="D2413" t="s">
        <v>22</v>
      </c>
      <c r="E2413" t="s">
        <v>23</v>
      </c>
      <c r="F2413">
        <v>2454</v>
      </c>
      <c r="G2413">
        <v>19</v>
      </c>
      <c r="H2413">
        <v>2920.26</v>
      </c>
      <c r="I2413" t="s">
        <v>24</v>
      </c>
      <c r="J2413" t="s">
        <v>25</v>
      </c>
      <c r="K2413">
        <v>0</v>
      </c>
      <c r="L2413">
        <v>0</v>
      </c>
      <c r="M2413" t="s">
        <v>25</v>
      </c>
      <c r="N2413" t="s">
        <v>25</v>
      </c>
      <c r="O2413" t="s">
        <v>26</v>
      </c>
      <c r="P2413" t="s">
        <v>25</v>
      </c>
      <c r="Q2413" t="s">
        <v>51</v>
      </c>
      <c r="R2413" t="s">
        <v>2668</v>
      </c>
    </row>
    <row r="2414" spans="1:20">
      <c r="A2414">
        <v>2424</v>
      </c>
      <c r="B2414" t="s">
        <v>2669</v>
      </c>
      <c r="C2414" t="s">
        <v>21</v>
      </c>
      <c r="D2414" t="s">
        <v>22</v>
      </c>
      <c r="E2414" t="s">
        <v>23</v>
      </c>
      <c r="F2414">
        <v>1770</v>
      </c>
      <c r="G2414">
        <v>19</v>
      </c>
      <c r="H2414">
        <v>2106.3000000000002</v>
      </c>
      <c r="I2414" t="s">
        <v>24</v>
      </c>
      <c r="J2414" t="s">
        <v>25</v>
      </c>
      <c r="K2414">
        <v>0</v>
      </c>
      <c r="L2414">
        <v>0</v>
      </c>
      <c r="M2414" t="s">
        <v>25</v>
      </c>
      <c r="N2414" t="s">
        <v>25</v>
      </c>
      <c r="O2414" t="s">
        <v>26</v>
      </c>
      <c r="P2414" t="s">
        <v>25</v>
      </c>
      <c r="Q2414" t="s">
        <v>51</v>
      </c>
      <c r="R2414" t="s">
        <v>2668</v>
      </c>
    </row>
    <row r="2415" spans="1:20">
      <c r="A2415">
        <v>2425</v>
      </c>
      <c r="B2415" t="s">
        <v>2670</v>
      </c>
      <c r="C2415" t="s">
        <v>21</v>
      </c>
      <c r="D2415" t="s">
        <v>22</v>
      </c>
      <c r="E2415" t="s">
        <v>23</v>
      </c>
      <c r="F2415">
        <v>1770</v>
      </c>
      <c r="G2415">
        <v>19</v>
      </c>
      <c r="H2415">
        <v>2106.3000000000002</v>
      </c>
      <c r="I2415" t="s">
        <v>24</v>
      </c>
      <c r="J2415" t="s">
        <v>25</v>
      </c>
      <c r="K2415">
        <v>0</v>
      </c>
      <c r="L2415">
        <v>0</v>
      </c>
      <c r="M2415" t="s">
        <v>25</v>
      </c>
      <c r="N2415" t="s">
        <v>25</v>
      </c>
      <c r="O2415" t="s">
        <v>26</v>
      </c>
      <c r="P2415" t="s">
        <v>25</v>
      </c>
      <c r="Q2415" t="s">
        <v>51</v>
      </c>
      <c r="R2415" t="s">
        <v>2668</v>
      </c>
    </row>
    <row r="2416" spans="1:20">
      <c r="A2416">
        <v>2426</v>
      </c>
      <c r="B2416" t="s">
        <v>2671</v>
      </c>
      <c r="C2416" t="s">
        <v>21</v>
      </c>
      <c r="D2416" t="s">
        <v>22</v>
      </c>
      <c r="E2416" t="s">
        <v>23</v>
      </c>
      <c r="F2416">
        <v>1770</v>
      </c>
      <c r="G2416">
        <v>19</v>
      </c>
      <c r="H2416">
        <v>2106.3000000000002</v>
      </c>
      <c r="I2416" t="s">
        <v>24</v>
      </c>
      <c r="J2416" t="s">
        <v>25</v>
      </c>
      <c r="K2416">
        <v>0</v>
      </c>
      <c r="L2416">
        <v>0</v>
      </c>
      <c r="M2416" t="s">
        <v>25</v>
      </c>
      <c r="N2416" t="s">
        <v>25</v>
      </c>
      <c r="O2416" t="s">
        <v>26</v>
      </c>
      <c r="P2416" t="s">
        <v>25</v>
      </c>
      <c r="Q2416" t="s">
        <v>51</v>
      </c>
      <c r="R2416" t="s">
        <v>2668</v>
      </c>
    </row>
    <row r="2417" spans="1:20">
      <c r="A2417">
        <v>2427</v>
      </c>
      <c r="B2417" t="s">
        <v>2672</v>
      </c>
      <c r="C2417" t="s">
        <v>21</v>
      </c>
      <c r="D2417" t="s">
        <v>22</v>
      </c>
      <c r="E2417" t="s">
        <v>23</v>
      </c>
      <c r="F2417">
        <v>1770</v>
      </c>
      <c r="G2417">
        <v>19</v>
      </c>
      <c r="H2417">
        <v>2106.3000000000002</v>
      </c>
      <c r="I2417" t="s">
        <v>24</v>
      </c>
      <c r="J2417" t="s">
        <v>25</v>
      </c>
      <c r="K2417">
        <v>0</v>
      </c>
      <c r="L2417">
        <v>0</v>
      </c>
      <c r="M2417" t="s">
        <v>25</v>
      </c>
      <c r="N2417" t="s">
        <v>25</v>
      </c>
      <c r="O2417" t="s">
        <v>26</v>
      </c>
      <c r="P2417" t="s">
        <v>25</v>
      </c>
      <c r="Q2417" t="s">
        <v>51</v>
      </c>
      <c r="R2417" t="s">
        <v>2668</v>
      </c>
    </row>
    <row r="2418" spans="1:20">
      <c r="A2418">
        <v>2428</v>
      </c>
      <c r="B2418" t="s">
        <v>2673</v>
      </c>
      <c r="C2418" t="s">
        <v>21</v>
      </c>
      <c r="D2418" t="s">
        <v>22</v>
      </c>
      <c r="E2418" t="s">
        <v>23</v>
      </c>
      <c r="F2418">
        <v>0</v>
      </c>
      <c r="G2418">
        <v>19</v>
      </c>
      <c r="H2418">
        <v>0</v>
      </c>
      <c r="I2418" t="s">
        <v>24</v>
      </c>
      <c r="J2418" t="s">
        <v>25</v>
      </c>
      <c r="K2418">
        <v>0</v>
      </c>
      <c r="L2418">
        <v>0</v>
      </c>
      <c r="M2418" t="s">
        <v>25</v>
      </c>
      <c r="N2418" t="s">
        <v>25</v>
      </c>
      <c r="O2418" t="s">
        <v>26</v>
      </c>
      <c r="P2418" t="s">
        <v>25</v>
      </c>
      <c r="Q2418" t="s">
        <v>51</v>
      </c>
      <c r="R2418" t="s">
        <v>1849</v>
      </c>
    </row>
    <row r="2419" spans="1:20">
      <c r="A2419">
        <v>2429</v>
      </c>
      <c r="B2419" t="s">
        <v>2674</v>
      </c>
      <c r="C2419" t="s">
        <v>21</v>
      </c>
      <c r="D2419" t="s">
        <v>22</v>
      </c>
      <c r="E2419" t="s">
        <v>23</v>
      </c>
      <c r="F2419">
        <v>0</v>
      </c>
      <c r="G2419">
        <v>19</v>
      </c>
      <c r="H2419">
        <v>0</v>
      </c>
      <c r="I2419" t="s">
        <v>24</v>
      </c>
      <c r="J2419" t="s">
        <v>25</v>
      </c>
      <c r="K2419">
        <v>0</v>
      </c>
      <c r="L2419">
        <v>0</v>
      </c>
      <c r="M2419" t="s">
        <v>25</v>
      </c>
      <c r="N2419" t="s">
        <v>25</v>
      </c>
      <c r="O2419" t="s">
        <v>26</v>
      </c>
      <c r="P2419" t="s">
        <v>25</v>
      </c>
      <c r="Q2419" t="s">
        <v>51</v>
      </c>
      <c r="R2419" t="s">
        <v>1849</v>
      </c>
    </row>
    <row r="2420" spans="1:20">
      <c r="A2420">
        <v>2430</v>
      </c>
      <c r="B2420" t="s">
        <v>2675</v>
      </c>
      <c r="C2420" t="s">
        <v>21</v>
      </c>
      <c r="D2420" t="s">
        <v>22</v>
      </c>
      <c r="E2420" t="s">
        <v>23</v>
      </c>
      <c r="F2420">
        <v>0</v>
      </c>
      <c r="G2420">
        <v>19</v>
      </c>
      <c r="H2420">
        <v>0</v>
      </c>
      <c r="I2420" t="s">
        <v>24</v>
      </c>
      <c r="J2420" t="s">
        <v>25</v>
      </c>
      <c r="K2420">
        <v>0</v>
      </c>
      <c r="L2420">
        <v>0</v>
      </c>
      <c r="M2420" t="s">
        <v>25</v>
      </c>
      <c r="N2420" t="s">
        <v>25</v>
      </c>
      <c r="O2420" t="s">
        <v>26</v>
      </c>
      <c r="P2420" t="s">
        <v>25</v>
      </c>
      <c r="Q2420" t="s">
        <v>51</v>
      </c>
      <c r="R2420" t="s">
        <v>1849</v>
      </c>
    </row>
    <row r="2421" spans="1:20">
      <c r="A2421">
        <v>2431</v>
      </c>
      <c r="B2421" t="s">
        <v>2676</v>
      </c>
      <c r="C2421" t="s">
        <v>21</v>
      </c>
      <c r="D2421" t="s">
        <v>22</v>
      </c>
      <c r="E2421" t="s">
        <v>23</v>
      </c>
      <c r="F2421">
        <v>731799</v>
      </c>
      <c r="G2421">
        <v>19</v>
      </c>
      <c r="H2421">
        <v>870840.81</v>
      </c>
      <c r="I2421" t="s">
        <v>24</v>
      </c>
      <c r="J2421" t="s">
        <v>25</v>
      </c>
      <c r="K2421">
        <v>0</v>
      </c>
      <c r="L2421">
        <v>0</v>
      </c>
      <c r="M2421" t="s">
        <v>25</v>
      </c>
      <c r="N2421" t="s">
        <v>25</v>
      </c>
      <c r="O2421" t="s">
        <v>26</v>
      </c>
      <c r="P2421" t="s">
        <v>25</v>
      </c>
      <c r="Q2421" t="s">
        <v>51</v>
      </c>
      <c r="R2421" t="s">
        <v>1849</v>
      </c>
    </row>
    <row r="2422" spans="1:20">
      <c r="A2422">
        <v>2432</v>
      </c>
      <c r="B2422" t="s">
        <v>2677</v>
      </c>
      <c r="C2422" t="s">
        <v>36</v>
      </c>
      <c r="D2422" t="s">
        <v>1131</v>
      </c>
      <c r="E2422" t="s">
        <v>1746</v>
      </c>
      <c r="F2422">
        <v>0</v>
      </c>
      <c r="G2422">
        <v>0</v>
      </c>
      <c r="H2422">
        <v>0</v>
      </c>
      <c r="I2422" t="s">
        <v>24</v>
      </c>
      <c r="J2422" t="s">
        <v>25</v>
      </c>
      <c r="K2422">
        <v>0</v>
      </c>
      <c r="L2422">
        <v>0</v>
      </c>
      <c r="M2422" t="s">
        <v>25</v>
      </c>
      <c r="N2422" t="s">
        <v>25</v>
      </c>
      <c r="O2422" t="s">
        <v>26</v>
      </c>
      <c r="P2422" t="s">
        <v>25</v>
      </c>
      <c r="Q2422" t="s">
        <v>231</v>
      </c>
      <c r="R2422" t="s">
        <v>2060</v>
      </c>
    </row>
    <row r="2423" spans="1:20">
      <c r="A2423">
        <v>2433</v>
      </c>
      <c r="B2423" t="s">
        <v>2678</v>
      </c>
      <c r="C2423" t="s">
        <v>21</v>
      </c>
      <c r="D2423" t="s">
        <v>22</v>
      </c>
      <c r="E2423" t="s">
        <v>23</v>
      </c>
      <c r="F2423">
        <v>5347680</v>
      </c>
      <c r="G2423">
        <v>19</v>
      </c>
      <c r="H2423">
        <v>6363739.2000000002</v>
      </c>
      <c r="I2423" t="s">
        <v>24</v>
      </c>
      <c r="J2423" t="s">
        <v>25</v>
      </c>
      <c r="K2423">
        <v>0</v>
      </c>
      <c r="L2423">
        <v>0</v>
      </c>
      <c r="M2423" t="s">
        <v>25</v>
      </c>
      <c r="N2423" t="s">
        <v>25</v>
      </c>
      <c r="O2423" t="s">
        <v>26</v>
      </c>
      <c r="P2423" t="s">
        <v>25</v>
      </c>
      <c r="Q2423" t="s">
        <v>51</v>
      </c>
      <c r="R2423" t="s">
        <v>2679</v>
      </c>
      <c r="S2423" t="s">
        <v>51</v>
      </c>
      <c r="T2423" t="s">
        <v>2679</v>
      </c>
    </row>
    <row r="2424" spans="1:20">
      <c r="A2424">
        <v>2434</v>
      </c>
      <c r="B2424" t="s">
        <v>2680</v>
      </c>
      <c r="C2424" t="s">
        <v>21</v>
      </c>
      <c r="D2424" t="s">
        <v>22</v>
      </c>
      <c r="E2424" t="s">
        <v>23</v>
      </c>
      <c r="F2424">
        <v>5144320</v>
      </c>
      <c r="G2424">
        <v>19</v>
      </c>
      <c r="H2424">
        <v>6121740.7999999998</v>
      </c>
      <c r="I2424" t="s">
        <v>24</v>
      </c>
      <c r="J2424" t="s">
        <v>25</v>
      </c>
      <c r="K2424">
        <v>0</v>
      </c>
      <c r="L2424">
        <v>0</v>
      </c>
      <c r="M2424" t="s">
        <v>25</v>
      </c>
      <c r="N2424" t="s">
        <v>25</v>
      </c>
      <c r="O2424" t="s">
        <v>26</v>
      </c>
      <c r="P2424" t="s">
        <v>25</v>
      </c>
      <c r="Q2424" t="s">
        <v>51</v>
      </c>
      <c r="R2424" t="s">
        <v>2679</v>
      </c>
      <c r="S2424" t="s">
        <v>51</v>
      </c>
      <c r="T2424" t="s">
        <v>2679</v>
      </c>
    </row>
    <row r="2425" spans="1:20">
      <c r="A2425">
        <v>2435</v>
      </c>
      <c r="B2425" t="s">
        <v>2681</v>
      </c>
      <c r="C2425" t="s">
        <v>21</v>
      </c>
      <c r="D2425" t="s">
        <v>22</v>
      </c>
      <c r="E2425" t="s">
        <v>23</v>
      </c>
      <c r="F2425">
        <v>323076</v>
      </c>
      <c r="G2425">
        <v>19</v>
      </c>
      <c r="H2425">
        <v>384460.44</v>
      </c>
      <c r="I2425" t="s">
        <v>24</v>
      </c>
      <c r="J2425" t="s">
        <v>25</v>
      </c>
      <c r="K2425">
        <v>0</v>
      </c>
      <c r="L2425">
        <v>0</v>
      </c>
      <c r="M2425" t="s">
        <v>25</v>
      </c>
      <c r="N2425" t="s">
        <v>25</v>
      </c>
      <c r="O2425" t="s">
        <v>26</v>
      </c>
      <c r="P2425" t="s">
        <v>25</v>
      </c>
      <c r="Q2425" t="s">
        <v>51</v>
      </c>
      <c r="R2425" t="s">
        <v>1596</v>
      </c>
    </row>
    <row r="2426" spans="1:20">
      <c r="A2426">
        <v>2436</v>
      </c>
      <c r="B2426" t="s">
        <v>2682</v>
      </c>
      <c r="C2426" t="s">
        <v>36</v>
      </c>
      <c r="D2426" t="s">
        <v>1131</v>
      </c>
      <c r="E2426" t="s">
        <v>1146</v>
      </c>
      <c r="F2426">
        <v>0</v>
      </c>
      <c r="G2426">
        <v>0</v>
      </c>
      <c r="H2426">
        <v>0</v>
      </c>
      <c r="I2426" t="s">
        <v>24</v>
      </c>
      <c r="J2426" t="s">
        <v>25</v>
      </c>
      <c r="K2426">
        <v>0</v>
      </c>
      <c r="L2426">
        <v>0</v>
      </c>
      <c r="M2426" t="s">
        <v>25</v>
      </c>
      <c r="N2426" t="s">
        <v>25</v>
      </c>
      <c r="O2426" t="s">
        <v>26</v>
      </c>
      <c r="P2426" t="s">
        <v>25</v>
      </c>
      <c r="Q2426" t="s">
        <v>231</v>
      </c>
      <c r="R2426" t="s">
        <v>2683</v>
      </c>
      <c r="S2426" t="s">
        <v>231</v>
      </c>
      <c r="T2426" t="s">
        <v>2683</v>
      </c>
    </row>
    <row r="2427" spans="1:20">
      <c r="A2427">
        <v>2437</v>
      </c>
      <c r="B2427" t="s">
        <v>2684</v>
      </c>
      <c r="C2427" t="s">
        <v>36</v>
      </c>
      <c r="D2427" t="s">
        <v>1131</v>
      </c>
      <c r="E2427" t="s">
        <v>1746</v>
      </c>
      <c r="F2427">
        <v>0</v>
      </c>
      <c r="G2427">
        <v>0</v>
      </c>
      <c r="H2427">
        <v>0</v>
      </c>
      <c r="I2427" t="s">
        <v>24</v>
      </c>
      <c r="J2427" t="s">
        <v>25</v>
      </c>
      <c r="K2427">
        <v>0</v>
      </c>
      <c r="L2427">
        <v>0</v>
      </c>
      <c r="M2427" t="s">
        <v>25</v>
      </c>
      <c r="N2427" t="s">
        <v>25</v>
      </c>
      <c r="O2427" t="s">
        <v>26</v>
      </c>
      <c r="P2427" t="s">
        <v>25</v>
      </c>
      <c r="Q2427" t="s">
        <v>231</v>
      </c>
      <c r="R2427" t="s">
        <v>2683</v>
      </c>
    </row>
    <row r="2428" spans="1:20">
      <c r="A2428">
        <v>2438</v>
      </c>
      <c r="B2428" t="s">
        <v>2685</v>
      </c>
      <c r="C2428" t="s">
        <v>36</v>
      </c>
      <c r="D2428" t="s">
        <v>217</v>
      </c>
      <c r="E2428" t="s">
        <v>378</v>
      </c>
      <c r="F2428">
        <v>0</v>
      </c>
      <c r="G2428">
        <v>0</v>
      </c>
      <c r="H2428">
        <v>0</v>
      </c>
      <c r="I2428" t="s">
        <v>24</v>
      </c>
      <c r="J2428" t="s">
        <v>25</v>
      </c>
      <c r="K2428">
        <v>0</v>
      </c>
      <c r="L2428">
        <v>0</v>
      </c>
      <c r="M2428" t="s">
        <v>25</v>
      </c>
      <c r="N2428" t="s">
        <v>25</v>
      </c>
      <c r="O2428" t="s">
        <v>26</v>
      </c>
      <c r="P2428" t="s">
        <v>25</v>
      </c>
      <c r="Q2428" t="s">
        <v>231</v>
      </c>
      <c r="R2428" t="s">
        <v>2683</v>
      </c>
    </row>
    <row r="2429" spans="1:20">
      <c r="A2429">
        <v>2439</v>
      </c>
      <c r="B2429" t="s">
        <v>2686</v>
      </c>
      <c r="C2429" t="s">
        <v>102</v>
      </c>
      <c r="D2429" t="s">
        <v>1131</v>
      </c>
      <c r="E2429" t="s">
        <v>1746</v>
      </c>
      <c r="F2429">
        <v>0</v>
      </c>
      <c r="G2429">
        <v>0</v>
      </c>
      <c r="H2429">
        <v>0</v>
      </c>
      <c r="I2429" t="s">
        <v>24</v>
      </c>
      <c r="J2429" t="s">
        <v>25</v>
      </c>
      <c r="K2429">
        <v>0</v>
      </c>
      <c r="L2429">
        <v>0</v>
      </c>
      <c r="M2429" t="s">
        <v>25</v>
      </c>
      <c r="N2429" t="s">
        <v>25</v>
      </c>
      <c r="O2429" t="s">
        <v>26</v>
      </c>
      <c r="P2429" t="s">
        <v>25</v>
      </c>
      <c r="Q2429" t="s">
        <v>231</v>
      </c>
      <c r="R2429" t="s">
        <v>2687</v>
      </c>
      <c r="S2429" t="s">
        <v>231</v>
      </c>
      <c r="T2429" t="s">
        <v>1747</v>
      </c>
    </row>
    <row r="2430" spans="1:20">
      <c r="A2430">
        <v>2440</v>
      </c>
      <c r="B2430" t="s">
        <v>2688</v>
      </c>
      <c r="C2430" t="s">
        <v>102</v>
      </c>
      <c r="D2430" t="s">
        <v>22</v>
      </c>
      <c r="E2430" t="s">
        <v>23</v>
      </c>
      <c r="F2430">
        <v>0</v>
      </c>
      <c r="G2430">
        <v>0</v>
      </c>
      <c r="H2430">
        <v>0</v>
      </c>
      <c r="I2430" t="s">
        <v>24</v>
      </c>
      <c r="J2430" t="s">
        <v>25</v>
      </c>
      <c r="K2430">
        <v>0</v>
      </c>
      <c r="L2430">
        <v>0</v>
      </c>
      <c r="M2430" t="s">
        <v>25</v>
      </c>
      <c r="N2430" t="s">
        <v>25</v>
      </c>
      <c r="O2430" t="s">
        <v>26</v>
      </c>
      <c r="P2430" t="s">
        <v>25</v>
      </c>
      <c r="Q2430" t="s">
        <v>231</v>
      </c>
      <c r="R2430" t="s">
        <v>2689</v>
      </c>
    </row>
    <row r="2431" spans="1:20">
      <c r="A2431">
        <v>2441</v>
      </c>
      <c r="B2431" t="s">
        <v>2690</v>
      </c>
      <c r="C2431" t="s">
        <v>21</v>
      </c>
      <c r="D2431" t="s">
        <v>22</v>
      </c>
      <c r="E2431" t="s">
        <v>23</v>
      </c>
      <c r="F2431">
        <v>15000</v>
      </c>
      <c r="G2431">
        <v>19</v>
      </c>
      <c r="H2431">
        <v>17850</v>
      </c>
      <c r="I2431" t="s">
        <v>24</v>
      </c>
      <c r="J2431" t="s">
        <v>25</v>
      </c>
      <c r="K2431">
        <v>0</v>
      </c>
      <c r="L2431">
        <v>0</v>
      </c>
      <c r="M2431" t="s">
        <v>25</v>
      </c>
      <c r="N2431" t="s">
        <v>25</v>
      </c>
      <c r="O2431" t="s">
        <v>26</v>
      </c>
      <c r="P2431" t="s">
        <v>25</v>
      </c>
      <c r="Q2431" t="s">
        <v>51</v>
      </c>
      <c r="R2431" t="s">
        <v>2691</v>
      </c>
    </row>
    <row r="2432" spans="1:20">
      <c r="A2432">
        <v>2442</v>
      </c>
      <c r="B2432" t="s">
        <v>2692</v>
      </c>
      <c r="C2432" t="s">
        <v>21</v>
      </c>
      <c r="D2432" t="s">
        <v>22</v>
      </c>
      <c r="E2432" t="s">
        <v>23</v>
      </c>
      <c r="F2432">
        <v>44387</v>
      </c>
      <c r="G2432">
        <v>19</v>
      </c>
      <c r="H2432">
        <v>52820.53</v>
      </c>
      <c r="I2432" t="s">
        <v>24</v>
      </c>
      <c r="J2432" t="s">
        <v>25</v>
      </c>
      <c r="K2432">
        <v>0</v>
      </c>
      <c r="L2432">
        <v>0</v>
      </c>
      <c r="M2432" t="s">
        <v>25</v>
      </c>
      <c r="N2432" t="s">
        <v>25</v>
      </c>
      <c r="O2432" t="s">
        <v>26</v>
      </c>
      <c r="P2432" t="s">
        <v>25</v>
      </c>
      <c r="Q2432" t="s">
        <v>51</v>
      </c>
      <c r="R2432" t="s">
        <v>2691</v>
      </c>
    </row>
    <row r="2433" spans="1:20">
      <c r="A2433">
        <v>2443</v>
      </c>
      <c r="B2433" t="s">
        <v>2693</v>
      </c>
      <c r="C2433" t="s">
        <v>21</v>
      </c>
      <c r="D2433" t="s">
        <v>22</v>
      </c>
      <c r="E2433" t="s">
        <v>23</v>
      </c>
      <c r="F2433">
        <v>42017</v>
      </c>
      <c r="G2433">
        <v>19</v>
      </c>
      <c r="H2433">
        <v>50000.23</v>
      </c>
      <c r="I2433" t="s">
        <v>24</v>
      </c>
      <c r="J2433" t="s">
        <v>25</v>
      </c>
      <c r="K2433">
        <v>0</v>
      </c>
      <c r="L2433">
        <v>0</v>
      </c>
      <c r="M2433" t="s">
        <v>25</v>
      </c>
      <c r="N2433" t="s">
        <v>25</v>
      </c>
      <c r="O2433" t="s">
        <v>26</v>
      </c>
      <c r="P2433" t="s">
        <v>25</v>
      </c>
      <c r="Q2433" t="s">
        <v>51</v>
      </c>
      <c r="R2433" t="s">
        <v>2691</v>
      </c>
      <c r="S2433" t="s">
        <v>51</v>
      </c>
      <c r="T2433" t="s">
        <v>1802</v>
      </c>
    </row>
    <row r="2434" spans="1:20">
      <c r="A2434">
        <v>2444</v>
      </c>
      <c r="B2434" t="s">
        <v>2694</v>
      </c>
      <c r="C2434" t="s">
        <v>21</v>
      </c>
      <c r="D2434" t="s">
        <v>22</v>
      </c>
      <c r="E2434" t="s">
        <v>23</v>
      </c>
      <c r="F2434">
        <v>33613</v>
      </c>
      <c r="G2434">
        <v>19</v>
      </c>
      <c r="H2434">
        <v>39999.47</v>
      </c>
      <c r="I2434" t="s">
        <v>24</v>
      </c>
      <c r="J2434" t="s">
        <v>25</v>
      </c>
      <c r="K2434">
        <v>0</v>
      </c>
      <c r="L2434">
        <v>0</v>
      </c>
      <c r="M2434" t="s">
        <v>25</v>
      </c>
      <c r="N2434" t="s">
        <v>25</v>
      </c>
      <c r="O2434" t="s">
        <v>26</v>
      </c>
      <c r="P2434" t="s">
        <v>25</v>
      </c>
      <c r="Q2434" t="s">
        <v>51</v>
      </c>
      <c r="R2434" t="s">
        <v>2691</v>
      </c>
    </row>
    <row r="2435" spans="1:20">
      <c r="A2435">
        <v>2445</v>
      </c>
      <c r="B2435" t="s">
        <v>2695</v>
      </c>
      <c r="C2435" t="s">
        <v>21</v>
      </c>
      <c r="D2435" t="s">
        <v>22</v>
      </c>
      <c r="E2435" t="s">
        <v>23</v>
      </c>
      <c r="F2435">
        <v>33613</v>
      </c>
      <c r="G2435">
        <v>19</v>
      </c>
      <c r="H2435">
        <v>39999.47</v>
      </c>
      <c r="I2435" t="s">
        <v>24</v>
      </c>
      <c r="J2435" t="s">
        <v>25</v>
      </c>
      <c r="K2435">
        <v>0</v>
      </c>
      <c r="L2435">
        <v>0</v>
      </c>
      <c r="M2435" t="s">
        <v>25</v>
      </c>
      <c r="N2435" t="s">
        <v>25</v>
      </c>
      <c r="O2435" t="s">
        <v>26</v>
      </c>
      <c r="P2435" t="s">
        <v>25</v>
      </c>
      <c r="Q2435" t="s">
        <v>51</v>
      </c>
      <c r="R2435" t="s">
        <v>2691</v>
      </c>
      <c r="S2435" t="s">
        <v>51</v>
      </c>
      <c r="T2435" t="s">
        <v>287</v>
      </c>
    </row>
    <row r="2436" spans="1:20">
      <c r="A2436">
        <v>2446</v>
      </c>
      <c r="B2436" t="s">
        <v>2696</v>
      </c>
      <c r="C2436" t="s">
        <v>21</v>
      </c>
      <c r="D2436" t="s">
        <v>22</v>
      </c>
      <c r="E2436" t="s">
        <v>23</v>
      </c>
      <c r="F2436">
        <v>29412</v>
      </c>
      <c r="G2436">
        <v>19</v>
      </c>
      <c r="H2436">
        <v>35000.28</v>
      </c>
      <c r="I2436" t="s">
        <v>24</v>
      </c>
      <c r="J2436" t="s">
        <v>25</v>
      </c>
      <c r="K2436">
        <v>0</v>
      </c>
      <c r="L2436">
        <v>0</v>
      </c>
      <c r="M2436" t="s">
        <v>25</v>
      </c>
      <c r="N2436" t="s">
        <v>25</v>
      </c>
      <c r="O2436" t="s">
        <v>26</v>
      </c>
      <c r="P2436" t="s">
        <v>25</v>
      </c>
      <c r="Q2436" t="s">
        <v>51</v>
      </c>
      <c r="R2436" t="s">
        <v>2691</v>
      </c>
      <c r="S2436" t="s">
        <v>51</v>
      </c>
      <c r="T2436" t="s">
        <v>2691</v>
      </c>
    </row>
    <row r="2437" spans="1:20">
      <c r="A2437">
        <v>2447</v>
      </c>
      <c r="B2437" t="s">
        <v>2697</v>
      </c>
      <c r="C2437" t="s">
        <v>21</v>
      </c>
      <c r="D2437" t="s">
        <v>22</v>
      </c>
      <c r="E2437" t="s">
        <v>23</v>
      </c>
      <c r="F2437">
        <v>54000</v>
      </c>
      <c r="G2437">
        <v>19</v>
      </c>
      <c r="H2437">
        <v>64260</v>
      </c>
      <c r="I2437" t="s">
        <v>24</v>
      </c>
      <c r="J2437" t="s">
        <v>25</v>
      </c>
      <c r="K2437">
        <v>0</v>
      </c>
      <c r="L2437">
        <v>0</v>
      </c>
      <c r="M2437" t="s">
        <v>25</v>
      </c>
      <c r="N2437" t="s">
        <v>25</v>
      </c>
      <c r="O2437" t="s">
        <v>26</v>
      </c>
      <c r="P2437" t="s">
        <v>25</v>
      </c>
      <c r="Q2437" t="s">
        <v>51</v>
      </c>
      <c r="R2437" t="s">
        <v>2691</v>
      </c>
    </row>
    <row r="2438" spans="1:20">
      <c r="A2438">
        <v>2448</v>
      </c>
      <c r="B2438" t="s">
        <v>2698</v>
      </c>
      <c r="C2438" t="s">
        <v>21</v>
      </c>
      <c r="D2438" t="s">
        <v>22</v>
      </c>
      <c r="E2438" t="s">
        <v>23</v>
      </c>
      <c r="F2438">
        <v>35000</v>
      </c>
      <c r="G2438">
        <v>19</v>
      </c>
      <c r="H2438">
        <v>41650</v>
      </c>
      <c r="I2438" t="s">
        <v>24</v>
      </c>
      <c r="J2438" t="s">
        <v>25</v>
      </c>
      <c r="K2438">
        <v>0</v>
      </c>
      <c r="L2438">
        <v>0</v>
      </c>
      <c r="M2438" t="s">
        <v>25</v>
      </c>
      <c r="N2438" t="s">
        <v>25</v>
      </c>
      <c r="O2438" t="s">
        <v>26</v>
      </c>
      <c r="P2438" t="s">
        <v>25</v>
      </c>
      <c r="Q2438" t="s">
        <v>51</v>
      </c>
      <c r="R2438" t="s">
        <v>2691</v>
      </c>
    </row>
    <row r="2439" spans="1:20">
      <c r="A2439">
        <v>2449</v>
      </c>
      <c r="B2439" t="s">
        <v>2699</v>
      </c>
      <c r="C2439" t="s">
        <v>21</v>
      </c>
      <c r="D2439" t="s">
        <v>22</v>
      </c>
      <c r="E2439" t="s">
        <v>23</v>
      </c>
      <c r="F2439">
        <v>25000</v>
      </c>
      <c r="G2439">
        <v>19</v>
      </c>
      <c r="H2439">
        <v>29750</v>
      </c>
      <c r="I2439" t="s">
        <v>24</v>
      </c>
      <c r="J2439" t="s">
        <v>25</v>
      </c>
      <c r="K2439">
        <v>0</v>
      </c>
      <c r="L2439">
        <v>0</v>
      </c>
      <c r="M2439" t="s">
        <v>25</v>
      </c>
      <c r="N2439" t="s">
        <v>25</v>
      </c>
      <c r="O2439" t="s">
        <v>26</v>
      </c>
      <c r="P2439" t="s">
        <v>25</v>
      </c>
      <c r="Q2439" t="s">
        <v>51</v>
      </c>
      <c r="R2439" t="s">
        <v>2691</v>
      </c>
      <c r="S2439" t="s">
        <v>51</v>
      </c>
      <c r="T2439" t="s">
        <v>2691</v>
      </c>
    </row>
    <row r="2440" spans="1:20">
      <c r="A2440">
        <v>2450</v>
      </c>
      <c r="B2440" t="s">
        <v>2700</v>
      </c>
      <c r="C2440" t="s">
        <v>21</v>
      </c>
      <c r="D2440" t="s">
        <v>22</v>
      </c>
      <c r="E2440" t="s">
        <v>23</v>
      </c>
      <c r="F2440">
        <v>30000</v>
      </c>
      <c r="G2440">
        <v>19</v>
      </c>
      <c r="H2440">
        <v>35700</v>
      </c>
      <c r="I2440" t="s">
        <v>24</v>
      </c>
      <c r="J2440" t="s">
        <v>25</v>
      </c>
      <c r="K2440">
        <v>0</v>
      </c>
      <c r="L2440">
        <v>0</v>
      </c>
      <c r="M2440" t="s">
        <v>25</v>
      </c>
      <c r="N2440" t="s">
        <v>25</v>
      </c>
      <c r="O2440" t="s">
        <v>26</v>
      </c>
      <c r="P2440" t="s">
        <v>25</v>
      </c>
      <c r="Q2440" t="s">
        <v>51</v>
      </c>
      <c r="R2440" t="s">
        <v>2691</v>
      </c>
    </row>
    <row r="2441" spans="1:20">
      <c r="A2441">
        <v>2451</v>
      </c>
      <c r="B2441" t="s">
        <v>2701</v>
      </c>
      <c r="C2441" t="s">
        <v>21</v>
      </c>
      <c r="D2441" t="s">
        <v>22</v>
      </c>
      <c r="E2441" t="s">
        <v>23</v>
      </c>
      <c r="F2441">
        <v>60000</v>
      </c>
      <c r="G2441">
        <v>19</v>
      </c>
      <c r="H2441">
        <v>71400</v>
      </c>
      <c r="I2441" t="s">
        <v>24</v>
      </c>
      <c r="J2441" t="s">
        <v>25</v>
      </c>
      <c r="K2441">
        <v>0</v>
      </c>
      <c r="L2441">
        <v>0</v>
      </c>
      <c r="M2441" t="s">
        <v>25</v>
      </c>
      <c r="N2441" t="s">
        <v>25</v>
      </c>
      <c r="O2441" t="s">
        <v>26</v>
      </c>
      <c r="P2441" t="s">
        <v>25</v>
      </c>
      <c r="Q2441" t="s">
        <v>51</v>
      </c>
      <c r="R2441" t="s">
        <v>2691</v>
      </c>
      <c r="S2441" t="s">
        <v>51</v>
      </c>
      <c r="T2441" t="s">
        <v>2691</v>
      </c>
    </row>
    <row r="2442" spans="1:20">
      <c r="A2442">
        <v>2452</v>
      </c>
      <c r="B2442" t="s">
        <v>2702</v>
      </c>
      <c r="C2442" t="s">
        <v>21</v>
      </c>
      <c r="D2442" t="s">
        <v>22</v>
      </c>
      <c r="E2442" t="s">
        <v>23</v>
      </c>
      <c r="F2442">
        <v>89999.85</v>
      </c>
      <c r="G2442">
        <v>19</v>
      </c>
      <c r="H2442">
        <v>107099.82150000001</v>
      </c>
      <c r="I2442" t="s">
        <v>24</v>
      </c>
      <c r="J2442" t="s">
        <v>25</v>
      </c>
      <c r="K2442">
        <v>0</v>
      </c>
      <c r="L2442">
        <v>0</v>
      </c>
      <c r="M2442" t="s">
        <v>25</v>
      </c>
      <c r="N2442" t="s">
        <v>25</v>
      </c>
      <c r="O2442" t="s">
        <v>26</v>
      </c>
      <c r="P2442" t="s">
        <v>25</v>
      </c>
      <c r="Q2442" t="s">
        <v>51</v>
      </c>
      <c r="R2442" t="s">
        <v>2691</v>
      </c>
      <c r="S2442" t="s">
        <v>51</v>
      </c>
      <c r="T2442" t="s">
        <v>2691</v>
      </c>
    </row>
    <row r="2443" spans="1:20">
      <c r="A2443">
        <v>2453</v>
      </c>
      <c r="B2443" t="s">
        <v>2703</v>
      </c>
      <c r="C2443" t="s">
        <v>21</v>
      </c>
      <c r="D2443" t="s">
        <v>22</v>
      </c>
      <c r="E2443" t="s">
        <v>23</v>
      </c>
      <c r="F2443">
        <v>47999.97</v>
      </c>
      <c r="G2443">
        <v>19</v>
      </c>
      <c r="H2443">
        <v>57119.9643</v>
      </c>
      <c r="I2443" t="s">
        <v>24</v>
      </c>
      <c r="J2443" t="s">
        <v>25</v>
      </c>
      <c r="K2443">
        <v>0</v>
      </c>
      <c r="L2443">
        <v>0</v>
      </c>
      <c r="M2443" t="s">
        <v>25</v>
      </c>
      <c r="N2443" t="s">
        <v>25</v>
      </c>
      <c r="O2443" t="s">
        <v>26</v>
      </c>
      <c r="P2443" t="s">
        <v>25</v>
      </c>
      <c r="Q2443" t="s">
        <v>51</v>
      </c>
      <c r="R2443" t="s">
        <v>2691</v>
      </c>
    </row>
    <row r="2444" spans="1:20">
      <c r="A2444">
        <v>2454</v>
      </c>
      <c r="B2444" t="s">
        <v>2704</v>
      </c>
      <c r="C2444" t="s">
        <v>21</v>
      </c>
      <c r="D2444" t="s">
        <v>22</v>
      </c>
      <c r="E2444" t="s">
        <v>23</v>
      </c>
      <c r="F2444">
        <v>2101</v>
      </c>
      <c r="G2444">
        <v>19</v>
      </c>
      <c r="H2444">
        <v>2500.19</v>
      </c>
      <c r="I2444" t="s">
        <v>24</v>
      </c>
      <c r="J2444" t="s">
        <v>25</v>
      </c>
      <c r="K2444">
        <v>0</v>
      </c>
      <c r="L2444">
        <v>0</v>
      </c>
      <c r="M2444" t="s">
        <v>25</v>
      </c>
      <c r="N2444" t="s">
        <v>25</v>
      </c>
      <c r="O2444" t="s">
        <v>26</v>
      </c>
      <c r="P2444" t="s">
        <v>25</v>
      </c>
      <c r="Q2444" t="s">
        <v>51</v>
      </c>
      <c r="R2444" t="s">
        <v>2691</v>
      </c>
    </row>
    <row r="2445" spans="1:20">
      <c r="A2445">
        <v>2455</v>
      </c>
      <c r="B2445" t="s">
        <v>2705</v>
      </c>
      <c r="C2445" t="s">
        <v>21</v>
      </c>
      <c r="D2445" t="s">
        <v>22</v>
      </c>
      <c r="E2445" t="s">
        <v>23</v>
      </c>
      <c r="F2445">
        <v>55000</v>
      </c>
      <c r="G2445">
        <v>19</v>
      </c>
      <c r="H2445">
        <v>65450</v>
      </c>
      <c r="I2445" t="s">
        <v>24</v>
      </c>
      <c r="J2445" t="s">
        <v>25</v>
      </c>
      <c r="K2445">
        <v>0</v>
      </c>
      <c r="L2445">
        <v>0</v>
      </c>
      <c r="M2445" t="s">
        <v>25</v>
      </c>
      <c r="N2445" t="s">
        <v>25</v>
      </c>
      <c r="O2445" t="s">
        <v>26</v>
      </c>
      <c r="P2445" t="s">
        <v>25</v>
      </c>
      <c r="Q2445" t="s">
        <v>51</v>
      </c>
      <c r="R2445" t="s">
        <v>2691</v>
      </c>
    </row>
    <row r="2446" spans="1:20">
      <c r="A2446">
        <v>2456</v>
      </c>
      <c r="B2446" t="s">
        <v>2706</v>
      </c>
      <c r="C2446" t="s">
        <v>21</v>
      </c>
      <c r="D2446" t="s">
        <v>22</v>
      </c>
      <c r="E2446" t="s">
        <v>23</v>
      </c>
      <c r="F2446">
        <v>56000</v>
      </c>
      <c r="G2446">
        <v>19</v>
      </c>
      <c r="H2446">
        <v>66640</v>
      </c>
      <c r="I2446" t="s">
        <v>24</v>
      </c>
      <c r="J2446" t="s">
        <v>25</v>
      </c>
      <c r="K2446">
        <v>0</v>
      </c>
      <c r="L2446">
        <v>0</v>
      </c>
      <c r="M2446" t="s">
        <v>25</v>
      </c>
      <c r="N2446" t="s">
        <v>25</v>
      </c>
      <c r="O2446" t="s">
        <v>26</v>
      </c>
      <c r="P2446" t="s">
        <v>25</v>
      </c>
      <c r="Q2446" t="s">
        <v>51</v>
      </c>
      <c r="R2446" t="s">
        <v>2691</v>
      </c>
    </row>
    <row r="2447" spans="1:20">
      <c r="A2447">
        <v>2457</v>
      </c>
      <c r="B2447" t="s">
        <v>2707</v>
      </c>
      <c r="C2447" t="s">
        <v>21</v>
      </c>
      <c r="D2447" t="s">
        <v>22</v>
      </c>
      <c r="E2447" t="s">
        <v>23</v>
      </c>
      <c r="F2447">
        <v>59999.8</v>
      </c>
      <c r="G2447">
        <v>19</v>
      </c>
      <c r="H2447">
        <v>71399.762000000002</v>
      </c>
      <c r="I2447" t="s">
        <v>24</v>
      </c>
      <c r="J2447" t="s">
        <v>25</v>
      </c>
      <c r="K2447">
        <v>0</v>
      </c>
      <c r="L2447">
        <v>0</v>
      </c>
      <c r="M2447" t="s">
        <v>25</v>
      </c>
      <c r="N2447" t="s">
        <v>25</v>
      </c>
      <c r="O2447" t="s">
        <v>26</v>
      </c>
      <c r="P2447" t="s">
        <v>25</v>
      </c>
      <c r="Q2447" t="s">
        <v>51</v>
      </c>
      <c r="R2447" t="s">
        <v>2691</v>
      </c>
    </row>
    <row r="2448" spans="1:20">
      <c r="A2448">
        <v>2458</v>
      </c>
      <c r="B2448" t="s">
        <v>2708</v>
      </c>
      <c r="C2448" t="s">
        <v>21</v>
      </c>
      <c r="D2448" t="s">
        <v>22</v>
      </c>
      <c r="E2448" t="s">
        <v>23</v>
      </c>
      <c r="F2448">
        <v>27999.51</v>
      </c>
      <c r="G2448">
        <v>19</v>
      </c>
      <c r="H2448">
        <v>33319.416899999997</v>
      </c>
      <c r="I2448" t="s">
        <v>24</v>
      </c>
      <c r="J2448" t="s">
        <v>25</v>
      </c>
      <c r="K2448">
        <v>0</v>
      </c>
      <c r="L2448">
        <v>0</v>
      </c>
      <c r="M2448" t="s">
        <v>25</v>
      </c>
      <c r="N2448" t="s">
        <v>25</v>
      </c>
      <c r="O2448" t="s">
        <v>26</v>
      </c>
      <c r="P2448" t="s">
        <v>25</v>
      </c>
      <c r="Q2448" t="s">
        <v>51</v>
      </c>
      <c r="R2448" t="s">
        <v>2691</v>
      </c>
    </row>
    <row r="2449" spans="1:20">
      <c r="A2449">
        <v>2459</v>
      </c>
      <c r="B2449" t="s">
        <v>2709</v>
      </c>
      <c r="C2449" t="s">
        <v>21</v>
      </c>
      <c r="D2449" t="s">
        <v>22</v>
      </c>
      <c r="E2449" t="s">
        <v>23</v>
      </c>
      <c r="F2449">
        <v>50000</v>
      </c>
      <c r="G2449">
        <v>19</v>
      </c>
      <c r="H2449">
        <v>59500</v>
      </c>
      <c r="I2449" t="s">
        <v>24</v>
      </c>
      <c r="J2449" t="s">
        <v>25</v>
      </c>
      <c r="K2449">
        <v>0</v>
      </c>
      <c r="L2449">
        <v>0</v>
      </c>
      <c r="M2449" t="s">
        <v>25</v>
      </c>
      <c r="N2449" t="s">
        <v>25</v>
      </c>
      <c r="O2449" t="s">
        <v>26</v>
      </c>
      <c r="P2449" t="s">
        <v>25</v>
      </c>
      <c r="Q2449" t="s">
        <v>51</v>
      </c>
      <c r="R2449" t="s">
        <v>2691</v>
      </c>
    </row>
    <row r="2450" spans="1:20">
      <c r="A2450">
        <v>2460</v>
      </c>
      <c r="B2450" t="s">
        <v>2710</v>
      </c>
      <c r="C2450" t="s">
        <v>21</v>
      </c>
      <c r="D2450" t="s">
        <v>283</v>
      </c>
      <c r="E2450" t="s">
        <v>23</v>
      </c>
      <c r="F2450">
        <v>0</v>
      </c>
      <c r="G2450">
        <v>19</v>
      </c>
      <c r="H2450">
        <v>0</v>
      </c>
      <c r="I2450" t="s">
        <v>24</v>
      </c>
      <c r="J2450" t="s">
        <v>25</v>
      </c>
      <c r="K2450">
        <v>0</v>
      </c>
      <c r="L2450">
        <v>0</v>
      </c>
      <c r="M2450" t="s">
        <v>25</v>
      </c>
      <c r="N2450" t="s">
        <v>25</v>
      </c>
      <c r="O2450" t="s">
        <v>26</v>
      </c>
      <c r="P2450" t="s">
        <v>25</v>
      </c>
      <c r="Q2450" t="s">
        <v>51</v>
      </c>
      <c r="R2450" t="s">
        <v>2691</v>
      </c>
    </row>
    <row r="2451" spans="1:20">
      <c r="A2451">
        <v>2461</v>
      </c>
      <c r="B2451" t="s">
        <v>2711</v>
      </c>
      <c r="C2451" t="s">
        <v>21</v>
      </c>
      <c r="D2451" t="s">
        <v>22</v>
      </c>
      <c r="E2451" t="s">
        <v>23</v>
      </c>
      <c r="F2451">
        <v>595</v>
      </c>
      <c r="G2451">
        <v>19</v>
      </c>
      <c r="H2451">
        <v>708.05</v>
      </c>
      <c r="I2451" t="s">
        <v>24</v>
      </c>
      <c r="J2451" t="s">
        <v>25</v>
      </c>
      <c r="K2451">
        <v>0</v>
      </c>
      <c r="L2451">
        <v>0</v>
      </c>
      <c r="M2451" t="s">
        <v>25</v>
      </c>
      <c r="N2451" t="s">
        <v>25</v>
      </c>
      <c r="O2451" t="s">
        <v>26</v>
      </c>
      <c r="P2451" t="s">
        <v>25</v>
      </c>
      <c r="Q2451" t="s">
        <v>51</v>
      </c>
      <c r="R2451" t="s">
        <v>2712</v>
      </c>
    </row>
    <row r="2452" spans="1:20">
      <c r="A2452">
        <v>2462</v>
      </c>
      <c r="B2452" t="s">
        <v>2713</v>
      </c>
      <c r="C2452" t="s">
        <v>21</v>
      </c>
      <c r="D2452" t="s">
        <v>22</v>
      </c>
      <c r="E2452" t="s">
        <v>23</v>
      </c>
      <c r="F2452">
        <v>7735</v>
      </c>
      <c r="G2452">
        <v>19</v>
      </c>
      <c r="H2452">
        <v>9204.65</v>
      </c>
      <c r="I2452" t="s">
        <v>24</v>
      </c>
      <c r="J2452" t="s">
        <v>25</v>
      </c>
      <c r="K2452">
        <v>0</v>
      </c>
      <c r="L2452">
        <v>0</v>
      </c>
      <c r="M2452" t="s">
        <v>25</v>
      </c>
      <c r="N2452" t="s">
        <v>25</v>
      </c>
      <c r="O2452" t="s">
        <v>26</v>
      </c>
      <c r="P2452" t="s">
        <v>25</v>
      </c>
      <c r="Q2452" t="s">
        <v>51</v>
      </c>
      <c r="R2452" t="s">
        <v>2712</v>
      </c>
    </row>
    <row r="2453" spans="1:20">
      <c r="A2453">
        <v>2463</v>
      </c>
      <c r="B2453" t="s">
        <v>2714</v>
      </c>
      <c r="C2453" t="s">
        <v>21</v>
      </c>
      <c r="D2453" t="s">
        <v>22</v>
      </c>
      <c r="E2453" t="s">
        <v>23</v>
      </c>
      <c r="F2453">
        <v>16660</v>
      </c>
      <c r="G2453">
        <v>19</v>
      </c>
      <c r="H2453">
        <v>19825.400000000001</v>
      </c>
      <c r="I2453" t="s">
        <v>24</v>
      </c>
      <c r="J2453" t="s">
        <v>25</v>
      </c>
      <c r="K2453">
        <v>0</v>
      </c>
      <c r="L2453">
        <v>0</v>
      </c>
      <c r="M2453" t="s">
        <v>25</v>
      </c>
      <c r="N2453" t="s">
        <v>25</v>
      </c>
      <c r="O2453" t="s">
        <v>26</v>
      </c>
      <c r="P2453" t="s">
        <v>25</v>
      </c>
      <c r="Q2453" t="s">
        <v>51</v>
      </c>
      <c r="R2453" t="s">
        <v>2712</v>
      </c>
    </row>
    <row r="2454" spans="1:20">
      <c r="A2454">
        <v>2464</v>
      </c>
      <c r="B2454" t="s">
        <v>2715</v>
      </c>
      <c r="C2454" t="s">
        <v>21</v>
      </c>
      <c r="D2454" t="s">
        <v>22</v>
      </c>
      <c r="E2454" t="s">
        <v>23</v>
      </c>
      <c r="F2454">
        <v>214200</v>
      </c>
      <c r="G2454">
        <v>19</v>
      </c>
      <c r="H2454">
        <v>254898</v>
      </c>
      <c r="I2454" t="s">
        <v>24</v>
      </c>
      <c r="J2454" t="s">
        <v>25</v>
      </c>
      <c r="K2454">
        <v>0</v>
      </c>
      <c r="L2454">
        <v>0</v>
      </c>
      <c r="M2454" t="s">
        <v>25</v>
      </c>
      <c r="N2454" t="s">
        <v>25</v>
      </c>
      <c r="O2454" t="s">
        <v>26</v>
      </c>
      <c r="P2454" t="s">
        <v>25</v>
      </c>
      <c r="Q2454" t="s">
        <v>51</v>
      </c>
      <c r="R2454" t="s">
        <v>2712</v>
      </c>
    </row>
    <row r="2455" spans="1:20">
      <c r="A2455">
        <v>2465</v>
      </c>
      <c r="B2455" t="s">
        <v>2716</v>
      </c>
      <c r="C2455" t="s">
        <v>21</v>
      </c>
      <c r="D2455" t="s">
        <v>22</v>
      </c>
      <c r="E2455" t="s">
        <v>23</v>
      </c>
      <c r="F2455">
        <v>72196</v>
      </c>
      <c r="G2455">
        <v>19</v>
      </c>
      <c r="H2455">
        <v>85913.24</v>
      </c>
      <c r="I2455" t="s">
        <v>24</v>
      </c>
      <c r="J2455" t="s">
        <v>25</v>
      </c>
      <c r="K2455">
        <v>0</v>
      </c>
      <c r="L2455">
        <v>0</v>
      </c>
      <c r="M2455" t="s">
        <v>25</v>
      </c>
      <c r="N2455" t="s">
        <v>25</v>
      </c>
      <c r="O2455" t="s">
        <v>26</v>
      </c>
      <c r="P2455" t="s">
        <v>25</v>
      </c>
      <c r="Q2455" t="s">
        <v>51</v>
      </c>
      <c r="R2455" t="s">
        <v>2712</v>
      </c>
    </row>
    <row r="2456" spans="1:20">
      <c r="A2456">
        <v>2466</v>
      </c>
      <c r="B2456" t="s">
        <v>2717</v>
      </c>
      <c r="C2456" t="s">
        <v>21</v>
      </c>
      <c r="D2456" t="s">
        <v>22</v>
      </c>
      <c r="E2456" t="s">
        <v>23</v>
      </c>
      <c r="F2456">
        <v>1228</v>
      </c>
      <c r="G2456">
        <v>19</v>
      </c>
      <c r="H2456">
        <v>1461.32</v>
      </c>
      <c r="I2456" t="s">
        <v>24</v>
      </c>
      <c r="J2456" t="s">
        <v>25</v>
      </c>
      <c r="K2456">
        <v>0</v>
      </c>
      <c r="L2456">
        <v>0</v>
      </c>
      <c r="M2456" t="s">
        <v>25</v>
      </c>
      <c r="N2456" t="s">
        <v>25</v>
      </c>
      <c r="O2456" t="s">
        <v>26</v>
      </c>
      <c r="P2456" t="s">
        <v>25</v>
      </c>
      <c r="Q2456" t="s">
        <v>51</v>
      </c>
      <c r="R2456" t="s">
        <v>2712</v>
      </c>
      <c r="S2456" t="s">
        <v>51</v>
      </c>
      <c r="T2456" t="s">
        <v>2712</v>
      </c>
    </row>
    <row r="2457" spans="1:20">
      <c r="A2457">
        <v>2467</v>
      </c>
      <c r="B2457" t="s">
        <v>2718</v>
      </c>
      <c r="C2457" t="s">
        <v>21</v>
      </c>
      <c r="D2457" t="s">
        <v>22</v>
      </c>
      <c r="E2457" t="s">
        <v>23</v>
      </c>
      <c r="F2457">
        <v>3512</v>
      </c>
      <c r="G2457">
        <v>19</v>
      </c>
      <c r="H2457">
        <v>4179.28</v>
      </c>
      <c r="I2457" t="s">
        <v>24</v>
      </c>
      <c r="J2457" t="s">
        <v>25</v>
      </c>
      <c r="K2457">
        <v>0</v>
      </c>
      <c r="L2457">
        <v>0</v>
      </c>
      <c r="M2457" t="s">
        <v>25</v>
      </c>
      <c r="N2457" t="s">
        <v>25</v>
      </c>
      <c r="O2457" t="s">
        <v>26</v>
      </c>
      <c r="P2457" t="s">
        <v>25</v>
      </c>
      <c r="Q2457" t="s">
        <v>51</v>
      </c>
      <c r="R2457" t="s">
        <v>2712</v>
      </c>
      <c r="S2457" t="s">
        <v>51</v>
      </c>
      <c r="T2457" t="s">
        <v>2712</v>
      </c>
    </row>
    <row r="2458" spans="1:20">
      <c r="A2458">
        <v>2468</v>
      </c>
      <c r="B2458" t="s">
        <v>2719</v>
      </c>
      <c r="C2458" t="s">
        <v>21</v>
      </c>
      <c r="D2458" t="s">
        <v>22</v>
      </c>
      <c r="E2458" t="s">
        <v>23</v>
      </c>
      <c r="F2458">
        <v>1292</v>
      </c>
      <c r="G2458">
        <v>19</v>
      </c>
      <c r="H2458">
        <v>1537.48</v>
      </c>
      <c r="I2458" t="s">
        <v>24</v>
      </c>
      <c r="J2458" t="s">
        <v>25</v>
      </c>
      <c r="K2458">
        <v>0</v>
      </c>
      <c r="L2458">
        <v>0</v>
      </c>
      <c r="M2458" t="s">
        <v>25</v>
      </c>
      <c r="N2458" t="s">
        <v>25</v>
      </c>
      <c r="O2458" t="s">
        <v>26</v>
      </c>
      <c r="P2458" t="s">
        <v>25</v>
      </c>
      <c r="Q2458" t="s">
        <v>51</v>
      </c>
      <c r="R2458" t="s">
        <v>2712</v>
      </c>
      <c r="S2458" t="s">
        <v>51</v>
      </c>
      <c r="T2458" t="s">
        <v>2712</v>
      </c>
    </row>
    <row r="2459" spans="1:20">
      <c r="A2459">
        <v>2469</v>
      </c>
      <c r="B2459" t="s">
        <v>2720</v>
      </c>
      <c r="C2459" t="s">
        <v>21</v>
      </c>
      <c r="D2459" t="s">
        <v>22</v>
      </c>
      <c r="E2459" t="s">
        <v>23</v>
      </c>
      <c r="F2459">
        <v>277</v>
      </c>
      <c r="G2459">
        <v>19</v>
      </c>
      <c r="H2459">
        <v>329.63</v>
      </c>
      <c r="I2459" t="s">
        <v>24</v>
      </c>
      <c r="J2459" t="s">
        <v>25</v>
      </c>
      <c r="K2459">
        <v>0</v>
      </c>
      <c r="L2459">
        <v>0</v>
      </c>
      <c r="M2459" t="s">
        <v>25</v>
      </c>
      <c r="N2459" t="s">
        <v>25</v>
      </c>
      <c r="O2459" t="s">
        <v>26</v>
      </c>
      <c r="P2459" t="s">
        <v>25</v>
      </c>
      <c r="Q2459" t="s">
        <v>51</v>
      </c>
      <c r="R2459" t="s">
        <v>2712</v>
      </c>
    </row>
    <row r="2460" spans="1:20">
      <c r="A2460">
        <v>2470</v>
      </c>
      <c r="B2460" t="s">
        <v>2721</v>
      </c>
      <c r="C2460" t="s">
        <v>21</v>
      </c>
      <c r="D2460" t="s">
        <v>22</v>
      </c>
      <c r="E2460" t="s">
        <v>23</v>
      </c>
      <c r="F2460">
        <v>177</v>
      </c>
      <c r="G2460">
        <v>19</v>
      </c>
      <c r="H2460">
        <v>210.63</v>
      </c>
      <c r="I2460" t="s">
        <v>24</v>
      </c>
      <c r="J2460" t="s">
        <v>25</v>
      </c>
      <c r="K2460">
        <v>0</v>
      </c>
      <c r="L2460">
        <v>0</v>
      </c>
      <c r="M2460" t="s">
        <v>25</v>
      </c>
      <c r="N2460" t="s">
        <v>25</v>
      </c>
      <c r="O2460" t="s">
        <v>26</v>
      </c>
      <c r="P2460" t="s">
        <v>25</v>
      </c>
      <c r="Q2460" t="s">
        <v>51</v>
      </c>
      <c r="R2460" t="s">
        <v>2712</v>
      </c>
    </row>
    <row r="2461" spans="1:20">
      <c r="A2461">
        <v>2471</v>
      </c>
      <c r="B2461" t="s">
        <v>2722</v>
      </c>
      <c r="C2461" t="s">
        <v>21</v>
      </c>
      <c r="D2461" t="s">
        <v>22</v>
      </c>
      <c r="E2461" t="s">
        <v>23</v>
      </c>
      <c r="F2461">
        <v>33081</v>
      </c>
      <c r="G2461">
        <v>19</v>
      </c>
      <c r="H2461">
        <v>39366.39</v>
      </c>
      <c r="I2461" t="s">
        <v>24</v>
      </c>
      <c r="J2461" t="s">
        <v>25</v>
      </c>
      <c r="K2461">
        <v>0</v>
      </c>
      <c r="L2461">
        <v>0</v>
      </c>
      <c r="M2461" t="s">
        <v>25</v>
      </c>
      <c r="N2461" t="s">
        <v>25</v>
      </c>
      <c r="O2461" t="s">
        <v>26</v>
      </c>
      <c r="P2461" t="s">
        <v>25</v>
      </c>
      <c r="Q2461" t="s">
        <v>51</v>
      </c>
      <c r="R2461" t="s">
        <v>2712</v>
      </c>
    </row>
    <row r="2462" spans="1:20">
      <c r="A2462">
        <v>2472</v>
      </c>
      <c r="B2462" t="s">
        <v>2723</v>
      </c>
      <c r="C2462" t="s">
        <v>21</v>
      </c>
      <c r="D2462" t="s">
        <v>22</v>
      </c>
      <c r="E2462" t="s">
        <v>23</v>
      </c>
      <c r="F2462">
        <v>66747</v>
      </c>
      <c r="G2462">
        <v>19</v>
      </c>
      <c r="H2462">
        <v>79428.929999999993</v>
      </c>
      <c r="I2462" t="s">
        <v>24</v>
      </c>
      <c r="J2462" t="s">
        <v>25</v>
      </c>
      <c r="K2462">
        <v>0</v>
      </c>
      <c r="L2462">
        <v>0</v>
      </c>
      <c r="M2462" t="s">
        <v>25</v>
      </c>
      <c r="N2462" t="s">
        <v>25</v>
      </c>
      <c r="O2462" t="s">
        <v>26</v>
      </c>
      <c r="P2462" t="s">
        <v>25</v>
      </c>
      <c r="Q2462" t="s">
        <v>51</v>
      </c>
      <c r="R2462" t="s">
        <v>2712</v>
      </c>
    </row>
    <row r="2463" spans="1:20">
      <c r="A2463">
        <v>2473</v>
      </c>
      <c r="B2463" t="s">
        <v>2724</v>
      </c>
      <c r="C2463" t="s">
        <v>21</v>
      </c>
      <c r="D2463" t="s">
        <v>22</v>
      </c>
      <c r="E2463" t="s">
        <v>23</v>
      </c>
      <c r="F2463">
        <v>340297</v>
      </c>
      <c r="G2463">
        <v>19</v>
      </c>
      <c r="H2463">
        <v>404953.43</v>
      </c>
      <c r="I2463" t="s">
        <v>24</v>
      </c>
      <c r="J2463" t="s">
        <v>25</v>
      </c>
      <c r="K2463">
        <v>0</v>
      </c>
      <c r="L2463">
        <v>0</v>
      </c>
      <c r="M2463" t="s">
        <v>25</v>
      </c>
      <c r="N2463" t="s">
        <v>25</v>
      </c>
      <c r="O2463" t="s">
        <v>26</v>
      </c>
      <c r="P2463" t="s">
        <v>25</v>
      </c>
      <c r="Q2463" t="s">
        <v>51</v>
      </c>
      <c r="R2463" t="s">
        <v>2712</v>
      </c>
    </row>
    <row r="2464" spans="1:20">
      <c r="A2464">
        <v>2474</v>
      </c>
      <c r="B2464" t="s">
        <v>2725</v>
      </c>
      <c r="C2464" t="s">
        <v>21</v>
      </c>
      <c r="D2464" t="s">
        <v>22</v>
      </c>
      <c r="E2464" t="s">
        <v>23</v>
      </c>
      <c r="F2464">
        <v>579</v>
      </c>
      <c r="G2464">
        <v>19</v>
      </c>
      <c r="H2464">
        <v>689.01</v>
      </c>
      <c r="I2464" t="s">
        <v>24</v>
      </c>
      <c r="J2464" t="s">
        <v>25</v>
      </c>
      <c r="K2464">
        <v>0</v>
      </c>
      <c r="L2464">
        <v>0</v>
      </c>
      <c r="M2464" t="s">
        <v>25</v>
      </c>
      <c r="N2464" t="s">
        <v>25</v>
      </c>
      <c r="O2464" t="s">
        <v>26</v>
      </c>
      <c r="P2464" t="s">
        <v>25</v>
      </c>
      <c r="Q2464" t="s">
        <v>51</v>
      </c>
      <c r="R2464" t="s">
        <v>2712</v>
      </c>
    </row>
    <row r="2465" spans="1:20">
      <c r="A2465">
        <v>2475</v>
      </c>
      <c r="B2465" t="s">
        <v>2726</v>
      </c>
      <c r="C2465" t="s">
        <v>21</v>
      </c>
      <c r="D2465" t="s">
        <v>22</v>
      </c>
      <c r="E2465" t="s">
        <v>23</v>
      </c>
      <c r="F2465">
        <v>8000</v>
      </c>
      <c r="G2465">
        <v>19</v>
      </c>
      <c r="H2465">
        <v>9520</v>
      </c>
      <c r="I2465" t="s">
        <v>24</v>
      </c>
      <c r="J2465" t="s">
        <v>25</v>
      </c>
      <c r="K2465">
        <v>0</v>
      </c>
      <c r="L2465">
        <v>0</v>
      </c>
      <c r="M2465" t="s">
        <v>25</v>
      </c>
      <c r="N2465" t="s">
        <v>25</v>
      </c>
      <c r="O2465" t="s">
        <v>26</v>
      </c>
      <c r="P2465" t="s">
        <v>25</v>
      </c>
      <c r="Q2465" t="s">
        <v>51</v>
      </c>
      <c r="R2465" t="s">
        <v>2712</v>
      </c>
    </row>
    <row r="2466" spans="1:20">
      <c r="A2466">
        <v>2476</v>
      </c>
      <c r="B2466" t="s">
        <v>2727</v>
      </c>
      <c r="C2466" t="s">
        <v>21</v>
      </c>
      <c r="D2466" t="s">
        <v>22</v>
      </c>
      <c r="E2466" t="s">
        <v>23</v>
      </c>
      <c r="F2466">
        <v>90</v>
      </c>
      <c r="G2466">
        <v>19</v>
      </c>
      <c r="H2466">
        <v>107.1</v>
      </c>
      <c r="I2466" t="s">
        <v>24</v>
      </c>
      <c r="J2466" t="s">
        <v>25</v>
      </c>
      <c r="K2466">
        <v>0</v>
      </c>
      <c r="L2466">
        <v>0</v>
      </c>
      <c r="M2466" t="s">
        <v>25</v>
      </c>
      <c r="N2466" t="s">
        <v>25</v>
      </c>
      <c r="O2466" t="s">
        <v>26</v>
      </c>
      <c r="P2466" t="s">
        <v>25</v>
      </c>
      <c r="Q2466" t="s">
        <v>51</v>
      </c>
      <c r="R2466" t="s">
        <v>2712</v>
      </c>
    </row>
    <row r="2467" spans="1:20">
      <c r="A2467">
        <v>2477</v>
      </c>
      <c r="B2467" t="s">
        <v>2728</v>
      </c>
      <c r="C2467" t="s">
        <v>21</v>
      </c>
      <c r="D2467" t="s">
        <v>22</v>
      </c>
      <c r="E2467" t="s">
        <v>23</v>
      </c>
      <c r="F2467">
        <v>5000</v>
      </c>
      <c r="G2467">
        <v>19</v>
      </c>
      <c r="H2467">
        <v>5950</v>
      </c>
      <c r="I2467" t="s">
        <v>24</v>
      </c>
      <c r="J2467" t="s">
        <v>25</v>
      </c>
      <c r="K2467">
        <v>0</v>
      </c>
      <c r="L2467">
        <v>0</v>
      </c>
      <c r="M2467" t="s">
        <v>25</v>
      </c>
      <c r="N2467" t="s">
        <v>25</v>
      </c>
      <c r="O2467" t="s">
        <v>26</v>
      </c>
      <c r="P2467" t="s">
        <v>25</v>
      </c>
      <c r="Q2467" t="s">
        <v>51</v>
      </c>
      <c r="R2467" t="s">
        <v>2712</v>
      </c>
    </row>
    <row r="2468" spans="1:20">
      <c r="A2468">
        <v>2478</v>
      </c>
      <c r="B2468" t="s">
        <v>2729</v>
      </c>
      <c r="C2468" t="s">
        <v>21</v>
      </c>
      <c r="D2468" t="s">
        <v>22</v>
      </c>
      <c r="E2468" t="s">
        <v>23</v>
      </c>
      <c r="F2468">
        <v>43613.45</v>
      </c>
      <c r="G2468">
        <v>19</v>
      </c>
      <c r="H2468">
        <v>51900.005499999999</v>
      </c>
      <c r="I2468" t="s">
        <v>24</v>
      </c>
      <c r="J2468" t="s">
        <v>25</v>
      </c>
      <c r="K2468">
        <v>0</v>
      </c>
      <c r="L2468">
        <v>0</v>
      </c>
      <c r="M2468" t="s">
        <v>25</v>
      </c>
      <c r="N2468" t="s">
        <v>25</v>
      </c>
      <c r="O2468" t="s">
        <v>26</v>
      </c>
      <c r="P2468" t="s">
        <v>25</v>
      </c>
      <c r="Q2468" t="s">
        <v>51</v>
      </c>
      <c r="R2468" t="s">
        <v>2712</v>
      </c>
      <c r="S2468" t="s">
        <v>51</v>
      </c>
      <c r="T2468" t="s">
        <v>2712</v>
      </c>
    </row>
    <row r="2469" spans="1:20">
      <c r="A2469">
        <v>2479</v>
      </c>
      <c r="B2469" t="s">
        <v>2730</v>
      </c>
      <c r="C2469" t="s">
        <v>21</v>
      </c>
      <c r="D2469" t="s">
        <v>22</v>
      </c>
      <c r="E2469" t="s">
        <v>23</v>
      </c>
      <c r="F2469">
        <v>24000</v>
      </c>
      <c r="G2469">
        <v>19</v>
      </c>
      <c r="H2469">
        <v>28560</v>
      </c>
      <c r="I2469" t="s">
        <v>24</v>
      </c>
      <c r="J2469" t="s">
        <v>25</v>
      </c>
      <c r="K2469">
        <v>0</v>
      </c>
      <c r="L2469">
        <v>0</v>
      </c>
      <c r="M2469" t="s">
        <v>25</v>
      </c>
      <c r="N2469" t="s">
        <v>25</v>
      </c>
      <c r="O2469" t="s">
        <v>26</v>
      </c>
      <c r="P2469" t="s">
        <v>25</v>
      </c>
      <c r="Q2469" t="s">
        <v>51</v>
      </c>
      <c r="R2469" t="s">
        <v>2712</v>
      </c>
    </row>
    <row r="2470" spans="1:20">
      <c r="A2470">
        <v>2480</v>
      </c>
      <c r="B2470" t="s">
        <v>2731</v>
      </c>
      <c r="C2470" t="s">
        <v>21</v>
      </c>
      <c r="D2470" t="s">
        <v>22</v>
      </c>
      <c r="E2470" t="s">
        <v>23</v>
      </c>
      <c r="F2470">
        <v>35000</v>
      </c>
      <c r="G2470">
        <v>19</v>
      </c>
      <c r="H2470">
        <v>41650</v>
      </c>
      <c r="I2470" t="s">
        <v>24</v>
      </c>
      <c r="J2470" t="s">
        <v>25</v>
      </c>
      <c r="K2470">
        <v>0</v>
      </c>
      <c r="L2470">
        <v>0</v>
      </c>
      <c r="M2470" t="s">
        <v>25</v>
      </c>
      <c r="N2470" t="s">
        <v>25</v>
      </c>
      <c r="O2470" t="s">
        <v>26</v>
      </c>
      <c r="P2470" t="s">
        <v>25</v>
      </c>
      <c r="Q2470" t="s">
        <v>51</v>
      </c>
      <c r="R2470" t="s">
        <v>2712</v>
      </c>
    </row>
    <row r="2471" spans="1:20">
      <c r="A2471">
        <v>2481</v>
      </c>
      <c r="B2471" t="s">
        <v>2732</v>
      </c>
      <c r="C2471" t="s">
        <v>21</v>
      </c>
      <c r="D2471" t="s">
        <v>22</v>
      </c>
      <c r="E2471" t="s">
        <v>23</v>
      </c>
      <c r="F2471">
        <v>2800</v>
      </c>
      <c r="G2471">
        <v>19</v>
      </c>
      <c r="H2471">
        <v>3332</v>
      </c>
      <c r="I2471" t="s">
        <v>24</v>
      </c>
      <c r="J2471" t="s">
        <v>25</v>
      </c>
      <c r="K2471">
        <v>0</v>
      </c>
      <c r="L2471">
        <v>0</v>
      </c>
      <c r="M2471" t="s">
        <v>25</v>
      </c>
      <c r="N2471" t="s">
        <v>25</v>
      </c>
      <c r="O2471" t="s">
        <v>26</v>
      </c>
      <c r="P2471" t="s">
        <v>25</v>
      </c>
      <c r="Q2471" t="s">
        <v>51</v>
      </c>
      <c r="R2471" t="s">
        <v>2712</v>
      </c>
    </row>
    <row r="2472" spans="1:20">
      <c r="A2472">
        <v>2482</v>
      </c>
      <c r="B2472" t="s">
        <v>2733</v>
      </c>
      <c r="C2472" t="s">
        <v>21</v>
      </c>
      <c r="D2472" t="s">
        <v>22</v>
      </c>
      <c r="E2472" t="s">
        <v>23</v>
      </c>
      <c r="F2472">
        <v>0</v>
      </c>
      <c r="G2472">
        <v>19</v>
      </c>
      <c r="H2472">
        <v>0</v>
      </c>
      <c r="I2472" t="s">
        <v>24</v>
      </c>
      <c r="J2472" t="s">
        <v>25</v>
      </c>
      <c r="K2472">
        <v>0</v>
      </c>
      <c r="L2472">
        <v>0</v>
      </c>
      <c r="M2472" t="s">
        <v>25</v>
      </c>
      <c r="N2472" t="s">
        <v>25</v>
      </c>
      <c r="O2472" t="s">
        <v>26</v>
      </c>
      <c r="P2472" t="s">
        <v>25</v>
      </c>
      <c r="Q2472" t="s">
        <v>51</v>
      </c>
      <c r="R2472" t="s">
        <v>2712</v>
      </c>
    </row>
    <row r="2473" spans="1:20">
      <c r="A2473">
        <v>2483</v>
      </c>
      <c r="B2473" t="s">
        <v>2734</v>
      </c>
      <c r="C2473" t="s">
        <v>21</v>
      </c>
      <c r="D2473" t="s">
        <v>22</v>
      </c>
      <c r="E2473" t="s">
        <v>23</v>
      </c>
      <c r="F2473">
        <v>3000000</v>
      </c>
      <c r="G2473">
        <v>19</v>
      </c>
      <c r="H2473">
        <v>3570000</v>
      </c>
      <c r="I2473" t="s">
        <v>24</v>
      </c>
      <c r="J2473" t="s">
        <v>25</v>
      </c>
      <c r="K2473">
        <v>0</v>
      </c>
      <c r="L2473">
        <v>0</v>
      </c>
      <c r="M2473" t="s">
        <v>25</v>
      </c>
      <c r="N2473" t="s">
        <v>25</v>
      </c>
      <c r="O2473" t="s">
        <v>26</v>
      </c>
      <c r="P2473" t="s">
        <v>25</v>
      </c>
      <c r="Q2473" t="s">
        <v>51</v>
      </c>
      <c r="R2473" t="s">
        <v>2712</v>
      </c>
    </row>
    <row r="2474" spans="1:20">
      <c r="A2474">
        <v>2484</v>
      </c>
      <c r="B2474" t="s">
        <v>2735</v>
      </c>
      <c r="C2474" t="s">
        <v>21</v>
      </c>
      <c r="D2474" t="s">
        <v>22</v>
      </c>
      <c r="E2474" t="s">
        <v>23</v>
      </c>
      <c r="F2474">
        <v>5000</v>
      </c>
      <c r="G2474">
        <v>19</v>
      </c>
      <c r="H2474">
        <v>5950</v>
      </c>
      <c r="I2474" t="s">
        <v>24</v>
      </c>
      <c r="J2474" t="s">
        <v>25</v>
      </c>
      <c r="K2474">
        <v>0</v>
      </c>
      <c r="L2474">
        <v>0</v>
      </c>
      <c r="M2474" t="s">
        <v>25</v>
      </c>
      <c r="N2474" t="s">
        <v>25</v>
      </c>
      <c r="O2474" t="s">
        <v>26</v>
      </c>
      <c r="P2474" t="s">
        <v>25</v>
      </c>
      <c r="Q2474" t="s">
        <v>51</v>
      </c>
      <c r="R2474" t="s">
        <v>2712</v>
      </c>
    </row>
    <row r="2475" spans="1:20">
      <c r="A2475">
        <v>2485</v>
      </c>
      <c r="B2475" t="s">
        <v>2736</v>
      </c>
      <c r="C2475" t="s">
        <v>21</v>
      </c>
      <c r="D2475" t="s">
        <v>22</v>
      </c>
      <c r="E2475" t="s">
        <v>23</v>
      </c>
      <c r="F2475">
        <v>70000</v>
      </c>
      <c r="G2475">
        <v>19</v>
      </c>
      <c r="H2475">
        <v>83300</v>
      </c>
      <c r="I2475" t="s">
        <v>24</v>
      </c>
      <c r="J2475" t="s">
        <v>25</v>
      </c>
      <c r="K2475">
        <v>0</v>
      </c>
      <c r="L2475">
        <v>0</v>
      </c>
      <c r="M2475" t="s">
        <v>25</v>
      </c>
      <c r="N2475" t="s">
        <v>25</v>
      </c>
      <c r="O2475" t="s">
        <v>26</v>
      </c>
      <c r="P2475" t="s">
        <v>25</v>
      </c>
      <c r="Q2475" t="s">
        <v>51</v>
      </c>
      <c r="R2475" t="s">
        <v>2712</v>
      </c>
    </row>
    <row r="2476" spans="1:20">
      <c r="A2476">
        <v>2486</v>
      </c>
      <c r="B2476" t="s">
        <v>2737</v>
      </c>
      <c r="C2476" t="s">
        <v>21</v>
      </c>
      <c r="D2476" t="s">
        <v>22</v>
      </c>
      <c r="E2476" t="s">
        <v>23</v>
      </c>
      <c r="F2476">
        <v>1500</v>
      </c>
      <c r="G2476">
        <v>19</v>
      </c>
      <c r="H2476">
        <v>1785</v>
      </c>
      <c r="I2476" t="s">
        <v>24</v>
      </c>
      <c r="J2476" t="s">
        <v>25</v>
      </c>
      <c r="K2476">
        <v>0</v>
      </c>
      <c r="L2476">
        <v>0</v>
      </c>
      <c r="M2476" t="s">
        <v>25</v>
      </c>
      <c r="N2476" t="s">
        <v>25</v>
      </c>
      <c r="O2476" t="s">
        <v>26</v>
      </c>
      <c r="P2476" t="s">
        <v>25</v>
      </c>
      <c r="Q2476" t="s">
        <v>51</v>
      </c>
      <c r="R2476" t="s">
        <v>2712</v>
      </c>
    </row>
    <row r="2477" spans="1:20">
      <c r="A2477">
        <v>2487</v>
      </c>
      <c r="B2477" t="s">
        <v>2738</v>
      </c>
      <c r="C2477" t="s">
        <v>21</v>
      </c>
      <c r="D2477" t="s">
        <v>22</v>
      </c>
      <c r="E2477" t="s">
        <v>23</v>
      </c>
      <c r="F2477">
        <v>140000</v>
      </c>
      <c r="G2477">
        <v>19</v>
      </c>
      <c r="H2477">
        <v>166600</v>
      </c>
      <c r="I2477" t="s">
        <v>24</v>
      </c>
      <c r="J2477" t="s">
        <v>25</v>
      </c>
      <c r="K2477">
        <v>0</v>
      </c>
      <c r="L2477">
        <v>0</v>
      </c>
      <c r="M2477" t="s">
        <v>25</v>
      </c>
      <c r="N2477" t="s">
        <v>25</v>
      </c>
      <c r="O2477" t="s">
        <v>26</v>
      </c>
      <c r="P2477" t="s">
        <v>25</v>
      </c>
      <c r="Q2477" t="s">
        <v>51</v>
      </c>
      <c r="R2477" t="s">
        <v>2712</v>
      </c>
    </row>
    <row r="2478" spans="1:20">
      <c r="A2478">
        <v>2488</v>
      </c>
      <c r="B2478" t="s">
        <v>2739</v>
      </c>
      <c r="C2478" t="s">
        <v>21</v>
      </c>
      <c r="D2478" t="s">
        <v>22</v>
      </c>
      <c r="E2478" t="s">
        <v>23</v>
      </c>
      <c r="F2478">
        <v>15293655</v>
      </c>
      <c r="G2478">
        <v>19</v>
      </c>
      <c r="H2478">
        <v>18199449.449999999</v>
      </c>
      <c r="I2478" t="s">
        <v>24</v>
      </c>
      <c r="J2478" t="s">
        <v>25</v>
      </c>
      <c r="K2478">
        <v>0</v>
      </c>
      <c r="L2478">
        <v>0</v>
      </c>
      <c r="M2478" t="s">
        <v>25</v>
      </c>
      <c r="N2478" t="s">
        <v>25</v>
      </c>
      <c r="O2478" t="s">
        <v>26</v>
      </c>
      <c r="P2478" t="s">
        <v>25</v>
      </c>
      <c r="Q2478" t="s">
        <v>51</v>
      </c>
      <c r="R2478" t="s">
        <v>2712</v>
      </c>
    </row>
    <row r="2479" spans="1:20">
      <c r="A2479">
        <v>2489</v>
      </c>
      <c r="B2479" t="s">
        <v>2740</v>
      </c>
      <c r="C2479" t="s">
        <v>21</v>
      </c>
      <c r="D2479" t="s">
        <v>22</v>
      </c>
      <c r="E2479" t="s">
        <v>23</v>
      </c>
      <c r="F2479">
        <v>88000</v>
      </c>
      <c r="G2479">
        <v>19</v>
      </c>
      <c r="H2479">
        <v>104720</v>
      </c>
      <c r="I2479" t="s">
        <v>24</v>
      </c>
      <c r="J2479" t="s">
        <v>25</v>
      </c>
      <c r="K2479">
        <v>0</v>
      </c>
      <c r="L2479">
        <v>0</v>
      </c>
      <c r="M2479" t="s">
        <v>25</v>
      </c>
      <c r="N2479" t="s">
        <v>25</v>
      </c>
      <c r="O2479" t="s">
        <v>26</v>
      </c>
      <c r="P2479" t="s">
        <v>25</v>
      </c>
      <c r="Q2479" t="s">
        <v>51</v>
      </c>
      <c r="R2479" t="s">
        <v>2712</v>
      </c>
    </row>
    <row r="2480" spans="1:20">
      <c r="A2480">
        <v>2490</v>
      </c>
      <c r="B2480" t="s">
        <v>2741</v>
      </c>
      <c r="C2480" t="s">
        <v>21</v>
      </c>
      <c r="D2480" t="s">
        <v>22</v>
      </c>
      <c r="E2480" t="s">
        <v>23</v>
      </c>
      <c r="F2480">
        <v>280000</v>
      </c>
      <c r="G2480">
        <v>19</v>
      </c>
      <c r="H2480">
        <v>333200</v>
      </c>
      <c r="I2480" t="s">
        <v>24</v>
      </c>
      <c r="J2480" t="s">
        <v>25</v>
      </c>
      <c r="K2480">
        <v>0</v>
      </c>
      <c r="L2480">
        <v>0</v>
      </c>
      <c r="M2480" t="s">
        <v>25</v>
      </c>
      <c r="N2480" t="s">
        <v>25</v>
      </c>
      <c r="O2480" t="s">
        <v>26</v>
      </c>
      <c r="P2480" t="s">
        <v>25</v>
      </c>
      <c r="Q2480" t="s">
        <v>51</v>
      </c>
      <c r="R2480" t="s">
        <v>2712</v>
      </c>
    </row>
    <row r="2481" spans="1:18">
      <c r="A2481">
        <v>2491</v>
      </c>
      <c r="B2481" t="s">
        <v>2742</v>
      </c>
      <c r="C2481" t="s">
        <v>21</v>
      </c>
      <c r="D2481" t="s">
        <v>22</v>
      </c>
      <c r="E2481" t="s">
        <v>23</v>
      </c>
      <c r="F2481">
        <v>300000</v>
      </c>
      <c r="G2481">
        <v>19</v>
      </c>
      <c r="H2481">
        <v>357000</v>
      </c>
      <c r="I2481" t="s">
        <v>24</v>
      </c>
      <c r="J2481" t="s">
        <v>25</v>
      </c>
      <c r="K2481">
        <v>0</v>
      </c>
      <c r="L2481">
        <v>0</v>
      </c>
      <c r="M2481" t="s">
        <v>25</v>
      </c>
      <c r="N2481" t="s">
        <v>25</v>
      </c>
      <c r="O2481" t="s">
        <v>26</v>
      </c>
      <c r="P2481" t="s">
        <v>25</v>
      </c>
      <c r="Q2481" t="s">
        <v>51</v>
      </c>
      <c r="R2481" t="s">
        <v>2712</v>
      </c>
    </row>
    <row r="2482" spans="1:18">
      <c r="A2482">
        <v>2492</v>
      </c>
      <c r="B2482" t="s">
        <v>2743</v>
      </c>
      <c r="C2482" t="s">
        <v>21</v>
      </c>
      <c r="D2482" t="s">
        <v>22</v>
      </c>
      <c r="E2482" t="s">
        <v>23</v>
      </c>
      <c r="F2482">
        <v>495000</v>
      </c>
      <c r="G2482">
        <v>19</v>
      </c>
      <c r="H2482">
        <v>589050</v>
      </c>
      <c r="I2482" t="s">
        <v>24</v>
      </c>
      <c r="J2482" t="s">
        <v>25</v>
      </c>
      <c r="K2482">
        <v>0</v>
      </c>
      <c r="L2482">
        <v>0</v>
      </c>
      <c r="M2482" t="s">
        <v>25</v>
      </c>
      <c r="N2482" t="s">
        <v>25</v>
      </c>
      <c r="O2482" t="s">
        <v>26</v>
      </c>
      <c r="P2482" t="s">
        <v>25</v>
      </c>
      <c r="Q2482" t="s">
        <v>51</v>
      </c>
      <c r="R2482" t="s">
        <v>2712</v>
      </c>
    </row>
    <row r="2483" spans="1:18">
      <c r="A2483">
        <v>2493</v>
      </c>
      <c r="B2483" t="s">
        <v>2744</v>
      </c>
      <c r="C2483" t="s">
        <v>21</v>
      </c>
      <c r="D2483" t="s">
        <v>22</v>
      </c>
      <c r="E2483" t="s">
        <v>23</v>
      </c>
      <c r="F2483">
        <v>733800</v>
      </c>
      <c r="G2483">
        <v>19</v>
      </c>
      <c r="H2483">
        <v>873222</v>
      </c>
      <c r="I2483" t="s">
        <v>24</v>
      </c>
      <c r="J2483" t="s">
        <v>25</v>
      </c>
      <c r="K2483">
        <v>0</v>
      </c>
      <c r="L2483">
        <v>0</v>
      </c>
      <c r="M2483" t="s">
        <v>25</v>
      </c>
      <c r="N2483" t="s">
        <v>25</v>
      </c>
      <c r="O2483" t="s">
        <v>26</v>
      </c>
      <c r="P2483" t="s">
        <v>25</v>
      </c>
      <c r="Q2483" t="s">
        <v>51</v>
      </c>
      <c r="R2483" t="s">
        <v>2712</v>
      </c>
    </row>
    <row r="2484" spans="1:18">
      <c r="A2484">
        <v>2494</v>
      </c>
      <c r="B2484" t="s">
        <v>2745</v>
      </c>
      <c r="C2484" t="s">
        <v>21</v>
      </c>
      <c r="D2484" t="s">
        <v>22</v>
      </c>
      <c r="E2484" t="s">
        <v>23</v>
      </c>
      <c r="F2484">
        <v>220140</v>
      </c>
      <c r="G2484">
        <v>19</v>
      </c>
      <c r="H2484">
        <v>261966.6</v>
      </c>
      <c r="I2484" t="s">
        <v>24</v>
      </c>
      <c r="J2484" t="s">
        <v>25</v>
      </c>
      <c r="K2484">
        <v>0</v>
      </c>
      <c r="L2484">
        <v>0</v>
      </c>
      <c r="M2484" t="s">
        <v>25</v>
      </c>
      <c r="N2484" t="s">
        <v>25</v>
      </c>
      <c r="O2484" t="s">
        <v>26</v>
      </c>
      <c r="P2484" t="s">
        <v>25</v>
      </c>
      <c r="Q2484" t="s">
        <v>51</v>
      </c>
      <c r="R2484" t="s">
        <v>2712</v>
      </c>
    </row>
    <row r="2485" spans="1:18">
      <c r="A2485">
        <v>2495</v>
      </c>
      <c r="B2485" t="s">
        <v>2746</v>
      </c>
      <c r="C2485" t="s">
        <v>21</v>
      </c>
      <c r="D2485" t="s">
        <v>22</v>
      </c>
      <c r="E2485" t="s">
        <v>23</v>
      </c>
      <c r="F2485">
        <v>1625000</v>
      </c>
      <c r="G2485">
        <v>19</v>
      </c>
      <c r="H2485">
        <v>1933750</v>
      </c>
      <c r="I2485" t="s">
        <v>24</v>
      </c>
      <c r="J2485" t="s">
        <v>25</v>
      </c>
      <c r="K2485">
        <v>0</v>
      </c>
      <c r="L2485">
        <v>0</v>
      </c>
      <c r="M2485" t="s">
        <v>25</v>
      </c>
      <c r="N2485" t="s">
        <v>25</v>
      </c>
      <c r="O2485" t="s">
        <v>26</v>
      </c>
      <c r="P2485" t="s">
        <v>25</v>
      </c>
      <c r="Q2485" t="s">
        <v>51</v>
      </c>
      <c r="R2485" t="s">
        <v>2712</v>
      </c>
    </row>
    <row r="2486" spans="1:18">
      <c r="A2486">
        <v>2496</v>
      </c>
      <c r="B2486" t="s">
        <v>2747</v>
      </c>
      <c r="C2486" t="s">
        <v>21</v>
      </c>
      <c r="D2486" t="s">
        <v>22</v>
      </c>
      <c r="E2486" t="s">
        <v>23</v>
      </c>
      <c r="F2486">
        <v>1800000</v>
      </c>
      <c r="G2486">
        <v>19</v>
      </c>
      <c r="H2486">
        <v>2142000</v>
      </c>
      <c r="I2486" t="s">
        <v>24</v>
      </c>
      <c r="J2486" t="s">
        <v>25</v>
      </c>
      <c r="K2486">
        <v>0</v>
      </c>
      <c r="L2486">
        <v>0</v>
      </c>
      <c r="M2486" t="s">
        <v>25</v>
      </c>
      <c r="N2486" t="s">
        <v>25</v>
      </c>
      <c r="O2486" t="s">
        <v>26</v>
      </c>
      <c r="P2486" t="s">
        <v>25</v>
      </c>
      <c r="Q2486" t="s">
        <v>51</v>
      </c>
      <c r="R2486" t="s">
        <v>2712</v>
      </c>
    </row>
    <row r="2487" spans="1:18">
      <c r="A2487">
        <v>2497</v>
      </c>
      <c r="B2487" t="s">
        <v>2748</v>
      </c>
      <c r="C2487" t="s">
        <v>21</v>
      </c>
      <c r="D2487" t="s">
        <v>22</v>
      </c>
      <c r="E2487" t="s">
        <v>23</v>
      </c>
      <c r="F2487">
        <v>518800</v>
      </c>
      <c r="G2487">
        <v>19</v>
      </c>
      <c r="H2487">
        <v>617372</v>
      </c>
      <c r="I2487" t="s">
        <v>24</v>
      </c>
      <c r="J2487" t="s">
        <v>25</v>
      </c>
      <c r="K2487">
        <v>0</v>
      </c>
      <c r="L2487">
        <v>0</v>
      </c>
      <c r="M2487" t="s">
        <v>25</v>
      </c>
      <c r="N2487" t="s">
        <v>25</v>
      </c>
      <c r="O2487" t="s">
        <v>26</v>
      </c>
      <c r="P2487" t="s">
        <v>25</v>
      </c>
      <c r="Q2487" t="s">
        <v>51</v>
      </c>
      <c r="R2487" t="s">
        <v>2712</v>
      </c>
    </row>
    <row r="2488" spans="1:18">
      <c r="A2488">
        <v>2498</v>
      </c>
      <c r="B2488" t="s">
        <v>2749</v>
      </c>
      <c r="C2488" t="s">
        <v>21</v>
      </c>
      <c r="D2488" t="s">
        <v>22</v>
      </c>
      <c r="E2488" t="s">
        <v>23</v>
      </c>
      <c r="F2488">
        <v>241819</v>
      </c>
      <c r="G2488">
        <v>19</v>
      </c>
      <c r="H2488">
        <v>287764.61</v>
      </c>
      <c r="I2488" t="s">
        <v>24</v>
      </c>
      <c r="J2488" t="s">
        <v>25</v>
      </c>
      <c r="K2488">
        <v>0</v>
      </c>
      <c r="L2488">
        <v>0</v>
      </c>
      <c r="M2488" t="s">
        <v>25</v>
      </c>
      <c r="N2488" t="s">
        <v>25</v>
      </c>
      <c r="O2488" t="s">
        <v>26</v>
      </c>
      <c r="P2488" t="s">
        <v>25</v>
      </c>
      <c r="Q2488" t="s">
        <v>51</v>
      </c>
      <c r="R2488" t="s">
        <v>2712</v>
      </c>
    </row>
    <row r="2489" spans="1:18">
      <c r="A2489">
        <v>2499</v>
      </c>
      <c r="B2489" t="s">
        <v>2750</v>
      </c>
      <c r="C2489" t="s">
        <v>21</v>
      </c>
      <c r="D2489" t="s">
        <v>22</v>
      </c>
      <c r="E2489" t="s">
        <v>23</v>
      </c>
      <c r="F2489">
        <v>3367033</v>
      </c>
      <c r="G2489">
        <v>19</v>
      </c>
      <c r="H2489">
        <v>4006769.27</v>
      </c>
      <c r="I2489" t="s">
        <v>24</v>
      </c>
      <c r="J2489" t="s">
        <v>25</v>
      </c>
      <c r="K2489">
        <v>0</v>
      </c>
      <c r="L2489">
        <v>0</v>
      </c>
      <c r="M2489" t="s">
        <v>25</v>
      </c>
      <c r="N2489" t="s">
        <v>25</v>
      </c>
      <c r="O2489" t="s">
        <v>26</v>
      </c>
      <c r="P2489" t="s">
        <v>25</v>
      </c>
      <c r="Q2489" t="s">
        <v>51</v>
      </c>
      <c r="R2489" t="s">
        <v>1843</v>
      </c>
    </row>
    <row r="2490" spans="1:18">
      <c r="A2490">
        <v>2500</v>
      </c>
      <c r="B2490" t="s">
        <v>2751</v>
      </c>
      <c r="C2490" t="s">
        <v>21</v>
      </c>
      <c r="D2490" t="s">
        <v>22</v>
      </c>
      <c r="E2490" t="s">
        <v>23</v>
      </c>
      <c r="F2490">
        <v>83300</v>
      </c>
      <c r="G2490">
        <v>19</v>
      </c>
      <c r="H2490">
        <v>99127</v>
      </c>
      <c r="I2490" t="s">
        <v>24</v>
      </c>
      <c r="J2490" t="s">
        <v>25</v>
      </c>
      <c r="K2490">
        <v>0</v>
      </c>
      <c r="L2490">
        <v>0</v>
      </c>
      <c r="M2490" t="s">
        <v>25</v>
      </c>
      <c r="N2490" t="s">
        <v>25</v>
      </c>
      <c r="O2490" t="s">
        <v>26</v>
      </c>
      <c r="P2490" t="s">
        <v>25</v>
      </c>
      <c r="Q2490" t="s">
        <v>51</v>
      </c>
      <c r="R2490" t="s">
        <v>1843</v>
      </c>
    </row>
    <row r="2491" spans="1:18">
      <c r="A2491">
        <v>2501</v>
      </c>
      <c r="B2491" t="s">
        <v>2752</v>
      </c>
      <c r="C2491" t="s">
        <v>21</v>
      </c>
      <c r="D2491" t="s">
        <v>22</v>
      </c>
      <c r="E2491" t="s">
        <v>23</v>
      </c>
      <c r="F2491">
        <v>62950</v>
      </c>
      <c r="G2491">
        <v>19</v>
      </c>
      <c r="H2491">
        <v>74910.5</v>
      </c>
      <c r="I2491" t="s">
        <v>24</v>
      </c>
      <c r="J2491" t="s">
        <v>25</v>
      </c>
      <c r="K2491">
        <v>0</v>
      </c>
      <c r="L2491">
        <v>0</v>
      </c>
      <c r="M2491" t="s">
        <v>25</v>
      </c>
      <c r="N2491" t="s">
        <v>25</v>
      </c>
      <c r="O2491" t="s">
        <v>26</v>
      </c>
      <c r="P2491" t="s">
        <v>25</v>
      </c>
      <c r="Q2491" t="s">
        <v>51</v>
      </c>
      <c r="R2491" t="s">
        <v>1843</v>
      </c>
    </row>
    <row r="2492" spans="1:18">
      <c r="A2492">
        <v>2502</v>
      </c>
      <c r="B2492" t="s">
        <v>2753</v>
      </c>
      <c r="C2492" t="s">
        <v>21</v>
      </c>
      <c r="D2492" t="s">
        <v>22</v>
      </c>
      <c r="E2492" t="s">
        <v>23</v>
      </c>
      <c r="F2492">
        <v>31500</v>
      </c>
      <c r="G2492">
        <v>19</v>
      </c>
      <c r="H2492">
        <v>37485</v>
      </c>
      <c r="I2492" t="s">
        <v>24</v>
      </c>
      <c r="J2492" t="s">
        <v>25</v>
      </c>
      <c r="K2492">
        <v>0</v>
      </c>
      <c r="L2492">
        <v>0</v>
      </c>
      <c r="M2492" t="s">
        <v>25</v>
      </c>
      <c r="N2492" t="s">
        <v>25</v>
      </c>
      <c r="O2492" t="s">
        <v>26</v>
      </c>
      <c r="P2492" t="s">
        <v>25</v>
      </c>
      <c r="Q2492" t="s">
        <v>51</v>
      </c>
      <c r="R2492" t="s">
        <v>1843</v>
      </c>
    </row>
    <row r="2493" spans="1:18">
      <c r="A2493">
        <v>2503</v>
      </c>
      <c r="B2493" t="s">
        <v>2754</v>
      </c>
      <c r="C2493" t="s">
        <v>21</v>
      </c>
      <c r="D2493" t="s">
        <v>22</v>
      </c>
      <c r="E2493" t="s">
        <v>23</v>
      </c>
      <c r="F2493">
        <v>30800</v>
      </c>
      <c r="G2493">
        <v>19</v>
      </c>
      <c r="H2493">
        <v>36652</v>
      </c>
      <c r="I2493" t="s">
        <v>24</v>
      </c>
      <c r="J2493" t="s">
        <v>25</v>
      </c>
      <c r="K2493">
        <v>0</v>
      </c>
      <c r="L2493">
        <v>0</v>
      </c>
      <c r="M2493" t="s">
        <v>25</v>
      </c>
      <c r="N2493" t="s">
        <v>25</v>
      </c>
      <c r="O2493" t="s">
        <v>26</v>
      </c>
      <c r="P2493" t="s">
        <v>25</v>
      </c>
      <c r="Q2493" t="s">
        <v>51</v>
      </c>
      <c r="R2493" t="s">
        <v>1843</v>
      </c>
    </row>
    <row r="2494" spans="1:18">
      <c r="A2494">
        <v>2504</v>
      </c>
      <c r="B2494" t="s">
        <v>2755</v>
      </c>
      <c r="C2494" t="s">
        <v>21</v>
      </c>
      <c r="D2494" t="s">
        <v>22</v>
      </c>
      <c r="E2494" t="s">
        <v>23</v>
      </c>
      <c r="F2494">
        <v>29800</v>
      </c>
      <c r="G2494">
        <v>19</v>
      </c>
      <c r="H2494">
        <v>35462</v>
      </c>
      <c r="I2494" t="s">
        <v>24</v>
      </c>
      <c r="J2494" t="s">
        <v>25</v>
      </c>
      <c r="K2494">
        <v>0</v>
      </c>
      <c r="L2494">
        <v>0</v>
      </c>
      <c r="M2494" t="s">
        <v>25</v>
      </c>
      <c r="N2494" t="s">
        <v>25</v>
      </c>
      <c r="O2494" t="s">
        <v>26</v>
      </c>
      <c r="P2494" t="s">
        <v>25</v>
      </c>
      <c r="Q2494" t="s">
        <v>51</v>
      </c>
      <c r="R2494" t="s">
        <v>1843</v>
      </c>
    </row>
    <row r="2495" spans="1:18">
      <c r="A2495">
        <v>2505</v>
      </c>
      <c r="B2495" t="s">
        <v>2756</v>
      </c>
      <c r="C2495" t="s">
        <v>21</v>
      </c>
      <c r="D2495" t="s">
        <v>22</v>
      </c>
      <c r="E2495" t="s">
        <v>23</v>
      </c>
      <c r="F2495">
        <v>30800</v>
      </c>
      <c r="G2495">
        <v>19</v>
      </c>
      <c r="H2495">
        <v>36652</v>
      </c>
      <c r="I2495" t="s">
        <v>24</v>
      </c>
      <c r="J2495" t="s">
        <v>25</v>
      </c>
      <c r="K2495">
        <v>0</v>
      </c>
      <c r="L2495">
        <v>0</v>
      </c>
      <c r="M2495" t="s">
        <v>25</v>
      </c>
      <c r="N2495" t="s">
        <v>25</v>
      </c>
      <c r="O2495" t="s">
        <v>26</v>
      </c>
      <c r="P2495" t="s">
        <v>25</v>
      </c>
      <c r="Q2495" t="s">
        <v>51</v>
      </c>
      <c r="R2495" t="s">
        <v>1843</v>
      </c>
    </row>
    <row r="2496" spans="1:18">
      <c r="A2496">
        <v>2506</v>
      </c>
      <c r="B2496" t="s">
        <v>2757</v>
      </c>
      <c r="C2496" t="s">
        <v>21</v>
      </c>
      <c r="D2496" t="s">
        <v>22</v>
      </c>
      <c r="E2496" t="s">
        <v>23</v>
      </c>
      <c r="F2496">
        <v>38700</v>
      </c>
      <c r="G2496">
        <v>19</v>
      </c>
      <c r="H2496">
        <v>46053</v>
      </c>
      <c r="I2496" t="s">
        <v>24</v>
      </c>
      <c r="J2496" t="s">
        <v>25</v>
      </c>
      <c r="K2496">
        <v>0</v>
      </c>
      <c r="L2496">
        <v>0</v>
      </c>
      <c r="M2496" t="s">
        <v>25</v>
      </c>
      <c r="N2496" t="s">
        <v>25</v>
      </c>
      <c r="O2496" t="s">
        <v>26</v>
      </c>
      <c r="P2496" t="s">
        <v>25</v>
      </c>
      <c r="Q2496" t="s">
        <v>51</v>
      </c>
      <c r="R2496" t="s">
        <v>1843</v>
      </c>
    </row>
    <row r="2497" spans="1:20">
      <c r="A2497">
        <v>2507</v>
      </c>
      <c r="B2497" t="s">
        <v>2758</v>
      </c>
      <c r="C2497" t="s">
        <v>21</v>
      </c>
      <c r="D2497" t="s">
        <v>22</v>
      </c>
      <c r="E2497" t="s">
        <v>23</v>
      </c>
      <c r="F2497">
        <v>4200</v>
      </c>
      <c r="G2497">
        <v>19</v>
      </c>
      <c r="H2497">
        <v>4998</v>
      </c>
      <c r="I2497" t="s">
        <v>24</v>
      </c>
      <c r="J2497" t="s">
        <v>25</v>
      </c>
      <c r="K2497">
        <v>0</v>
      </c>
      <c r="L2497">
        <v>0</v>
      </c>
      <c r="M2497" t="s">
        <v>25</v>
      </c>
      <c r="N2497" t="s">
        <v>25</v>
      </c>
      <c r="O2497" t="s">
        <v>26</v>
      </c>
      <c r="P2497" t="s">
        <v>25</v>
      </c>
      <c r="Q2497" t="s">
        <v>51</v>
      </c>
      <c r="R2497" t="s">
        <v>1843</v>
      </c>
    </row>
    <row r="2498" spans="1:20">
      <c r="A2498">
        <v>2508</v>
      </c>
      <c r="B2498" t="s">
        <v>2759</v>
      </c>
      <c r="C2498" t="s">
        <v>21</v>
      </c>
      <c r="D2498" t="s">
        <v>22</v>
      </c>
      <c r="E2498" t="s">
        <v>23</v>
      </c>
      <c r="F2498">
        <v>1057500</v>
      </c>
      <c r="G2498">
        <v>19</v>
      </c>
      <c r="H2498">
        <v>1258425</v>
      </c>
      <c r="I2498" t="s">
        <v>24</v>
      </c>
      <c r="J2498" t="s">
        <v>25</v>
      </c>
      <c r="K2498">
        <v>0</v>
      </c>
      <c r="L2498">
        <v>0</v>
      </c>
      <c r="M2498" t="s">
        <v>25</v>
      </c>
      <c r="N2498" t="s">
        <v>25</v>
      </c>
      <c r="O2498" t="s">
        <v>26</v>
      </c>
      <c r="P2498" t="s">
        <v>25</v>
      </c>
      <c r="Q2498" t="s">
        <v>51</v>
      </c>
      <c r="R2498" t="s">
        <v>1843</v>
      </c>
      <c r="S2498" t="s">
        <v>51</v>
      </c>
      <c r="T2498" t="s">
        <v>1843</v>
      </c>
    </row>
    <row r="2499" spans="1:20">
      <c r="A2499">
        <v>2509</v>
      </c>
      <c r="B2499" t="s">
        <v>2760</v>
      </c>
      <c r="C2499" t="s">
        <v>21</v>
      </c>
      <c r="D2499" t="s">
        <v>22</v>
      </c>
      <c r="E2499" t="s">
        <v>23</v>
      </c>
      <c r="F2499">
        <v>32175</v>
      </c>
      <c r="G2499">
        <v>19</v>
      </c>
      <c r="H2499">
        <v>38288.25</v>
      </c>
      <c r="I2499" t="s">
        <v>24</v>
      </c>
      <c r="J2499" t="s">
        <v>25</v>
      </c>
      <c r="K2499">
        <v>0</v>
      </c>
      <c r="L2499">
        <v>0</v>
      </c>
      <c r="M2499" t="s">
        <v>25</v>
      </c>
      <c r="N2499" t="s">
        <v>25</v>
      </c>
      <c r="O2499" t="s">
        <v>26</v>
      </c>
      <c r="P2499" t="s">
        <v>25</v>
      </c>
      <c r="Q2499" t="s">
        <v>51</v>
      </c>
      <c r="R2499" t="s">
        <v>1843</v>
      </c>
    </row>
    <row r="2500" spans="1:20">
      <c r="A2500">
        <v>2510</v>
      </c>
      <c r="B2500" t="s">
        <v>2761</v>
      </c>
      <c r="C2500" t="s">
        <v>21</v>
      </c>
      <c r="D2500" t="s">
        <v>22</v>
      </c>
      <c r="E2500" t="s">
        <v>23</v>
      </c>
      <c r="F2500">
        <v>103500</v>
      </c>
      <c r="G2500">
        <v>19</v>
      </c>
      <c r="H2500">
        <v>123165</v>
      </c>
      <c r="I2500" t="s">
        <v>24</v>
      </c>
      <c r="J2500" t="s">
        <v>25</v>
      </c>
      <c r="K2500">
        <v>0</v>
      </c>
      <c r="L2500">
        <v>0</v>
      </c>
      <c r="M2500" t="s">
        <v>25</v>
      </c>
      <c r="N2500" t="s">
        <v>25</v>
      </c>
      <c r="O2500" t="s">
        <v>26</v>
      </c>
      <c r="P2500" t="s">
        <v>25</v>
      </c>
      <c r="Q2500" t="s">
        <v>51</v>
      </c>
      <c r="R2500" t="s">
        <v>1843</v>
      </c>
    </row>
    <row r="2501" spans="1:20">
      <c r="A2501">
        <v>2511</v>
      </c>
      <c r="B2501" t="s">
        <v>2762</v>
      </c>
      <c r="C2501" t="s">
        <v>21</v>
      </c>
      <c r="D2501" t="s">
        <v>22</v>
      </c>
      <c r="E2501" t="s">
        <v>23</v>
      </c>
      <c r="F2501">
        <v>244000</v>
      </c>
      <c r="G2501">
        <v>19</v>
      </c>
      <c r="H2501">
        <v>290360</v>
      </c>
      <c r="I2501" t="s">
        <v>24</v>
      </c>
      <c r="J2501" t="s">
        <v>25</v>
      </c>
      <c r="K2501">
        <v>0</v>
      </c>
      <c r="L2501">
        <v>0</v>
      </c>
      <c r="M2501" t="s">
        <v>25</v>
      </c>
      <c r="N2501" t="s">
        <v>25</v>
      </c>
      <c r="O2501" t="s">
        <v>26</v>
      </c>
      <c r="P2501" t="s">
        <v>25</v>
      </c>
      <c r="Q2501" t="s">
        <v>51</v>
      </c>
      <c r="R2501" t="s">
        <v>1843</v>
      </c>
    </row>
    <row r="2502" spans="1:20">
      <c r="A2502">
        <v>2512</v>
      </c>
      <c r="B2502" t="s">
        <v>2763</v>
      </c>
      <c r="C2502" t="s">
        <v>21</v>
      </c>
      <c r="D2502" t="s">
        <v>22</v>
      </c>
      <c r="E2502" t="s">
        <v>23</v>
      </c>
      <c r="F2502">
        <v>299744</v>
      </c>
      <c r="G2502">
        <v>19</v>
      </c>
      <c r="H2502">
        <v>356695.36</v>
      </c>
      <c r="I2502" t="s">
        <v>24</v>
      </c>
      <c r="J2502" t="s">
        <v>25</v>
      </c>
      <c r="K2502">
        <v>0</v>
      </c>
      <c r="L2502">
        <v>0</v>
      </c>
      <c r="M2502" t="s">
        <v>25</v>
      </c>
      <c r="N2502" t="s">
        <v>25</v>
      </c>
      <c r="O2502" t="s">
        <v>26</v>
      </c>
      <c r="P2502" t="s">
        <v>25</v>
      </c>
      <c r="Q2502" t="s">
        <v>51</v>
      </c>
      <c r="R2502" t="s">
        <v>1843</v>
      </c>
    </row>
    <row r="2503" spans="1:20">
      <c r="A2503">
        <v>2513</v>
      </c>
      <c r="B2503" t="s">
        <v>2764</v>
      </c>
      <c r="C2503" t="s">
        <v>21</v>
      </c>
      <c r="D2503" t="s">
        <v>22</v>
      </c>
      <c r="E2503" t="s">
        <v>23</v>
      </c>
      <c r="F2503">
        <v>86768</v>
      </c>
      <c r="G2503">
        <v>19</v>
      </c>
      <c r="H2503">
        <v>103253.92</v>
      </c>
      <c r="I2503" t="s">
        <v>24</v>
      </c>
      <c r="J2503" t="s">
        <v>25</v>
      </c>
      <c r="K2503">
        <v>0</v>
      </c>
      <c r="L2503">
        <v>0</v>
      </c>
      <c r="M2503" t="s">
        <v>25</v>
      </c>
      <c r="N2503" t="s">
        <v>25</v>
      </c>
      <c r="O2503" t="s">
        <v>26</v>
      </c>
      <c r="P2503" t="s">
        <v>25</v>
      </c>
      <c r="Q2503" t="s">
        <v>51</v>
      </c>
      <c r="R2503" t="s">
        <v>1843</v>
      </c>
    </row>
    <row r="2504" spans="1:20">
      <c r="A2504">
        <v>2514</v>
      </c>
      <c r="B2504" t="s">
        <v>2765</v>
      </c>
      <c r="C2504" t="s">
        <v>21</v>
      </c>
      <c r="D2504" t="s">
        <v>22</v>
      </c>
      <c r="E2504" t="s">
        <v>23</v>
      </c>
      <c r="F2504">
        <v>297399</v>
      </c>
      <c r="G2504">
        <v>19</v>
      </c>
      <c r="H2504">
        <v>353904.81</v>
      </c>
      <c r="I2504" t="s">
        <v>24</v>
      </c>
      <c r="J2504" t="s">
        <v>25</v>
      </c>
      <c r="K2504">
        <v>0</v>
      </c>
      <c r="L2504">
        <v>0</v>
      </c>
      <c r="M2504" t="s">
        <v>25</v>
      </c>
      <c r="N2504" t="s">
        <v>25</v>
      </c>
      <c r="O2504" t="s">
        <v>26</v>
      </c>
      <c r="P2504" t="s">
        <v>25</v>
      </c>
      <c r="Q2504" t="s">
        <v>51</v>
      </c>
      <c r="R2504" t="s">
        <v>1843</v>
      </c>
    </row>
    <row r="2505" spans="1:20">
      <c r="A2505">
        <v>2515</v>
      </c>
      <c r="B2505" t="s">
        <v>2766</v>
      </c>
      <c r="C2505" t="s">
        <v>21</v>
      </c>
      <c r="D2505" t="s">
        <v>22</v>
      </c>
      <c r="E2505" t="s">
        <v>23</v>
      </c>
      <c r="F2505">
        <v>80000</v>
      </c>
      <c r="G2505">
        <v>19</v>
      </c>
      <c r="H2505">
        <v>95200</v>
      </c>
      <c r="I2505" t="s">
        <v>24</v>
      </c>
      <c r="J2505" t="s">
        <v>25</v>
      </c>
      <c r="K2505">
        <v>0</v>
      </c>
      <c r="L2505">
        <v>0</v>
      </c>
      <c r="M2505" t="s">
        <v>25</v>
      </c>
      <c r="N2505" t="s">
        <v>25</v>
      </c>
      <c r="O2505" t="s">
        <v>26</v>
      </c>
      <c r="P2505" t="s">
        <v>25</v>
      </c>
      <c r="Q2505" t="s">
        <v>51</v>
      </c>
      <c r="R2505" t="s">
        <v>1843</v>
      </c>
    </row>
    <row r="2506" spans="1:20">
      <c r="A2506">
        <v>2516</v>
      </c>
      <c r="B2506" t="s">
        <v>2767</v>
      </c>
      <c r="C2506" t="s">
        <v>21</v>
      </c>
      <c r="D2506" t="s">
        <v>22</v>
      </c>
      <c r="E2506" t="s">
        <v>23</v>
      </c>
      <c r="F2506">
        <v>9975</v>
      </c>
      <c r="G2506">
        <v>19</v>
      </c>
      <c r="H2506">
        <v>11870.25</v>
      </c>
      <c r="I2506" t="s">
        <v>24</v>
      </c>
      <c r="J2506" t="s">
        <v>25</v>
      </c>
      <c r="K2506">
        <v>0</v>
      </c>
      <c r="L2506">
        <v>0</v>
      </c>
      <c r="M2506" t="s">
        <v>25</v>
      </c>
      <c r="N2506" t="s">
        <v>25</v>
      </c>
      <c r="O2506" t="s">
        <v>26</v>
      </c>
      <c r="P2506" t="s">
        <v>25</v>
      </c>
      <c r="Q2506" t="s">
        <v>51</v>
      </c>
      <c r="R2506" t="s">
        <v>1843</v>
      </c>
    </row>
    <row r="2507" spans="1:20">
      <c r="A2507">
        <v>2517</v>
      </c>
      <c r="B2507" t="s">
        <v>2768</v>
      </c>
      <c r="C2507" t="s">
        <v>21</v>
      </c>
      <c r="D2507" t="s">
        <v>22</v>
      </c>
      <c r="E2507" t="s">
        <v>23</v>
      </c>
      <c r="F2507">
        <v>6500</v>
      </c>
      <c r="G2507">
        <v>19</v>
      </c>
      <c r="H2507">
        <v>7735</v>
      </c>
      <c r="I2507" t="s">
        <v>24</v>
      </c>
      <c r="J2507" t="s">
        <v>25</v>
      </c>
      <c r="K2507">
        <v>0</v>
      </c>
      <c r="L2507">
        <v>0</v>
      </c>
      <c r="M2507" t="s">
        <v>25</v>
      </c>
      <c r="N2507" t="s">
        <v>25</v>
      </c>
      <c r="O2507" t="s">
        <v>26</v>
      </c>
      <c r="P2507" t="s">
        <v>25</v>
      </c>
      <c r="Q2507" t="s">
        <v>51</v>
      </c>
      <c r="R2507" t="s">
        <v>1843</v>
      </c>
    </row>
    <row r="2508" spans="1:20">
      <c r="A2508">
        <v>2518</v>
      </c>
      <c r="B2508" t="s">
        <v>2769</v>
      </c>
      <c r="C2508" t="s">
        <v>21</v>
      </c>
      <c r="D2508" t="s">
        <v>22</v>
      </c>
      <c r="E2508" t="s">
        <v>23</v>
      </c>
      <c r="F2508">
        <v>266353</v>
      </c>
      <c r="G2508">
        <v>19</v>
      </c>
      <c r="H2508">
        <v>316960.07</v>
      </c>
      <c r="I2508" t="s">
        <v>24</v>
      </c>
      <c r="J2508" t="s">
        <v>25</v>
      </c>
      <c r="K2508">
        <v>0</v>
      </c>
      <c r="L2508">
        <v>0</v>
      </c>
      <c r="M2508" t="s">
        <v>25</v>
      </c>
      <c r="N2508" t="s">
        <v>25</v>
      </c>
      <c r="O2508" t="s">
        <v>26</v>
      </c>
      <c r="P2508" t="s">
        <v>25</v>
      </c>
      <c r="Q2508" t="s">
        <v>51</v>
      </c>
      <c r="R2508" t="s">
        <v>1843</v>
      </c>
    </row>
    <row r="2509" spans="1:20">
      <c r="A2509">
        <v>2519</v>
      </c>
      <c r="B2509" t="s">
        <v>2770</v>
      </c>
      <c r="C2509" t="s">
        <v>21</v>
      </c>
      <c r="D2509" t="s">
        <v>22</v>
      </c>
      <c r="E2509" t="s">
        <v>23</v>
      </c>
      <c r="F2509">
        <v>156034</v>
      </c>
      <c r="G2509">
        <v>19</v>
      </c>
      <c r="H2509">
        <v>185680.46</v>
      </c>
      <c r="I2509" t="s">
        <v>24</v>
      </c>
      <c r="J2509" t="s">
        <v>25</v>
      </c>
      <c r="K2509">
        <v>0</v>
      </c>
      <c r="L2509">
        <v>0</v>
      </c>
      <c r="M2509" t="s">
        <v>25</v>
      </c>
      <c r="N2509" t="s">
        <v>25</v>
      </c>
      <c r="O2509" t="s">
        <v>26</v>
      </c>
      <c r="P2509" t="s">
        <v>25</v>
      </c>
      <c r="Q2509" t="s">
        <v>51</v>
      </c>
      <c r="R2509" t="s">
        <v>1843</v>
      </c>
    </row>
    <row r="2510" spans="1:20">
      <c r="A2510">
        <v>2520</v>
      </c>
      <c r="B2510" t="s">
        <v>2771</v>
      </c>
      <c r="C2510" t="s">
        <v>21</v>
      </c>
      <c r="D2510" t="s">
        <v>22</v>
      </c>
      <c r="E2510" t="s">
        <v>23</v>
      </c>
      <c r="F2510">
        <v>16000</v>
      </c>
      <c r="G2510">
        <v>19</v>
      </c>
      <c r="H2510">
        <v>19040</v>
      </c>
      <c r="I2510" t="s">
        <v>24</v>
      </c>
      <c r="J2510" t="s">
        <v>25</v>
      </c>
      <c r="K2510">
        <v>0</v>
      </c>
      <c r="L2510">
        <v>0</v>
      </c>
      <c r="M2510" t="s">
        <v>25</v>
      </c>
      <c r="N2510" t="s">
        <v>25</v>
      </c>
      <c r="O2510" t="s">
        <v>26</v>
      </c>
      <c r="P2510" t="s">
        <v>25</v>
      </c>
      <c r="Q2510" t="s">
        <v>51</v>
      </c>
      <c r="R2510" t="s">
        <v>1843</v>
      </c>
    </row>
    <row r="2511" spans="1:20">
      <c r="A2511">
        <v>2521</v>
      </c>
      <c r="B2511" t="s">
        <v>2772</v>
      </c>
      <c r="C2511" t="s">
        <v>21</v>
      </c>
      <c r="D2511" t="s">
        <v>22</v>
      </c>
      <c r="E2511" t="s">
        <v>23</v>
      </c>
      <c r="F2511">
        <v>16000</v>
      </c>
      <c r="G2511">
        <v>19</v>
      </c>
      <c r="H2511">
        <v>19040</v>
      </c>
      <c r="I2511" t="s">
        <v>24</v>
      </c>
      <c r="J2511" t="s">
        <v>25</v>
      </c>
      <c r="K2511">
        <v>0</v>
      </c>
      <c r="L2511">
        <v>0</v>
      </c>
      <c r="M2511" t="s">
        <v>25</v>
      </c>
      <c r="N2511" t="s">
        <v>25</v>
      </c>
      <c r="O2511" t="s">
        <v>26</v>
      </c>
      <c r="P2511" t="s">
        <v>25</v>
      </c>
      <c r="Q2511" t="s">
        <v>51</v>
      </c>
      <c r="R2511" t="s">
        <v>1843</v>
      </c>
    </row>
    <row r="2512" spans="1:20">
      <c r="A2512">
        <v>2522</v>
      </c>
      <c r="B2512" t="s">
        <v>2773</v>
      </c>
      <c r="C2512" t="s">
        <v>21</v>
      </c>
      <c r="D2512" t="s">
        <v>22</v>
      </c>
      <c r="E2512" t="s">
        <v>23</v>
      </c>
      <c r="F2512">
        <v>63850</v>
      </c>
      <c r="G2512">
        <v>19</v>
      </c>
      <c r="H2512">
        <v>75981.5</v>
      </c>
      <c r="I2512" t="s">
        <v>24</v>
      </c>
      <c r="J2512" t="s">
        <v>25</v>
      </c>
      <c r="K2512">
        <v>0</v>
      </c>
      <c r="L2512">
        <v>0</v>
      </c>
      <c r="M2512" t="s">
        <v>25</v>
      </c>
      <c r="N2512" t="s">
        <v>25</v>
      </c>
      <c r="O2512" t="s">
        <v>26</v>
      </c>
      <c r="P2512" t="s">
        <v>25</v>
      </c>
      <c r="Q2512" t="s">
        <v>51</v>
      </c>
      <c r="R2512" t="s">
        <v>1843</v>
      </c>
    </row>
    <row r="2513" spans="1:20">
      <c r="A2513">
        <v>2523</v>
      </c>
      <c r="B2513" t="s">
        <v>2774</v>
      </c>
      <c r="C2513" t="s">
        <v>21</v>
      </c>
      <c r="D2513" t="s">
        <v>22</v>
      </c>
      <c r="E2513" t="s">
        <v>23</v>
      </c>
      <c r="F2513">
        <v>26000</v>
      </c>
      <c r="G2513">
        <v>19</v>
      </c>
      <c r="H2513">
        <v>30940</v>
      </c>
      <c r="I2513" t="s">
        <v>24</v>
      </c>
      <c r="J2513" t="s">
        <v>25</v>
      </c>
      <c r="K2513">
        <v>0</v>
      </c>
      <c r="L2513">
        <v>0</v>
      </c>
      <c r="M2513" t="s">
        <v>25</v>
      </c>
      <c r="N2513" t="s">
        <v>25</v>
      </c>
      <c r="O2513" t="s">
        <v>26</v>
      </c>
      <c r="P2513" t="s">
        <v>25</v>
      </c>
      <c r="Q2513" t="s">
        <v>51</v>
      </c>
      <c r="R2513" t="s">
        <v>1843</v>
      </c>
    </row>
    <row r="2514" spans="1:20">
      <c r="A2514">
        <v>2524</v>
      </c>
      <c r="B2514" t="s">
        <v>2775</v>
      </c>
      <c r="C2514" t="s">
        <v>21</v>
      </c>
      <c r="D2514" t="s">
        <v>22</v>
      </c>
      <c r="E2514" t="s">
        <v>23</v>
      </c>
      <c r="F2514">
        <v>2300000</v>
      </c>
      <c r="G2514">
        <v>19</v>
      </c>
      <c r="H2514">
        <v>2737000</v>
      </c>
      <c r="I2514" t="s">
        <v>24</v>
      </c>
      <c r="J2514" t="s">
        <v>25</v>
      </c>
      <c r="K2514">
        <v>0</v>
      </c>
      <c r="L2514">
        <v>0</v>
      </c>
      <c r="M2514" t="s">
        <v>25</v>
      </c>
      <c r="N2514" t="s">
        <v>25</v>
      </c>
      <c r="O2514" t="s">
        <v>26</v>
      </c>
      <c r="P2514" t="s">
        <v>25</v>
      </c>
      <c r="Q2514" t="s">
        <v>51</v>
      </c>
      <c r="R2514" t="s">
        <v>65</v>
      </c>
    </row>
    <row r="2515" spans="1:20">
      <c r="A2515">
        <v>2525</v>
      </c>
      <c r="B2515" t="s">
        <v>2776</v>
      </c>
      <c r="C2515" t="s">
        <v>21</v>
      </c>
      <c r="D2515" t="s">
        <v>22</v>
      </c>
      <c r="E2515" t="s">
        <v>23</v>
      </c>
      <c r="F2515">
        <v>13000</v>
      </c>
      <c r="G2515">
        <v>19</v>
      </c>
      <c r="H2515">
        <v>15470</v>
      </c>
      <c r="I2515" t="s">
        <v>24</v>
      </c>
      <c r="J2515" t="s">
        <v>25</v>
      </c>
      <c r="K2515">
        <v>0</v>
      </c>
      <c r="L2515">
        <v>0</v>
      </c>
      <c r="M2515" t="s">
        <v>25</v>
      </c>
      <c r="N2515" t="s">
        <v>25</v>
      </c>
      <c r="O2515" t="s">
        <v>26</v>
      </c>
      <c r="P2515" t="s">
        <v>25</v>
      </c>
      <c r="Q2515" t="s">
        <v>51</v>
      </c>
      <c r="R2515" t="s">
        <v>65</v>
      </c>
    </row>
    <row r="2516" spans="1:20">
      <c r="A2516">
        <v>2526</v>
      </c>
      <c r="B2516" t="s">
        <v>2777</v>
      </c>
      <c r="C2516" t="s">
        <v>21</v>
      </c>
      <c r="D2516" t="s">
        <v>22</v>
      </c>
      <c r="E2516" t="s">
        <v>23</v>
      </c>
      <c r="F2516">
        <v>24000</v>
      </c>
      <c r="G2516">
        <v>19</v>
      </c>
      <c r="H2516">
        <v>28560</v>
      </c>
      <c r="I2516" t="s">
        <v>24</v>
      </c>
      <c r="J2516" t="s">
        <v>25</v>
      </c>
      <c r="K2516">
        <v>0</v>
      </c>
      <c r="L2516">
        <v>0</v>
      </c>
      <c r="M2516" t="s">
        <v>25</v>
      </c>
      <c r="N2516" t="s">
        <v>25</v>
      </c>
      <c r="O2516" t="s">
        <v>26</v>
      </c>
      <c r="P2516" t="s">
        <v>25</v>
      </c>
      <c r="Q2516" t="s">
        <v>51</v>
      </c>
      <c r="R2516" t="s">
        <v>65</v>
      </c>
    </row>
    <row r="2517" spans="1:20">
      <c r="A2517">
        <v>2527</v>
      </c>
      <c r="B2517" t="s">
        <v>2778</v>
      </c>
      <c r="C2517" t="s">
        <v>21</v>
      </c>
      <c r="D2517" t="s">
        <v>22</v>
      </c>
      <c r="E2517" t="s">
        <v>23</v>
      </c>
      <c r="F2517">
        <v>10000</v>
      </c>
      <c r="G2517">
        <v>19</v>
      </c>
      <c r="H2517">
        <v>11900</v>
      </c>
      <c r="I2517" t="s">
        <v>24</v>
      </c>
      <c r="J2517" t="s">
        <v>25</v>
      </c>
      <c r="K2517">
        <v>0</v>
      </c>
      <c r="L2517">
        <v>0</v>
      </c>
      <c r="M2517" t="s">
        <v>25</v>
      </c>
      <c r="N2517" t="s">
        <v>25</v>
      </c>
      <c r="O2517" t="s">
        <v>26</v>
      </c>
      <c r="P2517" t="s">
        <v>25</v>
      </c>
      <c r="Q2517" t="s">
        <v>51</v>
      </c>
      <c r="R2517" t="s">
        <v>65</v>
      </c>
    </row>
    <row r="2518" spans="1:20">
      <c r="A2518">
        <v>2528</v>
      </c>
      <c r="B2518" t="s">
        <v>2779</v>
      </c>
      <c r="C2518" t="s">
        <v>21</v>
      </c>
      <c r="D2518" t="s">
        <v>32</v>
      </c>
      <c r="E2518" t="s">
        <v>23</v>
      </c>
      <c r="F2518">
        <v>11007.32</v>
      </c>
      <c r="G2518">
        <v>19</v>
      </c>
      <c r="H2518">
        <v>13098.710800000001</v>
      </c>
      <c r="I2518" t="s">
        <v>24</v>
      </c>
      <c r="J2518" t="s">
        <v>25</v>
      </c>
      <c r="K2518">
        <v>0</v>
      </c>
      <c r="L2518">
        <v>0</v>
      </c>
      <c r="M2518" t="s">
        <v>25</v>
      </c>
      <c r="N2518" t="s">
        <v>25</v>
      </c>
      <c r="O2518" t="s">
        <v>26</v>
      </c>
      <c r="P2518" t="s">
        <v>25</v>
      </c>
      <c r="Q2518" t="s">
        <v>51</v>
      </c>
      <c r="R2518" t="s">
        <v>65</v>
      </c>
    </row>
    <row r="2519" spans="1:20">
      <c r="A2519">
        <v>2529</v>
      </c>
      <c r="B2519" t="s">
        <v>2780</v>
      </c>
      <c r="C2519" t="s">
        <v>102</v>
      </c>
      <c r="D2519" t="s">
        <v>22</v>
      </c>
      <c r="E2519" t="s">
        <v>23</v>
      </c>
      <c r="F2519">
        <v>0</v>
      </c>
      <c r="G2519">
        <v>0</v>
      </c>
      <c r="H2519">
        <v>0</v>
      </c>
      <c r="I2519" t="s">
        <v>24</v>
      </c>
      <c r="J2519" t="s">
        <v>25</v>
      </c>
      <c r="K2519">
        <v>0</v>
      </c>
      <c r="L2519">
        <v>0</v>
      </c>
      <c r="M2519" t="s">
        <v>25</v>
      </c>
      <c r="N2519" t="s">
        <v>25</v>
      </c>
      <c r="O2519" t="s">
        <v>26</v>
      </c>
      <c r="P2519" t="s">
        <v>25</v>
      </c>
      <c r="Q2519" t="s">
        <v>231</v>
      </c>
      <c r="R2519" t="s">
        <v>65</v>
      </c>
    </row>
    <row r="2520" spans="1:20">
      <c r="A2520">
        <v>2530</v>
      </c>
      <c r="B2520" t="s">
        <v>2781</v>
      </c>
      <c r="C2520" t="s">
        <v>102</v>
      </c>
      <c r="D2520" t="s">
        <v>22</v>
      </c>
      <c r="E2520" t="s">
        <v>23</v>
      </c>
      <c r="F2520">
        <v>0</v>
      </c>
      <c r="G2520">
        <v>0</v>
      </c>
      <c r="H2520">
        <v>0</v>
      </c>
      <c r="I2520" t="s">
        <v>24</v>
      </c>
      <c r="J2520" t="s">
        <v>25</v>
      </c>
      <c r="K2520">
        <v>0</v>
      </c>
      <c r="L2520">
        <v>0</v>
      </c>
      <c r="M2520" t="s">
        <v>25</v>
      </c>
      <c r="N2520" t="s">
        <v>25</v>
      </c>
      <c r="O2520" t="s">
        <v>26</v>
      </c>
      <c r="P2520" t="s">
        <v>25</v>
      </c>
      <c r="Q2520" t="s">
        <v>231</v>
      </c>
      <c r="R2520" t="s">
        <v>65</v>
      </c>
    </row>
    <row r="2521" spans="1:20">
      <c r="A2521">
        <v>2531</v>
      </c>
      <c r="B2521" t="s">
        <v>2782</v>
      </c>
      <c r="C2521" t="s">
        <v>1130</v>
      </c>
      <c r="D2521" t="s">
        <v>1131</v>
      </c>
      <c r="E2521" t="s">
        <v>2783</v>
      </c>
      <c r="F2521">
        <v>0</v>
      </c>
      <c r="G2521">
        <v>0</v>
      </c>
      <c r="H2521">
        <v>0</v>
      </c>
      <c r="I2521" t="s">
        <v>24</v>
      </c>
      <c r="J2521" t="s">
        <v>25</v>
      </c>
      <c r="K2521">
        <v>0</v>
      </c>
      <c r="L2521">
        <v>0</v>
      </c>
      <c r="M2521" t="s">
        <v>25</v>
      </c>
      <c r="N2521" t="s">
        <v>25</v>
      </c>
      <c r="O2521" t="s">
        <v>26</v>
      </c>
      <c r="P2521" t="s">
        <v>25</v>
      </c>
      <c r="Q2521" t="s">
        <v>231</v>
      </c>
      <c r="R2521" t="s">
        <v>2784</v>
      </c>
    </row>
    <row r="2522" spans="1:20">
      <c r="A2522">
        <v>2532</v>
      </c>
      <c r="B2522" t="s">
        <v>2785</v>
      </c>
      <c r="C2522" t="s">
        <v>320</v>
      </c>
      <c r="D2522" t="s">
        <v>1131</v>
      </c>
      <c r="E2522" t="s">
        <v>2783</v>
      </c>
      <c r="F2522">
        <v>0</v>
      </c>
      <c r="G2522">
        <v>0</v>
      </c>
      <c r="H2522">
        <v>0</v>
      </c>
      <c r="I2522" t="s">
        <v>24</v>
      </c>
      <c r="J2522" t="s">
        <v>25</v>
      </c>
      <c r="K2522">
        <v>0</v>
      </c>
      <c r="L2522">
        <v>0</v>
      </c>
      <c r="M2522" t="s">
        <v>25</v>
      </c>
      <c r="N2522" t="s">
        <v>25</v>
      </c>
      <c r="O2522" t="s">
        <v>26</v>
      </c>
      <c r="P2522" t="s">
        <v>25</v>
      </c>
      <c r="Q2522" t="s">
        <v>231</v>
      </c>
      <c r="R2522" t="s">
        <v>2784</v>
      </c>
    </row>
    <row r="2523" spans="1:20">
      <c r="A2523">
        <v>2533</v>
      </c>
      <c r="B2523" t="s">
        <v>2786</v>
      </c>
      <c r="C2523" t="s">
        <v>216</v>
      </c>
      <c r="D2523" t="s">
        <v>1131</v>
      </c>
      <c r="E2523" t="s">
        <v>2783</v>
      </c>
      <c r="F2523">
        <v>0</v>
      </c>
      <c r="G2523">
        <v>0</v>
      </c>
      <c r="H2523">
        <v>0</v>
      </c>
      <c r="I2523" t="s">
        <v>24</v>
      </c>
      <c r="J2523" t="s">
        <v>25</v>
      </c>
      <c r="K2523">
        <v>0</v>
      </c>
      <c r="L2523">
        <v>0</v>
      </c>
      <c r="M2523" t="s">
        <v>25</v>
      </c>
      <c r="N2523" t="s">
        <v>25</v>
      </c>
      <c r="O2523" t="s">
        <v>26</v>
      </c>
      <c r="P2523" t="s">
        <v>25</v>
      </c>
      <c r="Q2523" t="s">
        <v>231</v>
      </c>
      <c r="R2523" t="s">
        <v>2784</v>
      </c>
    </row>
    <row r="2524" spans="1:20">
      <c r="A2524">
        <v>2534</v>
      </c>
      <c r="B2524" t="s">
        <v>2787</v>
      </c>
      <c r="C2524" t="s">
        <v>21</v>
      </c>
      <c r="D2524" t="s">
        <v>22</v>
      </c>
      <c r="E2524" t="s">
        <v>23</v>
      </c>
      <c r="F2524">
        <v>776750</v>
      </c>
      <c r="G2524">
        <v>19</v>
      </c>
      <c r="H2524">
        <v>924332.5</v>
      </c>
      <c r="I2524" t="s">
        <v>24</v>
      </c>
      <c r="J2524" t="s">
        <v>25</v>
      </c>
      <c r="K2524">
        <v>0</v>
      </c>
      <c r="L2524">
        <v>0</v>
      </c>
      <c r="M2524" t="s">
        <v>25</v>
      </c>
      <c r="N2524" t="s">
        <v>25</v>
      </c>
      <c r="O2524" t="s">
        <v>26</v>
      </c>
      <c r="P2524" t="s">
        <v>25</v>
      </c>
      <c r="Q2524" t="s">
        <v>51</v>
      </c>
      <c r="R2524" t="s">
        <v>974</v>
      </c>
    </row>
    <row r="2525" spans="1:20">
      <c r="A2525">
        <v>2535</v>
      </c>
      <c r="B2525" t="s">
        <v>2788</v>
      </c>
      <c r="C2525" t="s">
        <v>21</v>
      </c>
      <c r="D2525" t="s">
        <v>22</v>
      </c>
      <c r="E2525" t="s">
        <v>23</v>
      </c>
      <c r="F2525">
        <v>1075000</v>
      </c>
      <c r="G2525">
        <v>19</v>
      </c>
      <c r="H2525">
        <v>1279250</v>
      </c>
      <c r="I2525" t="s">
        <v>24</v>
      </c>
      <c r="J2525" t="s">
        <v>25</v>
      </c>
      <c r="K2525">
        <v>0</v>
      </c>
      <c r="L2525">
        <v>0</v>
      </c>
      <c r="M2525" t="s">
        <v>25</v>
      </c>
      <c r="N2525" t="s">
        <v>25</v>
      </c>
      <c r="O2525" t="s">
        <v>26</v>
      </c>
      <c r="P2525" t="s">
        <v>25</v>
      </c>
      <c r="Q2525" t="s">
        <v>51</v>
      </c>
      <c r="R2525" t="s">
        <v>974</v>
      </c>
      <c r="S2525" t="s">
        <v>51</v>
      </c>
      <c r="T2525" t="s">
        <v>974</v>
      </c>
    </row>
    <row r="2526" spans="1:20">
      <c r="A2526">
        <v>2536</v>
      </c>
      <c r="B2526" t="s">
        <v>2789</v>
      </c>
      <c r="C2526" t="s">
        <v>21</v>
      </c>
      <c r="D2526" t="s">
        <v>22</v>
      </c>
      <c r="E2526" t="s">
        <v>23</v>
      </c>
      <c r="F2526">
        <v>33000</v>
      </c>
      <c r="G2526">
        <v>19</v>
      </c>
      <c r="H2526">
        <v>39270</v>
      </c>
      <c r="I2526" t="s">
        <v>24</v>
      </c>
      <c r="J2526" t="s">
        <v>25</v>
      </c>
      <c r="K2526">
        <v>0</v>
      </c>
      <c r="L2526">
        <v>0</v>
      </c>
      <c r="M2526" t="s">
        <v>25</v>
      </c>
      <c r="N2526" t="s">
        <v>25</v>
      </c>
      <c r="O2526" t="s">
        <v>26</v>
      </c>
      <c r="P2526" t="s">
        <v>25</v>
      </c>
      <c r="Q2526" t="s">
        <v>51</v>
      </c>
      <c r="R2526" t="s">
        <v>974</v>
      </c>
    </row>
    <row r="2527" spans="1:20">
      <c r="A2527">
        <v>2537</v>
      </c>
      <c r="B2527" t="s">
        <v>2790</v>
      </c>
      <c r="C2527" t="s">
        <v>21</v>
      </c>
      <c r="D2527" t="s">
        <v>22</v>
      </c>
      <c r="E2527" t="s">
        <v>23</v>
      </c>
      <c r="F2527">
        <v>156135</v>
      </c>
      <c r="G2527">
        <v>19</v>
      </c>
      <c r="H2527">
        <v>185800.65</v>
      </c>
      <c r="I2527" t="s">
        <v>24</v>
      </c>
      <c r="J2527" t="s">
        <v>25</v>
      </c>
      <c r="K2527">
        <v>0</v>
      </c>
      <c r="L2527">
        <v>0</v>
      </c>
      <c r="M2527" t="s">
        <v>25</v>
      </c>
      <c r="N2527" t="s">
        <v>25</v>
      </c>
      <c r="O2527" t="s">
        <v>26</v>
      </c>
      <c r="P2527" t="s">
        <v>25</v>
      </c>
      <c r="Q2527" t="s">
        <v>51</v>
      </c>
      <c r="R2527" t="s">
        <v>287</v>
      </c>
      <c r="S2527" t="s">
        <v>51</v>
      </c>
      <c r="T2527" t="s">
        <v>287</v>
      </c>
    </row>
    <row r="2528" spans="1:20">
      <c r="A2528">
        <v>2538</v>
      </c>
      <c r="B2528" t="s">
        <v>2791</v>
      </c>
      <c r="C2528" t="s">
        <v>21</v>
      </c>
      <c r="D2528" t="s">
        <v>22</v>
      </c>
      <c r="E2528" t="s">
        <v>23</v>
      </c>
      <c r="F2528">
        <v>206271</v>
      </c>
      <c r="G2528">
        <v>19</v>
      </c>
      <c r="H2528">
        <v>245462.49</v>
      </c>
      <c r="I2528" t="s">
        <v>24</v>
      </c>
      <c r="J2528" t="s">
        <v>25</v>
      </c>
      <c r="K2528">
        <v>0</v>
      </c>
      <c r="L2528">
        <v>0</v>
      </c>
      <c r="M2528" t="s">
        <v>25</v>
      </c>
      <c r="N2528" t="s">
        <v>25</v>
      </c>
      <c r="O2528" t="s">
        <v>26</v>
      </c>
      <c r="P2528" t="s">
        <v>25</v>
      </c>
      <c r="Q2528" t="s">
        <v>51</v>
      </c>
      <c r="R2528" t="s">
        <v>287</v>
      </c>
      <c r="S2528" t="s">
        <v>51</v>
      </c>
      <c r="T2528" t="s">
        <v>287</v>
      </c>
    </row>
    <row r="2529" spans="1:20">
      <c r="A2529">
        <v>2539</v>
      </c>
      <c r="B2529" t="s">
        <v>2792</v>
      </c>
      <c r="C2529" t="s">
        <v>21</v>
      </c>
      <c r="D2529" t="s">
        <v>22</v>
      </c>
      <c r="E2529" t="s">
        <v>23</v>
      </c>
      <c r="F2529">
        <v>207740</v>
      </c>
      <c r="G2529">
        <v>19</v>
      </c>
      <c r="H2529">
        <v>247210.6</v>
      </c>
      <c r="I2529" t="s">
        <v>24</v>
      </c>
      <c r="J2529" t="s">
        <v>25</v>
      </c>
      <c r="K2529">
        <v>0</v>
      </c>
      <c r="L2529">
        <v>0</v>
      </c>
      <c r="M2529" t="s">
        <v>25</v>
      </c>
      <c r="N2529" t="s">
        <v>25</v>
      </c>
      <c r="O2529" t="s">
        <v>26</v>
      </c>
      <c r="P2529" t="s">
        <v>25</v>
      </c>
      <c r="Q2529" t="s">
        <v>51</v>
      </c>
      <c r="R2529" t="s">
        <v>287</v>
      </c>
      <c r="S2529" t="s">
        <v>51</v>
      </c>
      <c r="T2529" t="s">
        <v>287</v>
      </c>
    </row>
    <row r="2530" spans="1:20">
      <c r="A2530">
        <v>2540</v>
      </c>
      <c r="B2530" t="s">
        <v>2793</v>
      </c>
      <c r="C2530" t="s">
        <v>21</v>
      </c>
      <c r="D2530" t="s">
        <v>22</v>
      </c>
      <c r="E2530" t="s">
        <v>23</v>
      </c>
      <c r="F2530">
        <v>0</v>
      </c>
      <c r="G2530">
        <v>19</v>
      </c>
      <c r="H2530">
        <v>0</v>
      </c>
      <c r="I2530" t="s">
        <v>24</v>
      </c>
      <c r="J2530" t="s">
        <v>25</v>
      </c>
      <c r="K2530">
        <v>0</v>
      </c>
      <c r="L2530">
        <v>0</v>
      </c>
      <c r="M2530" t="s">
        <v>25</v>
      </c>
      <c r="N2530" t="s">
        <v>25</v>
      </c>
      <c r="O2530" t="s">
        <v>26</v>
      </c>
      <c r="P2530" t="s">
        <v>25</v>
      </c>
      <c r="Q2530" t="s">
        <v>51</v>
      </c>
      <c r="R2530" t="s">
        <v>1612</v>
      </c>
    </row>
    <row r="2531" spans="1:20">
      <c r="A2531">
        <v>2541</v>
      </c>
      <c r="B2531" t="s">
        <v>2794</v>
      </c>
      <c r="C2531" t="s">
        <v>21</v>
      </c>
      <c r="D2531" t="s">
        <v>22</v>
      </c>
      <c r="E2531" t="s">
        <v>23</v>
      </c>
      <c r="F2531">
        <v>73780</v>
      </c>
      <c r="G2531">
        <v>19</v>
      </c>
      <c r="H2531">
        <v>87798.2</v>
      </c>
      <c r="I2531" t="s">
        <v>24</v>
      </c>
      <c r="J2531" t="s">
        <v>25</v>
      </c>
      <c r="K2531">
        <v>0</v>
      </c>
      <c r="L2531">
        <v>0</v>
      </c>
      <c r="M2531" t="s">
        <v>25</v>
      </c>
      <c r="N2531" t="s">
        <v>25</v>
      </c>
      <c r="O2531" t="s">
        <v>26</v>
      </c>
      <c r="P2531" t="s">
        <v>25</v>
      </c>
      <c r="Q2531" t="s">
        <v>51</v>
      </c>
      <c r="R2531" t="s">
        <v>261</v>
      </c>
    </row>
    <row r="2532" spans="1:20">
      <c r="A2532">
        <v>2542</v>
      </c>
      <c r="B2532" t="s">
        <v>2795</v>
      </c>
      <c r="C2532" t="s">
        <v>21</v>
      </c>
      <c r="D2532" t="s">
        <v>22</v>
      </c>
      <c r="E2532" t="s">
        <v>23</v>
      </c>
      <c r="F2532">
        <v>201450</v>
      </c>
      <c r="G2532">
        <v>19</v>
      </c>
      <c r="H2532">
        <v>239725.5</v>
      </c>
      <c r="I2532" t="s">
        <v>24</v>
      </c>
      <c r="J2532" t="s">
        <v>25</v>
      </c>
      <c r="K2532">
        <v>0</v>
      </c>
      <c r="L2532">
        <v>0</v>
      </c>
      <c r="M2532" t="s">
        <v>25</v>
      </c>
      <c r="N2532" t="s">
        <v>25</v>
      </c>
      <c r="O2532" t="s">
        <v>26</v>
      </c>
      <c r="P2532" t="s">
        <v>25</v>
      </c>
      <c r="Q2532" t="s">
        <v>51</v>
      </c>
      <c r="R2532" t="s">
        <v>261</v>
      </c>
      <c r="S2532" t="s">
        <v>51</v>
      </c>
      <c r="T2532" t="s">
        <v>261</v>
      </c>
    </row>
    <row r="2533" spans="1:20">
      <c r="A2533">
        <v>2543</v>
      </c>
      <c r="B2533" t="s">
        <v>2796</v>
      </c>
      <c r="C2533" t="s">
        <v>21</v>
      </c>
      <c r="D2533" t="s">
        <v>22</v>
      </c>
      <c r="E2533" t="s">
        <v>23</v>
      </c>
      <c r="F2533">
        <v>193600</v>
      </c>
      <c r="G2533">
        <v>19</v>
      </c>
      <c r="H2533">
        <v>230384</v>
      </c>
      <c r="I2533" t="s">
        <v>24</v>
      </c>
      <c r="J2533" t="s">
        <v>25</v>
      </c>
      <c r="K2533">
        <v>0</v>
      </c>
      <c r="L2533">
        <v>0</v>
      </c>
      <c r="M2533" t="s">
        <v>25</v>
      </c>
      <c r="N2533" t="s">
        <v>25</v>
      </c>
      <c r="O2533" t="s">
        <v>26</v>
      </c>
      <c r="P2533" t="s">
        <v>25</v>
      </c>
      <c r="Q2533" t="s">
        <v>51</v>
      </c>
      <c r="R2533" t="s">
        <v>261</v>
      </c>
      <c r="S2533" t="s">
        <v>51</v>
      </c>
      <c r="T2533" t="s">
        <v>261</v>
      </c>
    </row>
    <row r="2534" spans="1:20">
      <c r="A2534">
        <v>2544</v>
      </c>
      <c r="B2534" t="s">
        <v>2797</v>
      </c>
      <c r="C2534" t="s">
        <v>21</v>
      </c>
      <c r="D2534" t="s">
        <v>22</v>
      </c>
      <c r="E2534" t="s">
        <v>23</v>
      </c>
      <c r="F2534">
        <v>4250</v>
      </c>
      <c r="G2534">
        <v>19</v>
      </c>
      <c r="H2534">
        <v>5057.5</v>
      </c>
      <c r="I2534" t="s">
        <v>24</v>
      </c>
      <c r="J2534" t="s">
        <v>25</v>
      </c>
      <c r="K2534">
        <v>0</v>
      </c>
      <c r="L2534">
        <v>0</v>
      </c>
      <c r="M2534" t="s">
        <v>25</v>
      </c>
      <c r="N2534" t="s">
        <v>25</v>
      </c>
      <c r="O2534" t="s">
        <v>26</v>
      </c>
      <c r="P2534" t="s">
        <v>25</v>
      </c>
      <c r="Q2534" t="s">
        <v>51</v>
      </c>
      <c r="R2534" t="s">
        <v>261</v>
      </c>
    </row>
    <row r="2535" spans="1:20">
      <c r="A2535">
        <v>2545</v>
      </c>
      <c r="B2535" t="s">
        <v>2798</v>
      </c>
      <c r="C2535" t="s">
        <v>21</v>
      </c>
      <c r="D2535" t="s">
        <v>22</v>
      </c>
      <c r="E2535" t="s">
        <v>23</v>
      </c>
      <c r="F2535">
        <v>905000</v>
      </c>
      <c r="G2535">
        <v>19</v>
      </c>
      <c r="H2535">
        <v>1076950</v>
      </c>
      <c r="I2535" t="s">
        <v>24</v>
      </c>
      <c r="J2535" t="s">
        <v>25</v>
      </c>
      <c r="K2535">
        <v>0</v>
      </c>
      <c r="L2535">
        <v>0</v>
      </c>
      <c r="M2535" t="s">
        <v>25</v>
      </c>
      <c r="N2535" t="s">
        <v>25</v>
      </c>
      <c r="O2535" t="s">
        <v>26</v>
      </c>
      <c r="P2535" t="s">
        <v>25</v>
      </c>
      <c r="Q2535" t="s">
        <v>51</v>
      </c>
      <c r="R2535" t="s">
        <v>261</v>
      </c>
    </row>
    <row r="2536" spans="1:20">
      <c r="A2536">
        <v>2546</v>
      </c>
      <c r="B2536" t="s">
        <v>2799</v>
      </c>
      <c r="C2536" t="s">
        <v>21</v>
      </c>
      <c r="D2536" t="s">
        <v>22</v>
      </c>
      <c r="E2536" t="s">
        <v>23</v>
      </c>
      <c r="F2536">
        <v>56000</v>
      </c>
      <c r="G2536">
        <v>19</v>
      </c>
      <c r="H2536">
        <v>66640</v>
      </c>
      <c r="I2536" t="s">
        <v>24</v>
      </c>
      <c r="J2536" t="s">
        <v>25</v>
      </c>
      <c r="K2536">
        <v>0</v>
      </c>
      <c r="L2536">
        <v>0</v>
      </c>
      <c r="M2536" t="s">
        <v>25</v>
      </c>
      <c r="N2536" t="s">
        <v>25</v>
      </c>
      <c r="O2536" t="s">
        <v>26</v>
      </c>
      <c r="P2536" t="s">
        <v>25</v>
      </c>
      <c r="Q2536" t="s">
        <v>51</v>
      </c>
      <c r="R2536" t="s">
        <v>261</v>
      </c>
    </row>
    <row r="2537" spans="1:20">
      <c r="A2537">
        <v>2547</v>
      </c>
      <c r="B2537" t="s">
        <v>2800</v>
      </c>
      <c r="C2537" t="s">
        <v>21</v>
      </c>
      <c r="D2537" t="s">
        <v>22</v>
      </c>
      <c r="E2537" t="s">
        <v>23</v>
      </c>
      <c r="F2537">
        <v>66000</v>
      </c>
      <c r="G2537">
        <v>19</v>
      </c>
      <c r="H2537">
        <v>78540</v>
      </c>
      <c r="I2537" t="s">
        <v>24</v>
      </c>
      <c r="J2537" t="s">
        <v>25</v>
      </c>
      <c r="K2537">
        <v>0</v>
      </c>
      <c r="L2537">
        <v>0</v>
      </c>
      <c r="M2537" t="s">
        <v>25</v>
      </c>
      <c r="N2537" t="s">
        <v>25</v>
      </c>
      <c r="O2537" t="s">
        <v>26</v>
      </c>
      <c r="P2537" t="s">
        <v>25</v>
      </c>
      <c r="Q2537" t="s">
        <v>51</v>
      </c>
      <c r="R2537" t="s">
        <v>261</v>
      </c>
    </row>
    <row r="2538" spans="1:20">
      <c r="A2538">
        <v>2548</v>
      </c>
      <c r="B2538" t="s">
        <v>2801</v>
      </c>
      <c r="C2538" t="s">
        <v>21</v>
      </c>
      <c r="D2538" t="s">
        <v>22</v>
      </c>
      <c r="E2538" t="s">
        <v>23</v>
      </c>
      <c r="F2538">
        <v>9000</v>
      </c>
      <c r="G2538">
        <v>19</v>
      </c>
      <c r="H2538">
        <v>10710</v>
      </c>
      <c r="I2538" t="s">
        <v>24</v>
      </c>
      <c r="J2538" t="s">
        <v>25</v>
      </c>
      <c r="K2538">
        <v>0</v>
      </c>
      <c r="L2538">
        <v>0</v>
      </c>
      <c r="M2538" t="s">
        <v>25</v>
      </c>
      <c r="N2538" t="s">
        <v>25</v>
      </c>
      <c r="O2538" t="s">
        <v>26</v>
      </c>
      <c r="P2538" t="s">
        <v>25</v>
      </c>
      <c r="Q2538" t="s">
        <v>51</v>
      </c>
      <c r="R2538" t="s">
        <v>261</v>
      </c>
    </row>
    <row r="2539" spans="1:20">
      <c r="A2539">
        <v>2549</v>
      </c>
      <c r="B2539" t="s">
        <v>2802</v>
      </c>
      <c r="C2539" t="s">
        <v>21</v>
      </c>
      <c r="D2539" t="s">
        <v>22</v>
      </c>
      <c r="E2539" t="s">
        <v>23</v>
      </c>
      <c r="F2539">
        <v>7000</v>
      </c>
      <c r="G2539">
        <v>19</v>
      </c>
      <c r="H2539">
        <v>8330</v>
      </c>
      <c r="I2539" t="s">
        <v>24</v>
      </c>
      <c r="J2539" t="s">
        <v>25</v>
      </c>
      <c r="K2539">
        <v>0</v>
      </c>
      <c r="L2539">
        <v>0</v>
      </c>
      <c r="M2539" t="s">
        <v>25</v>
      </c>
      <c r="N2539" t="s">
        <v>25</v>
      </c>
      <c r="O2539" t="s">
        <v>26</v>
      </c>
      <c r="P2539" t="s">
        <v>25</v>
      </c>
      <c r="Q2539" t="s">
        <v>51</v>
      </c>
      <c r="R2539" t="s">
        <v>261</v>
      </c>
    </row>
    <row r="2540" spans="1:20">
      <c r="A2540">
        <v>2550</v>
      </c>
      <c r="B2540" t="s">
        <v>2803</v>
      </c>
      <c r="C2540" t="s">
        <v>21</v>
      </c>
      <c r="D2540" t="s">
        <v>22</v>
      </c>
      <c r="E2540" t="s">
        <v>23</v>
      </c>
      <c r="F2540">
        <v>1307000</v>
      </c>
      <c r="G2540">
        <v>19</v>
      </c>
      <c r="H2540">
        <v>1555330</v>
      </c>
      <c r="I2540" t="s">
        <v>24</v>
      </c>
      <c r="J2540" t="s">
        <v>25</v>
      </c>
      <c r="K2540">
        <v>0</v>
      </c>
      <c r="L2540">
        <v>0</v>
      </c>
      <c r="M2540" t="s">
        <v>25</v>
      </c>
      <c r="N2540" t="s">
        <v>25</v>
      </c>
      <c r="O2540" t="s">
        <v>26</v>
      </c>
      <c r="P2540" t="s">
        <v>25</v>
      </c>
      <c r="Q2540" t="s">
        <v>51</v>
      </c>
      <c r="R2540" t="s">
        <v>2804</v>
      </c>
      <c r="S2540" t="s">
        <v>51</v>
      </c>
      <c r="T2540" t="s">
        <v>2804</v>
      </c>
    </row>
    <row r="2541" spans="1:20">
      <c r="A2541">
        <v>2551</v>
      </c>
      <c r="B2541" t="s">
        <v>2805</v>
      </c>
      <c r="C2541" t="s">
        <v>21</v>
      </c>
      <c r="D2541" t="s">
        <v>851</v>
      </c>
      <c r="E2541" t="s">
        <v>23</v>
      </c>
      <c r="F2541">
        <v>3008</v>
      </c>
      <c r="G2541">
        <v>19</v>
      </c>
      <c r="H2541">
        <v>3579.52</v>
      </c>
      <c r="I2541" t="s">
        <v>24</v>
      </c>
      <c r="J2541" t="s">
        <v>25</v>
      </c>
      <c r="K2541">
        <v>0</v>
      </c>
      <c r="L2541">
        <v>0</v>
      </c>
      <c r="M2541" t="s">
        <v>25</v>
      </c>
      <c r="N2541" t="s">
        <v>25</v>
      </c>
      <c r="O2541" t="s">
        <v>26</v>
      </c>
      <c r="P2541" t="s">
        <v>25</v>
      </c>
      <c r="Q2541" t="s">
        <v>51</v>
      </c>
      <c r="R2541" t="s">
        <v>2806</v>
      </c>
      <c r="S2541" t="s">
        <v>51</v>
      </c>
      <c r="T2541" t="s">
        <v>2806</v>
      </c>
    </row>
    <row r="2542" spans="1:20">
      <c r="A2542">
        <v>2552</v>
      </c>
      <c r="B2542" t="s">
        <v>2807</v>
      </c>
      <c r="C2542" t="s">
        <v>21</v>
      </c>
      <c r="D2542" t="s">
        <v>22</v>
      </c>
      <c r="E2542" t="s">
        <v>23</v>
      </c>
      <c r="F2542">
        <v>0</v>
      </c>
      <c r="G2542">
        <v>19</v>
      </c>
      <c r="H2542">
        <v>0</v>
      </c>
      <c r="I2542" t="s">
        <v>24</v>
      </c>
      <c r="J2542" t="s">
        <v>25</v>
      </c>
      <c r="K2542">
        <v>0</v>
      </c>
      <c r="L2542">
        <v>0</v>
      </c>
      <c r="M2542" t="s">
        <v>25</v>
      </c>
      <c r="N2542" t="s">
        <v>25</v>
      </c>
      <c r="O2542" t="s">
        <v>26</v>
      </c>
      <c r="P2542" t="s">
        <v>25</v>
      </c>
      <c r="Q2542" t="s">
        <v>51</v>
      </c>
      <c r="R2542" t="s">
        <v>2808</v>
      </c>
    </row>
    <row r="2543" spans="1:20">
      <c r="A2543">
        <v>2553</v>
      </c>
      <c r="B2543" t="s">
        <v>2809</v>
      </c>
      <c r="C2543" t="s">
        <v>21</v>
      </c>
      <c r="D2543" t="s">
        <v>22</v>
      </c>
      <c r="E2543" t="s">
        <v>23</v>
      </c>
      <c r="F2543">
        <v>0</v>
      </c>
      <c r="G2543">
        <v>19</v>
      </c>
      <c r="H2543">
        <v>0</v>
      </c>
      <c r="I2543" t="s">
        <v>24</v>
      </c>
      <c r="J2543" t="s">
        <v>25</v>
      </c>
      <c r="K2543">
        <v>0</v>
      </c>
      <c r="L2543">
        <v>0</v>
      </c>
      <c r="M2543" t="s">
        <v>25</v>
      </c>
      <c r="N2543" t="s">
        <v>25</v>
      </c>
      <c r="O2543" t="s">
        <v>26</v>
      </c>
      <c r="P2543" t="s">
        <v>25</v>
      </c>
      <c r="Q2543" t="s">
        <v>51</v>
      </c>
      <c r="R2543" t="s">
        <v>2808</v>
      </c>
      <c r="S2543" t="s">
        <v>51</v>
      </c>
      <c r="T2543" t="s">
        <v>2808</v>
      </c>
    </row>
    <row r="2544" spans="1:20">
      <c r="A2544">
        <v>2554</v>
      </c>
      <c r="B2544" t="s">
        <v>2810</v>
      </c>
      <c r="C2544" t="s">
        <v>21</v>
      </c>
      <c r="D2544" t="s">
        <v>22</v>
      </c>
      <c r="E2544" t="s">
        <v>23</v>
      </c>
      <c r="F2544">
        <v>500</v>
      </c>
      <c r="G2544">
        <v>0</v>
      </c>
      <c r="H2544">
        <v>500</v>
      </c>
      <c r="I2544" t="s">
        <v>24</v>
      </c>
      <c r="J2544" t="s">
        <v>25</v>
      </c>
      <c r="K2544">
        <v>0</v>
      </c>
      <c r="L2544">
        <v>0</v>
      </c>
      <c r="M2544" t="s">
        <v>25</v>
      </c>
      <c r="N2544" t="s">
        <v>25</v>
      </c>
      <c r="O2544" t="s">
        <v>26</v>
      </c>
      <c r="P2544" t="s">
        <v>25</v>
      </c>
      <c r="Q2544" t="s">
        <v>51</v>
      </c>
      <c r="R2544" t="s">
        <v>1724</v>
      </c>
    </row>
    <row r="2545" spans="1:20">
      <c r="A2545">
        <v>2555</v>
      </c>
      <c r="B2545" t="s">
        <v>2811</v>
      </c>
      <c r="C2545" t="s">
        <v>21</v>
      </c>
      <c r="D2545" t="s">
        <v>22</v>
      </c>
      <c r="E2545" t="s">
        <v>23</v>
      </c>
      <c r="F2545">
        <v>7500</v>
      </c>
      <c r="G2545">
        <v>0</v>
      </c>
      <c r="H2545">
        <v>7500</v>
      </c>
      <c r="I2545" t="s">
        <v>24</v>
      </c>
      <c r="J2545" t="s">
        <v>25</v>
      </c>
      <c r="K2545">
        <v>0</v>
      </c>
      <c r="L2545">
        <v>0</v>
      </c>
      <c r="M2545" t="s">
        <v>25</v>
      </c>
      <c r="N2545" t="s">
        <v>25</v>
      </c>
      <c r="O2545" t="s">
        <v>26</v>
      </c>
      <c r="P2545" t="s">
        <v>25</v>
      </c>
      <c r="Q2545" t="s">
        <v>51</v>
      </c>
      <c r="R2545" t="s">
        <v>1724</v>
      </c>
    </row>
    <row r="2546" spans="1:20">
      <c r="A2546">
        <v>2556</v>
      </c>
      <c r="B2546" t="s">
        <v>2812</v>
      </c>
      <c r="C2546" t="s">
        <v>21</v>
      </c>
      <c r="D2546" t="s">
        <v>848</v>
      </c>
      <c r="E2546" t="s">
        <v>23</v>
      </c>
      <c r="F2546">
        <v>33200</v>
      </c>
      <c r="G2546">
        <v>19</v>
      </c>
      <c r="H2546">
        <v>39508</v>
      </c>
      <c r="I2546" t="s">
        <v>24</v>
      </c>
      <c r="J2546" t="s">
        <v>25</v>
      </c>
      <c r="K2546">
        <v>0</v>
      </c>
      <c r="L2546">
        <v>0</v>
      </c>
      <c r="M2546" t="s">
        <v>25</v>
      </c>
      <c r="N2546" t="s">
        <v>25</v>
      </c>
      <c r="O2546" t="s">
        <v>26</v>
      </c>
      <c r="P2546" t="s">
        <v>25</v>
      </c>
      <c r="Q2546" t="s">
        <v>51</v>
      </c>
      <c r="R2546" t="s">
        <v>2067</v>
      </c>
      <c r="S2546" t="s">
        <v>51</v>
      </c>
      <c r="T2546" t="s">
        <v>2067</v>
      </c>
    </row>
    <row r="2547" spans="1:20">
      <c r="A2547">
        <v>2557</v>
      </c>
      <c r="B2547" t="s">
        <v>2813</v>
      </c>
      <c r="C2547" t="s">
        <v>36</v>
      </c>
      <c r="D2547" t="s">
        <v>217</v>
      </c>
      <c r="E2547" t="s">
        <v>1146</v>
      </c>
      <c r="F2547">
        <v>0</v>
      </c>
      <c r="G2547">
        <v>0</v>
      </c>
      <c r="H2547">
        <v>0</v>
      </c>
      <c r="I2547" t="s">
        <v>24</v>
      </c>
      <c r="J2547" t="s">
        <v>25</v>
      </c>
      <c r="K2547">
        <v>0</v>
      </c>
      <c r="L2547">
        <v>0</v>
      </c>
      <c r="M2547" t="s">
        <v>25</v>
      </c>
      <c r="N2547" t="s">
        <v>25</v>
      </c>
      <c r="O2547" t="s">
        <v>26</v>
      </c>
      <c r="P2547" t="s">
        <v>25</v>
      </c>
      <c r="Q2547" t="s">
        <v>231</v>
      </c>
      <c r="R2547" t="s">
        <v>2814</v>
      </c>
    </row>
    <row r="2548" spans="1:20">
      <c r="A2548">
        <v>2558</v>
      </c>
      <c r="B2548" t="s">
        <v>2815</v>
      </c>
      <c r="C2548" t="s">
        <v>21</v>
      </c>
      <c r="D2548" t="s">
        <v>22</v>
      </c>
      <c r="E2548" t="s">
        <v>23</v>
      </c>
      <c r="F2548">
        <v>0</v>
      </c>
      <c r="G2548">
        <v>0</v>
      </c>
      <c r="H2548">
        <v>0</v>
      </c>
      <c r="I2548" t="s">
        <v>24</v>
      </c>
      <c r="J2548" t="s">
        <v>25</v>
      </c>
      <c r="K2548">
        <v>0</v>
      </c>
      <c r="L2548">
        <v>0</v>
      </c>
      <c r="M2548" t="s">
        <v>25</v>
      </c>
      <c r="N2548" t="s">
        <v>25</v>
      </c>
      <c r="O2548" t="s">
        <v>26</v>
      </c>
      <c r="P2548" t="s">
        <v>25</v>
      </c>
      <c r="Q2548" t="s">
        <v>51</v>
      </c>
      <c r="R2548" t="s">
        <v>2816</v>
      </c>
    </row>
    <row r="2549" spans="1:20">
      <c r="A2549">
        <v>2559</v>
      </c>
      <c r="B2549" t="s">
        <v>2817</v>
      </c>
      <c r="C2549" t="s">
        <v>21</v>
      </c>
      <c r="D2549" t="s">
        <v>22</v>
      </c>
      <c r="E2549" t="s">
        <v>23</v>
      </c>
      <c r="F2549">
        <v>139495</v>
      </c>
      <c r="G2549">
        <v>19</v>
      </c>
      <c r="H2549">
        <v>165999.04999999999</v>
      </c>
      <c r="I2549" t="s">
        <v>24</v>
      </c>
      <c r="J2549" t="s">
        <v>25</v>
      </c>
      <c r="K2549">
        <v>0</v>
      </c>
      <c r="L2549">
        <v>0</v>
      </c>
      <c r="M2549" t="s">
        <v>25</v>
      </c>
      <c r="N2549" t="s">
        <v>25</v>
      </c>
      <c r="O2549" t="s">
        <v>26</v>
      </c>
      <c r="P2549" t="s">
        <v>25</v>
      </c>
      <c r="Q2549" t="s">
        <v>51</v>
      </c>
      <c r="R2549" t="s">
        <v>804</v>
      </c>
    </row>
    <row r="2550" spans="1:20">
      <c r="A2550">
        <v>2560</v>
      </c>
      <c r="B2550" t="s">
        <v>2818</v>
      </c>
      <c r="C2550" t="s">
        <v>21</v>
      </c>
      <c r="D2550" t="s">
        <v>22</v>
      </c>
      <c r="E2550" t="s">
        <v>23</v>
      </c>
      <c r="F2550">
        <v>42017</v>
      </c>
      <c r="G2550">
        <v>19</v>
      </c>
      <c r="H2550">
        <v>50000.23</v>
      </c>
      <c r="I2550" t="s">
        <v>24</v>
      </c>
      <c r="J2550" t="s">
        <v>25</v>
      </c>
      <c r="K2550">
        <v>0</v>
      </c>
      <c r="L2550">
        <v>0</v>
      </c>
      <c r="M2550" t="s">
        <v>25</v>
      </c>
      <c r="N2550" t="s">
        <v>25</v>
      </c>
      <c r="O2550" t="s">
        <v>26</v>
      </c>
      <c r="P2550" t="s">
        <v>25</v>
      </c>
      <c r="Q2550" t="s">
        <v>51</v>
      </c>
      <c r="R2550" t="s">
        <v>2819</v>
      </c>
    </row>
    <row r="2551" spans="1:20">
      <c r="A2551">
        <v>2561</v>
      </c>
      <c r="B2551" t="s">
        <v>2820</v>
      </c>
      <c r="C2551" t="s">
        <v>102</v>
      </c>
      <c r="D2551" t="s">
        <v>22</v>
      </c>
      <c r="E2551" t="s">
        <v>23</v>
      </c>
      <c r="F2551">
        <v>0</v>
      </c>
      <c r="G2551">
        <v>19</v>
      </c>
      <c r="H2551">
        <v>0</v>
      </c>
      <c r="I2551" t="s">
        <v>24</v>
      </c>
      <c r="J2551" t="s">
        <v>25</v>
      </c>
      <c r="K2551">
        <v>0</v>
      </c>
      <c r="L2551">
        <v>0</v>
      </c>
      <c r="M2551" t="s">
        <v>25</v>
      </c>
      <c r="N2551" t="s">
        <v>25</v>
      </c>
      <c r="O2551" t="s">
        <v>26</v>
      </c>
      <c r="P2551" t="s">
        <v>25</v>
      </c>
      <c r="Q2551" t="s">
        <v>27</v>
      </c>
      <c r="R2551" t="s">
        <v>2821</v>
      </c>
    </row>
    <row r="2552" spans="1:20">
      <c r="A2552">
        <v>2562</v>
      </c>
      <c r="B2552" t="s">
        <v>2822</v>
      </c>
      <c r="C2552" t="s">
        <v>102</v>
      </c>
      <c r="D2552" t="s">
        <v>22</v>
      </c>
      <c r="E2552" t="s">
        <v>1990</v>
      </c>
      <c r="F2552">
        <v>0</v>
      </c>
      <c r="G2552">
        <v>0</v>
      </c>
      <c r="H2552">
        <v>0</v>
      </c>
      <c r="I2552" t="s">
        <v>24</v>
      </c>
      <c r="J2552" t="s">
        <v>25</v>
      </c>
      <c r="K2552">
        <v>0</v>
      </c>
      <c r="L2552">
        <v>0</v>
      </c>
      <c r="M2552" t="s">
        <v>25</v>
      </c>
      <c r="N2552" t="s">
        <v>25</v>
      </c>
      <c r="O2552" t="s">
        <v>26</v>
      </c>
      <c r="P2552" t="s">
        <v>25</v>
      </c>
      <c r="Q2552" t="s">
        <v>231</v>
      </c>
      <c r="R2552" t="s">
        <v>2823</v>
      </c>
    </row>
    <row r="2553" spans="1:20">
      <c r="A2553">
        <v>2563</v>
      </c>
      <c r="B2553" t="s">
        <v>2824</v>
      </c>
      <c r="C2553" t="s">
        <v>21</v>
      </c>
      <c r="D2553" t="s">
        <v>22</v>
      </c>
      <c r="E2553" t="s">
        <v>23</v>
      </c>
      <c r="F2553">
        <v>148000</v>
      </c>
      <c r="G2553">
        <v>19</v>
      </c>
      <c r="H2553">
        <v>176120</v>
      </c>
      <c r="I2553" t="s">
        <v>24</v>
      </c>
      <c r="J2553" t="s">
        <v>25</v>
      </c>
      <c r="K2553">
        <v>0</v>
      </c>
      <c r="L2553">
        <v>0</v>
      </c>
      <c r="M2553" t="s">
        <v>25</v>
      </c>
      <c r="N2553" t="s">
        <v>25</v>
      </c>
      <c r="O2553" t="s">
        <v>26</v>
      </c>
      <c r="P2553" t="s">
        <v>25</v>
      </c>
      <c r="Q2553" t="s">
        <v>51</v>
      </c>
      <c r="R2553" t="s">
        <v>2823</v>
      </c>
    </row>
    <row r="2554" spans="1:20">
      <c r="A2554">
        <v>2564</v>
      </c>
      <c r="B2554" t="s">
        <v>2825</v>
      </c>
      <c r="C2554" t="s">
        <v>21</v>
      </c>
      <c r="D2554" t="s">
        <v>22</v>
      </c>
      <c r="E2554" t="s">
        <v>23</v>
      </c>
      <c r="F2554">
        <v>96692</v>
      </c>
      <c r="G2554">
        <v>19</v>
      </c>
      <c r="H2554">
        <v>115063.48</v>
      </c>
      <c r="I2554" t="s">
        <v>24</v>
      </c>
      <c r="J2554" t="s">
        <v>25</v>
      </c>
      <c r="K2554">
        <v>0</v>
      </c>
      <c r="L2554">
        <v>0</v>
      </c>
      <c r="M2554" t="s">
        <v>25</v>
      </c>
      <c r="N2554" t="s">
        <v>25</v>
      </c>
      <c r="O2554" t="s">
        <v>26</v>
      </c>
      <c r="P2554" t="s">
        <v>25</v>
      </c>
      <c r="Q2554" t="s">
        <v>51</v>
      </c>
      <c r="R2554" t="s">
        <v>731</v>
      </c>
      <c r="S2554" t="s">
        <v>51</v>
      </c>
      <c r="T2554" t="s">
        <v>731</v>
      </c>
    </row>
    <row r="2555" spans="1:20">
      <c r="A2555">
        <v>2565</v>
      </c>
      <c r="B2555" t="s">
        <v>2826</v>
      </c>
      <c r="C2555" t="s">
        <v>21</v>
      </c>
      <c r="D2555" t="s">
        <v>22</v>
      </c>
      <c r="E2555" t="s">
        <v>23</v>
      </c>
      <c r="F2555">
        <v>99931</v>
      </c>
      <c r="G2555">
        <v>19</v>
      </c>
      <c r="H2555">
        <v>118917.89</v>
      </c>
      <c r="I2555" t="s">
        <v>24</v>
      </c>
      <c r="J2555" t="s">
        <v>25</v>
      </c>
      <c r="K2555">
        <v>0</v>
      </c>
      <c r="L2555">
        <v>0</v>
      </c>
      <c r="M2555" t="s">
        <v>25</v>
      </c>
      <c r="N2555" t="s">
        <v>25</v>
      </c>
      <c r="O2555" t="s">
        <v>26</v>
      </c>
      <c r="P2555" t="s">
        <v>25</v>
      </c>
      <c r="Q2555" t="s">
        <v>51</v>
      </c>
      <c r="R2555" t="s">
        <v>2827</v>
      </c>
    </row>
    <row r="2556" spans="1:20">
      <c r="A2556">
        <v>2566</v>
      </c>
      <c r="B2556" t="s">
        <v>2828</v>
      </c>
      <c r="C2556" t="s">
        <v>36</v>
      </c>
      <c r="D2556" t="s">
        <v>22</v>
      </c>
      <c r="E2556" t="s">
        <v>2783</v>
      </c>
      <c r="F2556">
        <v>0</v>
      </c>
      <c r="G2556">
        <v>0</v>
      </c>
      <c r="H2556">
        <v>0</v>
      </c>
      <c r="I2556" t="s">
        <v>24</v>
      </c>
      <c r="J2556" t="s">
        <v>25</v>
      </c>
      <c r="K2556">
        <v>0</v>
      </c>
      <c r="L2556">
        <v>0</v>
      </c>
      <c r="M2556" t="s">
        <v>25</v>
      </c>
      <c r="N2556" t="s">
        <v>25</v>
      </c>
      <c r="O2556" t="s">
        <v>26</v>
      </c>
      <c r="P2556" t="s">
        <v>25</v>
      </c>
      <c r="Q2556" t="s">
        <v>231</v>
      </c>
      <c r="R2556" t="s">
        <v>2829</v>
      </c>
    </row>
    <row r="2557" spans="1:20">
      <c r="A2557">
        <v>2567</v>
      </c>
      <c r="B2557" t="s">
        <v>2830</v>
      </c>
      <c r="C2557" t="s">
        <v>102</v>
      </c>
      <c r="D2557" t="s">
        <v>22</v>
      </c>
      <c r="E2557" t="s">
        <v>2783</v>
      </c>
      <c r="F2557">
        <v>0</v>
      </c>
      <c r="G2557">
        <v>0</v>
      </c>
      <c r="H2557">
        <v>0</v>
      </c>
      <c r="I2557" t="s">
        <v>24</v>
      </c>
      <c r="J2557" t="s">
        <v>25</v>
      </c>
      <c r="K2557">
        <v>0</v>
      </c>
      <c r="L2557">
        <v>0</v>
      </c>
      <c r="M2557" t="s">
        <v>25</v>
      </c>
      <c r="N2557" t="s">
        <v>25</v>
      </c>
      <c r="O2557" t="s">
        <v>26</v>
      </c>
      <c r="P2557" t="s">
        <v>25</v>
      </c>
      <c r="Q2557" t="s">
        <v>231</v>
      </c>
      <c r="R2557" t="s">
        <v>2829</v>
      </c>
    </row>
    <row r="2558" spans="1:20">
      <c r="A2558">
        <v>2568</v>
      </c>
      <c r="B2558" t="s">
        <v>2831</v>
      </c>
      <c r="C2558" t="s">
        <v>36</v>
      </c>
      <c r="D2558" t="s">
        <v>22</v>
      </c>
      <c r="E2558" t="s">
        <v>2783</v>
      </c>
      <c r="F2558">
        <v>0</v>
      </c>
      <c r="G2558">
        <v>0</v>
      </c>
      <c r="H2558">
        <v>0</v>
      </c>
      <c r="I2558" t="s">
        <v>24</v>
      </c>
      <c r="J2558" t="s">
        <v>25</v>
      </c>
      <c r="K2558">
        <v>0</v>
      </c>
      <c r="L2558">
        <v>0</v>
      </c>
      <c r="M2558" t="s">
        <v>25</v>
      </c>
      <c r="N2558" t="s">
        <v>25</v>
      </c>
      <c r="O2558" t="s">
        <v>26</v>
      </c>
      <c r="P2558" t="s">
        <v>25</v>
      </c>
      <c r="Q2558" t="s">
        <v>231</v>
      </c>
      <c r="R2558" t="s">
        <v>2829</v>
      </c>
    </row>
    <row r="2559" spans="1:20">
      <c r="A2559">
        <v>2569</v>
      </c>
      <c r="B2559" t="s">
        <v>2832</v>
      </c>
      <c r="C2559" t="s">
        <v>21</v>
      </c>
      <c r="D2559" t="s">
        <v>22</v>
      </c>
      <c r="E2559" t="s">
        <v>23</v>
      </c>
      <c r="F2559">
        <v>29411</v>
      </c>
      <c r="G2559">
        <v>19</v>
      </c>
      <c r="H2559">
        <v>34999.089999999997</v>
      </c>
      <c r="I2559" t="s">
        <v>24</v>
      </c>
      <c r="J2559" t="s">
        <v>25</v>
      </c>
      <c r="K2559">
        <v>0</v>
      </c>
      <c r="L2559">
        <v>0</v>
      </c>
      <c r="M2559" t="s">
        <v>25</v>
      </c>
      <c r="N2559" t="s">
        <v>25</v>
      </c>
      <c r="O2559" t="s">
        <v>26</v>
      </c>
      <c r="P2559" t="s">
        <v>25</v>
      </c>
      <c r="Q2559" t="s">
        <v>51</v>
      </c>
      <c r="R2559" t="s">
        <v>1802</v>
      </c>
    </row>
    <row r="2560" spans="1:20">
      <c r="A2560">
        <v>2570</v>
      </c>
      <c r="B2560" t="s">
        <v>2833</v>
      </c>
      <c r="C2560" t="s">
        <v>21</v>
      </c>
      <c r="D2560" t="s">
        <v>22</v>
      </c>
      <c r="E2560" t="s">
        <v>23</v>
      </c>
      <c r="F2560">
        <v>12605</v>
      </c>
      <c r="G2560">
        <v>19</v>
      </c>
      <c r="H2560">
        <v>14999.95</v>
      </c>
      <c r="I2560" t="s">
        <v>24</v>
      </c>
      <c r="J2560" t="s">
        <v>25</v>
      </c>
      <c r="K2560">
        <v>0</v>
      </c>
      <c r="L2560">
        <v>0</v>
      </c>
      <c r="M2560" t="s">
        <v>25</v>
      </c>
      <c r="N2560" t="s">
        <v>25</v>
      </c>
      <c r="O2560" t="s">
        <v>26</v>
      </c>
      <c r="P2560" t="s">
        <v>25</v>
      </c>
      <c r="Q2560" t="s">
        <v>51</v>
      </c>
      <c r="R2560" t="s">
        <v>1802</v>
      </c>
      <c r="S2560" t="s">
        <v>51</v>
      </c>
      <c r="T2560" t="s">
        <v>1802</v>
      </c>
    </row>
    <row r="2561" spans="1:20">
      <c r="A2561">
        <v>2571</v>
      </c>
      <c r="B2561" t="s">
        <v>2834</v>
      </c>
      <c r="C2561" t="s">
        <v>320</v>
      </c>
      <c r="D2561" t="s">
        <v>217</v>
      </c>
      <c r="E2561" t="s">
        <v>321</v>
      </c>
      <c r="F2561">
        <v>0</v>
      </c>
      <c r="G2561">
        <v>0</v>
      </c>
      <c r="H2561">
        <v>0</v>
      </c>
      <c r="I2561" t="s">
        <v>24</v>
      </c>
      <c r="J2561" t="s">
        <v>25</v>
      </c>
      <c r="K2561">
        <v>0</v>
      </c>
      <c r="L2561">
        <v>0</v>
      </c>
      <c r="M2561" t="s">
        <v>25</v>
      </c>
      <c r="N2561" t="s">
        <v>25</v>
      </c>
      <c r="O2561" t="s">
        <v>26</v>
      </c>
      <c r="P2561" t="s">
        <v>25</v>
      </c>
      <c r="Q2561" t="s">
        <v>231</v>
      </c>
      <c r="R2561" t="s">
        <v>2835</v>
      </c>
    </row>
    <row r="2562" spans="1:20">
      <c r="A2562">
        <v>2572</v>
      </c>
      <c r="B2562" t="s">
        <v>2836</v>
      </c>
      <c r="C2562" t="s">
        <v>247</v>
      </c>
      <c r="D2562" t="s">
        <v>283</v>
      </c>
      <c r="E2562" t="s">
        <v>2332</v>
      </c>
      <c r="F2562">
        <v>32500</v>
      </c>
      <c r="G2562">
        <v>0</v>
      </c>
      <c r="H2562">
        <v>32500</v>
      </c>
      <c r="I2562" t="s">
        <v>24</v>
      </c>
      <c r="J2562" t="s">
        <v>25</v>
      </c>
      <c r="K2562">
        <v>0</v>
      </c>
      <c r="L2562">
        <v>0</v>
      </c>
      <c r="M2562" t="s">
        <v>25</v>
      </c>
      <c r="N2562" t="s">
        <v>25</v>
      </c>
      <c r="O2562" t="s">
        <v>26</v>
      </c>
      <c r="P2562" t="s">
        <v>25</v>
      </c>
      <c r="Q2562" t="s">
        <v>51</v>
      </c>
      <c r="R2562" t="s">
        <v>2837</v>
      </c>
    </row>
    <row r="2563" spans="1:20">
      <c r="A2563">
        <v>2573</v>
      </c>
      <c r="B2563" t="s">
        <v>2838</v>
      </c>
      <c r="C2563" t="s">
        <v>247</v>
      </c>
      <c r="D2563" t="s">
        <v>283</v>
      </c>
      <c r="E2563" t="s">
        <v>2332</v>
      </c>
      <c r="F2563">
        <v>28917</v>
      </c>
      <c r="G2563">
        <v>0</v>
      </c>
      <c r="H2563">
        <v>28917</v>
      </c>
      <c r="I2563" t="s">
        <v>24</v>
      </c>
      <c r="J2563" t="s">
        <v>25</v>
      </c>
      <c r="K2563">
        <v>0</v>
      </c>
      <c r="L2563">
        <v>0</v>
      </c>
      <c r="M2563" t="s">
        <v>25</v>
      </c>
      <c r="N2563" t="s">
        <v>25</v>
      </c>
      <c r="O2563" t="s">
        <v>26</v>
      </c>
      <c r="P2563" t="s">
        <v>25</v>
      </c>
      <c r="Q2563" t="s">
        <v>51</v>
      </c>
      <c r="R2563" t="s">
        <v>2837</v>
      </c>
    </row>
    <row r="2564" spans="1:20">
      <c r="A2564">
        <v>2574</v>
      </c>
      <c r="B2564" t="s">
        <v>2839</v>
      </c>
      <c r="C2564" t="s">
        <v>21</v>
      </c>
      <c r="D2564" t="s">
        <v>283</v>
      </c>
      <c r="E2564" t="s">
        <v>2332</v>
      </c>
      <c r="F2564">
        <v>22083</v>
      </c>
      <c r="G2564">
        <v>0</v>
      </c>
      <c r="H2564">
        <v>22083</v>
      </c>
      <c r="I2564" t="s">
        <v>24</v>
      </c>
      <c r="J2564" t="s">
        <v>25</v>
      </c>
      <c r="K2564">
        <v>0</v>
      </c>
      <c r="L2564">
        <v>0</v>
      </c>
      <c r="M2564" t="s">
        <v>25</v>
      </c>
      <c r="N2564" t="s">
        <v>25</v>
      </c>
      <c r="O2564" t="s">
        <v>26</v>
      </c>
      <c r="P2564" t="s">
        <v>25</v>
      </c>
      <c r="Q2564" t="s">
        <v>51</v>
      </c>
      <c r="R2564" t="s">
        <v>2837</v>
      </c>
    </row>
    <row r="2565" spans="1:20">
      <c r="A2565">
        <v>2575</v>
      </c>
      <c r="B2565" t="s">
        <v>2840</v>
      </c>
      <c r="C2565" t="s">
        <v>247</v>
      </c>
      <c r="D2565" t="s">
        <v>2841</v>
      </c>
      <c r="E2565" t="s">
        <v>2332</v>
      </c>
      <c r="F2565">
        <v>270000</v>
      </c>
      <c r="G2565">
        <v>0</v>
      </c>
      <c r="H2565">
        <v>270000</v>
      </c>
      <c r="I2565" t="s">
        <v>24</v>
      </c>
      <c r="J2565" t="s">
        <v>25</v>
      </c>
      <c r="K2565">
        <v>0</v>
      </c>
      <c r="L2565">
        <v>0</v>
      </c>
      <c r="M2565" t="s">
        <v>25</v>
      </c>
      <c r="N2565" t="s">
        <v>25</v>
      </c>
      <c r="O2565" t="s">
        <v>26</v>
      </c>
      <c r="P2565" t="s">
        <v>25</v>
      </c>
      <c r="Q2565" t="s">
        <v>51</v>
      </c>
      <c r="R2565" t="s">
        <v>2842</v>
      </c>
    </row>
    <row r="2566" spans="1:20">
      <c r="A2566">
        <v>2576</v>
      </c>
      <c r="B2566" t="s">
        <v>2843</v>
      </c>
      <c r="C2566" t="s">
        <v>247</v>
      </c>
      <c r="D2566" t="s">
        <v>2841</v>
      </c>
      <c r="E2566" t="s">
        <v>2332</v>
      </c>
      <c r="F2566">
        <v>24000</v>
      </c>
      <c r="G2566">
        <v>0</v>
      </c>
      <c r="H2566">
        <v>24000</v>
      </c>
      <c r="I2566" t="s">
        <v>24</v>
      </c>
      <c r="J2566" t="s">
        <v>25</v>
      </c>
      <c r="K2566">
        <v>0</v>
      </c>
      <c r="L2566">
        <v>0</v>
      </c>
      <c r="M2566" t="s">
        <v>25</v>
      </c>
      <c r="N2566" t="s">
        <v>25</v>
      </c>
      <c r="O2566" t="s">
        <v>26</v>
      </c>
      <c r="P2566" t="s">
        <v>25</v>
      </c>
      <c r="Q2566" t="s">
        <v>51</v>
      </c>
      <c r="R2566" t="s">
        <v>2842</v>
      </c>
    </row>
    <row r="2567" spans="1:20">
      <c r="A2567">
        <v>2577</v>
      </c>
      <c r="B2567" t="s">
        <v>2844</v>
      </c>
      <c r="C2567" t="s">
        <v>21</v>
      </c>
      <c r="D2567" t="s">
        <v>22</v>
      </c>
      <c r="E2567" t="s">
        <v>2332</v>
      </c>
      <c r="F2567">
        <v>22000</v>
      </c>
      <c r="G2567">
        <v>0</v>
      </c>
      <c r="H2567">
        <v>22000</v>
      </c>
      <c r="I2567" t="s">
        <v>24</v>
      </c>
      <c r="J2567" t="s">
        <v>25</v>
      </c>
      <c r="K2567">
        <v>0</v>
      </c>
      <c r="L2567">
        <v>0</v>
      </c>
      <c r="M2567" t="s">
        <v>25</v>
      </c>
      <c r="N2567" t="s">
        <v>25</v>
      </c>
      <c r="O2567" t="s">
        <v>26</v>
      </c>
      <c r="P2567" t="s">
        <v>25</v>
      </c>
      <c r="Q2567" t="s">
        <v>51</v>
      </c>
      <c r="R2567" t="s">
        <v>2842</v>
      </c>
    </row>
    <row r="2568" spans="1:20">
      <c r="A2568">
        <v>2578</v>
      </c>
      <c r="B2568" t="s">
        <v>2845</v>
      </c>
      <c r="C2568" t="s">
        <v>21</v>
      </c>
      <c r="D2568" t="s">
        <v>22</v>
      </c>
      <c r="E2568" t="s">
        <v>2332</v>
      </c>
      <c r="F2568">
        <v>20000</v>
      </c>
      <c r="G2568">
        <v>0</v>
      </c>
      <c r="H2568">
        <v>20000</v>
      </c>
      <c r="I2568" t="s">
        <v>24</v>
      </c>
      <c r="J2568" t="s">
        <v>25</v>
      </c>
      <c r="K2568">
        <v>0</v>
      </c>
      <c r="L2568">
        <v>0</v>
      </c>
      <c r="M2568" t="s">
        <v>25</v>
      </c>
      <c r="N2568" t="s">
        <v>25</v>
      </c>
      <c r="O2568" t="s">
        <v>26</v>
      </c>
      <c r="P2568" t="s">
        <v>25</v>
      </c>
      <c r="Q2568" t="s">
        <v>51</v>
      </c>
      <c r="R2568" t="s">
        <v>2842</v>
      </c>
    </row>
    <row r="2569" spans="1:20">
      <c r="A2569">
        <v>2579</v>
      </c>
      <c r="B2569" t="s">
        <v>2846</v>
      </c>
      <c r="C2569" t="s">
        <v>247</v>
      </c>
      <c r="D2569" t="s">
        <v>2841</v>
      </c>
      <c r="E2569" t="s">
        <v>2332</v>
      </c>
      <c r="F2569">
        <v>0</v>
      </c>
      <c r="G2569">
        <v>0</v>
      </c>
      <c r="H2569">
        <v>0</v>
      </c>
      <c r="I2569" t="s">
        <v>24</v>
      </c>
      <c r="J2569" t="s">
        <v>25</v>
      </c>
      <c r="K2569">
        <v>0</v>
      </c>
      <c r="L2569">
        <v>0</v>
      </c>
      <c r="M2569" t="s">
        <v>25</v>
      </c>
      <c r="N2569" t="s">
        <v>25</v>
      </c>
      <c r="O2569" t="s">
        <v>26</v>
      </c>
      <c r="P2569" t="s">
        <v>25</v>
      </c>
      <c r="Q2569" t="s">
        <v>51</v>
      </c>
      <c r="R2569" t="s">
        <v>2842</v>
      </c>
    </row>
    <row r="2570" spans="1:20">
      <c r="A2570">
        <v>2580</v>
      </c>
      <c r="B2570" t="s">
        <v>2847</v>
      </c>
      <c r="C2570" t="s">
        <v>247</v>
      </c>
      <c r="D2570" t="s">
        <v>22</v>
      </c>
      <c r="E2570" t="s">
        <v>2332</v>
      </c>
      <c r="F2570">
        <v>33614</v>
      </c>
      <c r="G2570">
        <v>19</v>
      </c>
      <c r="H2570">
        <v>40000.660000000003</v>
      </c>
      <c r="I2570" t="s">
        <v>24</v>
      </c>
      <c r="J2570" t="s">
        <v>25</v>
      </c>
      <c r="K2570">
        <v>0</v>
      </c>
      <c r="L2570">
        <v>0</v>
      </c>
      <c r="M2570" t="s">
        <v>25</v>
      </c>
      <c r="N2570" t="s">
        <v>25</v>
      </c>
      <c r="O2570" t="s">
        <v>26</v>
      </c>
      <c r="P2570" t="s">
        <v>25</v>
      </c>
      <c r="Q2570" t="s">
        <v>51</v>
      </c>
      <c r="R2570" t="s">
        <v>2848</v>
      </c>
    </row>
    <row r="2571" spans="1:20">
      <c r="A2571">
        <v>2581</v>
      </c>
      <c r="B2571" t="s">
        <v>2849</v>
      </c>
      <c r="C2571" t="s">
        <v>21</v>
      </c>
      <c r="D2571" t="s">
        <v>22</v>
      </c>
      <c r="E2571" t="s">
        <v>2332</v>
      </c>
      <c r="F2571">
        <v>79832</v>
      </c>
      <c r="G2571">
        <v>19</v>
      </c>
      <c r="H2571">
        <v>95000.08</v>
      </c>
      <c r="I2571" t="s">
        <v>24</v>
      </c>
      <c r="J2571" t="s">
        <v>25</v>
      </c>
      <c r="K2571">
        <v>0</v>
      </c>
      <c r="L2571">
        <v>0</v>
      </c>
      <c r="M2571" t="s">
        <v>25</v>
      </c>
      <c r="N2571" t="s">
        <v>25</v>
      </c>
      <c r="O2571" t="s">
        <v>26</v>
      </c>
      <c r="P2571" t="s">
        <v>25</v>
      </c>
      <c r="Q2571" t="s">
        <v>51</v>
      </c>
      <c r="R2571" t="s">
        <v>2848</v>
      </c>
    </row>
    <row r="2572" spans="1:20">
      <c r="A2572">
        <v>2582</v>
      </c>
      <c r="B2572" t="s">
        <v>2850</v>
      </c>
      <c r="C2572" t="s">
        <v>21</v>
      </c>
      <c r="D2572" t="s">
        <v>22</v>
      </c>
      <c r="E2572" t="s">
        <v>2332</v>
      </c>
      <c r="F2572">
        <v>29412</v>
      </c>
      <c r="G2572">
        <v>19</v>
      </c>
      <c r="H2572">
        <v>35000.28</v>
      </c>
      <c r="I2572" t="s">
        <v>24</v>
      </c>
      <c r="J2572" t="s">
        <v>25</v>
      </c>
      <c r="K2572">
        <v>0</v>
      </c>
      <c r="L2572">
        <v>0</v>
      </c>
      <c r="M2572" t="s">
        <v>25</v>
      </c>
      <c r="N2572" t="s">
        <v>25</v>
      </c>
      <c r="O2572" t="s">
        <v>26</v>
      </c>
      <c r="P2572" t="s">
        <v>25</v>
      </c>
      <c r="Q2572" t="s">
        <v>51</v>
      </c>
      <c r="R2572" t="s">
        <v>2848</v>
      </c>
    </row>
    <row r="2573" spans="1:20">
      <c r="A2573">
        <v>2583</v>
      </c>
      <c r="B2573" t="s">
        <v>2851</v>
      </c>
      <c r="C2573" t="s">
        <v>247</v>
      </c>
      <c r="D2573" t="s">
        <v>22</v>
      </c>
      <c r="E2573" t="s">
        <v>2332</v>
      </c>
      <c r="F2573">
        <v>67227</v>
      </c>
      <c r="G2573">
        <v>19</v>
      </c>
      <c r="H2573">
        <v>80000.13</v>
      </c>
      <c r="I2573" t="s">
        <v>24</v>
      </c>
      <c r="J2573" t="s">
        <v>25</v>
      </c>
      <c r="K2573">
        <v>0</v>
      </c>
      <c r="L2573">
        <v>0</v>
      </c>
      <c r="M2573" t="s">
        <v>25</v>
      </c>
      <c r="N2573" t="s">
        <v>25</v>
      </c>
      <c r="O2573" t="s">
        <v>26</v>
      </c>
      <c r="P2573" t="s">
        <v>25</v>
      </c>
      <c r="Q2573" t="s">
        <v>51</v>
      </c>
      <c r="R2573" t="s">
        <v>2848</v>
      </c>
    </row>
    <row r="2574" spans="1:20">
      <c r="A2574">
        <v>2584</v>
      </c>
      <c r="B2574" t="s">
        <v>2852</v>
      </c>
      <c r="C2574" t="s">
        <v>36</v>
      </c>
      <c r="D2574" t="s">
        <v>217</v>
      </c>
      <c r="E2574" t="s">
        <v>2853</v>
      </c>
      <c r="F2574">
        <v>0</v>
      </c>
      <c r="G2574">
        <v>0</v>
      </c>
      <c r="H2574">
        <v>0</v>
      </c>
      <c r="I2574" t="s">
        <v>24</v>
      </c>
      <c r="J2574" t="s">
        <v>25</v>
      </c>
      <c r="K2574">
        <v>0</v>
      </c>
      <c r="L2574">
        <v>0</v>
      </c>
      <c r="M2574" t="s">
        <v>25</v>
      </c>
      <c r="N2574" t="s">
        <v>25</v>
      </c>
      <c r="O2574" t="s">
        <v>26</v>
      </c>
      <c r="P2574" t="s">
        <v>25</v>
      </c>
      <c r="Q2574" t="s">
        <v>231</v>
      </c>
      <c r="R2574" t="s">
        <v>232</v>
      </c>
      <c r="S2574" t="s">
        <v>231</v>
      </c>
      <c r="T2574" t="s">
        <v>1006</v>
      </c>
    </row>
    <row r="2575" spans="1:20">
      <c r="A2575">
        <v>2585</v>
      </c>
      <c r="B2575" t="s">
        <v>2854</v>
      </c>
      <c r="C2575" t="s">
        <v>36</v>
      </c>
      <c r="D2575" t="s">
        <v>217</v>
      </c>
      <c r="E2575" t="s">
        <v>37</v>
      </c>
      <c r="F2575">
        <v>0</v>
      </c>
      <c r="G2575">
        <v>0</v>
      </c>
      <c r="H2575">
        <v>0</v>
      </c>
      <c r="I2575" t="s">
        <v>24</v>
      </c>
      <c r="J2575" t="s">
        <v>25</v>
      </c>
      <c r="K2575">
        <v>0</v>
      </c>
      <c r="L2575">
        <v>0</v>
      </c>
      <c r="M2575" t="s">
        <v>25</v>
      </c>
      <c r="N2575" t="s">
        <v>25</v>
      </c>
      <c r="O2575" t="s">
        <v>26</v>
      </c>
      <c r="P2575" t="s">
        <v>25</v>
      </c>
      <c r="Q2575" t="s">
        <v>231</v>
      </c>
      <c r="R2575" t="s">
        <v>232</v>
      </c>
    </row>
    <row r="2576" spans="1:20">
      <c r="A2576">
        <v>2586</v>
      </c>
      <c r="B2576" t="s">
        <v>2855</v>
      </c>
      <c r="C2576" t="s">
        <v>36</v>
      </c>
      <c r="D2576" t="s">
        <v>1017</v>
      </c>
      <c r="E2576" t="s">
        <v>37</v>
      </c>
      <c r="F2576">
        <v>0</v>
      </c>
      <c r="G2576">
        <v>0</v>
      </c>
      <c r="H2576">
        <v>0</v>
      </c>
      <c r="I2576" t="s">
        <v>24</v>
      </c>
      <c r="J2576" t="s">
        <v>25</v>
      </c>
      <c r="K2576">
        <v>0</v>
      </c>
      <c r="L2576">
        <v>0</v>
      </c>
      <c r="M2576" t="s">
        <v>25</v>
      </c>
      <c r="N2576" t="s">
        <v>25</v>
      </c>
      <c r="O2576" t="s">
        <v>26</v>
      </c>
      <c r="P2576" t="s">
        <v>25</v>
      </c>
      <c r="Q2576" t="s">
        <v>231</v>
      </c>
      <c r="R2576" t="s">
        <v>232</v>
      </c>
      <c r="S2576" t="s">
        <v>231</v>
      </c>
      <c r="T2576" t="s">
        <v>232</v>
      </c>
    </row>
    <row r="2577" spans="1:20">
      <c r="A2577">
        <v>2587</v>
      </c>
      <c r="B2577" t="s">
        <v>2856</v>
      </c>
      <c r="C2577" t="s">
        <v>590</v>
      </c>
      <c r="D2577" t="s">
        <v>229</v>
      </c>
      <c r="E2577" t="s">
        <v>591</v>
      </c>
      <c r="F2577">
        <v>0</v>
      </c>
      <c r="G2577">
        <v>0</v>
      </c>
      <c r="H2577">
        <v>0</v>
      </c>
      <c r="I2577" t="s">
        <v>24</v>
      </c>
      <c r="J2577" t="s">
        <v>25</v>
      </c>
      <c r="K2577">
        <v>0</v>
      </c>
      <c r="L2577">
        <v>0</v>
      </c>
      <c r="M2577" t="s">
        <v>25</v>
      </c>
      <c r="N2577" t="s">
        <v>25</v>
      </c>
      <c r="O2577" t="s">
        <v>26</v>
      </c>
      <c r="P2577" t="s">
        <v>25</v>
      </c>
      <c r="Q2577" t="s">
        <v>231</v>
      </c>
      <c r="R2577" t="s">
        <v>232</v>
      </c>
      <c r="S2577" t="s">
        <v>231</v>
      </c>
      <c r="T2577" t="s">
        <v>232</v>
      </c>
    </row>
    <row r="2578" spans="1:20">
      <c r="A2578">
        <v>2588</v>
      </c>
      <c r="B2578" t="s">
        <v>2857</v>
      </c>
      <c r="C2578" t="s">
        <v>36</v>
      </c>
      <c r="D2578" t="s">
        <v>217</v>
      </c>
      <c r="E2578" t="s">
        <v>1146</v>
      </c>
      <c r="F2578">
        <v>0</v>
      </c>
      <c r="G2578">
        <v>0</v>
      </c>
      <c r="H2578">
        <v>0</v>
      </c>
      <c r="I2578" t="s">
        <v>24</v>
      </c>
      <c r="J2578" t="s">
        <v>25</v>
      </c>
      <c r="K2578">
        <v>0</v>
      </c>
      <c r="L2578">
        <v>0</v>
      </c>
      <c r="M2578" t="s">
        <v>25</v>
      </c>
      <c r="N2578" t="s">
        <v>25</v>
      </c>
      <c r="O2578" t="s">
        <v>26</v>
      </c>
      <c r="P2578" t="s">
        <v>25</v>
      </c>
      <c r="Q2578" t="s">
        <v>231</v>
      </c>
      <c r="R2578" t="s">
        <v>1147</v>
      </c>
    </row>
    <row r="2579" spans="1:20">
      <c r="A2579">
        <v>2589</v>
      </c>
      <c r="B2579" t="s">
        <v>2858</v>
      </c>
      <c r="C2579" t="s">
        <v>36</v>
      </c>
      <c r="D2579" t="s">
        <v>217</v>
      </c>
      <c r="E2579" t="s">
        <v>1146</v>
      </c>
      <c r="F2579">
        <v>0</v>
      </c>
      <c r="G2579">
        <v>0</v>
      </c>
      <c r="H2579">
        <v>0</v>
      </c>
      <c r="I2579" t="s">
        <v>24</v>
      </c>
      <c r="J2579" t="s">
        <v>25</v>
      </c>
      <c r="K2579">
        <v>0</v>
      </c>
      <c r="L2579">
        <v>0</v>
      </c>
      <c r="M2579" t="s">
        <v>25</v>
      </c>
      <c r="N2579" t="s">
        <v>25</v>
      </c>
      <c r="O2579" t="s">
        <v>26</v>
      </c>
      <c r="P2579" t="s">
        <v>25</v>
      </c>
      <c r="Q2579" t="s">
        <v>231</v>
      </c>
      <c r="R2579" t="s">
        <v>1147</v>
      </c>
    </row>
    <row r="2580" spans="1:20">
      <c r="A2580">
        <v>2590</v>
      </c>
      <c r="B2580" t="s">
        <v>2859</v>
      </c>
      <c r="C2580" t="s">
        <v>36</v>
      </c>
      <c r="D2580" t="s">
        <v>1131</v>
      </c>
      <c r="E2580" t="s">
        <v>2860</v>
      </c>
      <c r="F2580">
        <v>0</v>
      </c>
      <c r="G2580">
        <v>0</v>
      </c>
      <c r="H2580">
        <v>0</v>
      </c>
      <c r="I2580" t="s">
        <v>24</v>
      </c>
      <c r="J2580" t="s">
        <v>25</v>
      </c>
      <c r="K2580">
        <v>0</v>
      </c>
      <c r="L2580">
        <v>0</v>
      </c>
      <c r="M2580" t="s">
        <v>25</v>
      </c>
      <c r="N2580" t="s">
        <v>25</v>
      </c>
      <c r="O2580" t="s">
        <v>26</v>
      </c>
      <c r="P2580" t="s">
        <v>25</v>
      </c>
      <c r="Q2580" t="s">
        <v>231</v>
      </c>
      <c r="R2580" t="s">
        <v>1147</v>
      </c>
      <c r="S2580" t="s">
        <v>231</v>
      </c>
      <c r="T2580" t="s">
        <v>1167</v>
      </c>
    </row>
    <row r="2581" spans="1:20">
      <c r="A2581">
        <v>2591</v>
      </c>
      <c r="B2581" t="s">
        <v>2861</v>
      </c>
      <c r="C2581" t="s">
        <v>36</v>
      </c>
      <c r="D2581" t="s">
        <v>1131</v>
      </c>
      <c r="E2581" t="s">
        <v>2860</v>
      </c>
      <c r="F2581">
        <v>0</v>
      </c>
      <c r="G2581">
        <v>0</v>
      </c>
      <c r="H2581">
        <v>0</v>
      </c>
      <c r="I2581" t="s">
        <v>24</v>
      </c>
      <c r="J2581" t="s">
        <v>25</v>
      </c>
      <c r="K2581">
        <v>0</v>
      </c>
      <c r="L2581">
        <v>0</v>
      </c>
      <c r="M2581" t="s">
        <v>25</v>
      </c>
      <c r="N2581" t="s">
        <v>25</v>
      </c>
      <c r="O2581" t="s">
        <v>26</v>
      </c>
      <c r="P2581" t="s">
        <v>25</v>
      </c>
      <c r="Q2581" t="s">
        <v>231</v>
      </c>
      <c r="R2581" t="s">
        <v>1147</v>
      </c>
      <c r="S2581" t="s">
        <v>231</v>
      </c>
      <c r="T2581" t="s">
        <v>1167</v>
      </c>
    </row>
    <row r="2582" spans="1:20">
      <c r="A2582">
        <v>2592</v>
      </c>
      <c r="B2582" t="s">
        <v>2862</v>
      </c>
      <c r="C2582" t="s">
        <v>102</v>
      </c>
      <c r="D2582" t="s">
        <v>22</v>
      </c>
      <c r="E2582" t="s">
        <v>2863</v>
      </c>
      <c r="F2582">
        <v>0</v>
      </c>
      <c r="G2582">
        <v>0</v>
      </c>
      <c r="H2582">
        <v>0</v>
      </c>
      <c r="I2582" t="s">
        <v>24</v>
      </c>
      <c r="J2582" t="s">
        <v>25</v>
      </c>
      <c r="K2582">
        <v>0</v>
      </c>
      <c r="L2582">
        <v>0</v>
      </c>
      <c r="M2582" t="s">
        <v>25</v>
      </c>
      <c r="N2582" t="s">
        <v>25</v>
      </c>
      <c r="O2582" t="s">
        <v>26</v>
      </c>
      <c r="P2582" t="s">
        <v>25</v>
      </c>
      <c r="Q2582" t="s">
        <v>231</v>
      </c>
      <c r="R2582" t="s">
        <v>1147</v>
      </c>
      <c r="S2582" t="s">
        <v>231</v>
      </c>
      <c r="T2582" t="s">
        <v>588</v>
      </c>
    </row>
    <row r="2583" spans="1:20">
      <c r="A2583">
        <v>2593</v>
      </c>
      <c r="B2583" t="s">
        <v>2864</v>
      </c>
      <c r="C2583" t="s">
        <v>102</v>
      </c>
      <c r="D2583" t="s">
        <v>22</v>
      </c>
      <c r="E2583" t="s">
        <v>23</v>
      </c>
      <c r="F2583">
        <v>0</v>
      </c>
      <c r="G2583">
        <v>0</v>
      </c>
      <c r="H2583">
        <v>0</v>
      </c>
      <c r="I2583" t="s">
        <v>24</v>
      </c>
      <c r="J2583" t="s">
        <v>25</v>
      </c>
      <c r="K2583">
        <v>0</v>
      </c>
      <c r="L2583">
        <v>0</v>
      </c>
      <c r="M2583" t="s">
        <v>25</v>
      </c>
      <c r="N2583" t="s">
        <v>25</v>
      </c>
      <c r="O2583" t="s">
        <v>26</v>
      </c>
      <c r="P2583" t="s">
        <v>25</v>
      </c>
      <c r="Q2583" t="s">
        <v>231</v>
      </c>
      <c r="R2583" t="s">
        <v>1147</v>
      </c>
    </row>
    <row r="2584" spans="1:20">
      <c r="A2584">
        <v>2594</v>
      </c>
      <c r="B2584" t="s">
        <v>2865</v>
      </c>
      <c r="C2584" t="s">
        <v>247</v>
      </c>
      <c r="D2584" t="s">
        <v>283</v>
      </c>
      <c r="E2584" t="s">
        <v>2332</v>
      </c>
      <c r="F2584">
        <v>132000</v>
      </c>
      <c r="G2584">
        <v>0</v>
      </c>
      <c r="H2584">
        <v>132000</v>
      </c>
      <c r="I2584" t="s">
        <v>24</v>
      </c>
      <c r="J2584" t="s">
        <v>25</v>
      </c>
      <c r="K2584">
        <v>0</v>
      </c>
      <c r="L2584">
        <v>0</v>
      </c>
      <c r="M2584" t="s">
        <v>25</v>
      </c>
      <c r="N2584" t="s">
        <v>25</v>
      </c>
      <c r="O2584" t="s">
        <v>26</v>
      </c>
      <c r="P2584" t="s">
        <v>25</v>
      </c>
      <c r="Q2584" t="s">
        <v>51</v>
      </c>
      <c r="R2584" t="s">
        <v>2866</v>
      </c>
    </row>
    <row r="2585" spans="1:20">
      <c r="A2585">
        <v>2595</v>
      </c>
      <c r="B2585" t="s">
        <v>2867</v>
      </c>
      <c r="C2585" t="s">
        <v>21</v>
      </c>
      <c r="D2585" t="s">
        <v>22</v>
      </c>
      <c r="E2585" t="s">
        <v>2332</v>
      </c>
      <c r="F2585">
        <v>36000</v>
      </c>
      <c r="G2585">
        <v>0</v>
      </c>
      <c r="H2585">
        <v>36000</v>
      </c>
      <c r="I2585" t="s">
        <v>24</v>
      </c>
      <c r="J2585" t="s">
        <v>25</v>
      </c>
      <c r="K2585">
        <v>0</v>
      </c>
      <c r="L2585">
        <v>0</v>
      </c>
      <c r="M2585" t="s">
        <v>25</v>
      </c>
      <c r="N2585" t="s">
        <v>25</v>
      </c>
      <c r="O2585" t="s">
        <v>26</v>
      </c>
      <c r="P2585" t="s">
        <v>25</v>
      </c>
      <c r="Q2585" t="s">
        <v>51</v>
      </c>
      <c r="R2585" t="s">
        <v>2866</v>
      </c>
    </row>
    <row r="2586" spans="1:20">
      <c r="A2586">
        <v>2596</v>
      </c>
      <c r="B2586" t="s">
        <v>2868</v>
      </c>
      <c r="C2586" t="s">
        <v>247</v>
      </c>
      <c r="D2586" t="s">
        <v>22</v>
      </c>
      <c r="E2586" t="s">
        <v>2332</v>
      </c>
      <c r="F2586">
        <v>33614</v>
      </c>
      <c r="G2586">
        <v>19</v>
      </c>
      <c r="H2586">
        <v>40000.660000000003</v>
      </c>
      <c r="I2586" t="s">
        <v>24</v>
      </c>
      <c r="J2586" t="s">
        <v>25</v>
      </c>
      <c r="K2586">
        <v>0</v>
      </c>
      <c r="L2586">
        <v>0</v>
      </c>
      <c r="M2586" t="s">
        <v>25</v>
      </c>
      <c r="N2586" t="s">
        <v>25</v>
      </c>
      <c r="O2586" t="s">
        <v>26</v>
      </c>
      <c r="P2586" t="s">
        <v>25</v>
      </c>
      <c r="Q2586" t="s">
        <v>51</v>
      </c>
      <c r="R2586" t="s">
        <v>2866</v>
      </c>
    </row>
    <row r="2587" spans="1:20">
      <c r="A2587">
        <v>2597</v>
      </c>
      <c r="B2587" t="s">
        <v>2869</v>
      </c>
      <c r="C2587" t="s">
        <v>21</v>
      </c>
      <c r="D2587" t="s">
        <v>22</v>
      </c>
      <c r="E2587" t="s">
        <v>2332</v>
      </c>
      <c r="F2587">
        <v>110000</v>
      </c>
      <c r="G2587">
        <v>0</v>
      </c>
      <c r="H2587">
        <v>110000</v>
      </c>
      <c r="I2587" t="s">
        <v>24</v>
      </c>
      <c r="J2587" t="s">
        <v>25</v>
      </c>
      <c r="K2587">
        <v>0</v>
      </c>
      <c r="L2587">
        <v>0</v>
      </c>
      <c r="M2587" t="s">
        <v>25</v>
      </c>
      <c r="N2587" t="s">
        <v>25</v>
      </c>
      <c r="O2587" t="s">
        <v>26</v>
      </c>
      <c r="P2587" t="s">
        <v>25</v>
      </c>
      <c r="Q2587" t="s">
        <v>51</v>
      </c>
      <c r="R2587" t="s">
        <v>2866</v>
      </c>
    </row>
    <row r="2588" spans="1:20">
      <c r="A2588">
        <v>2598</v>
      </c>
      <c r="B2588" t="s">
        <v>2870</v>
      </c>
      <c r="C2588" t="s">
        <v>21</v>
      </c>
      <c r="D2588" t="s">
        <v>22</v>
      </c>
      <c r="E2588" t="s">
        <v>2332</v>
      </c>
      <c r="F2588">
        <v>510000</v>
      </c>
      <c r="G2588">
        <v>0</v>
      </c>
      <c r="H2588">
        <v>510000</v>
      </c>
      <c r="I2588" t="s">
        <v>24</v>
      </c>
      <c r="J2588" t="s">
        <v>25</v>
      </c>
      <c r="K2588">
        <v>0</v>
      </c>
      <c r="L2588">
        <v>0</v>
      </c>
      <c r="M2588" t="s">
        <v>25</v>
      </c>
      <c r="N2588" t="s">
        <v>25</v>
      </c>
      <c r="O2588" t="s">
        <v>26</v>
      </c>
      <c r="P2588" t="s">
        <v>25</v>
      </c>
      <c r="Q2588" t="s">
        <v>51</v>
      </c>
      <c r="R2588" t="s">
        <v>2866</v>
      </c>
    </row>
    <row r="2589" spans="1:20">
      <c r="A2589">
        <v>2599</v>
      </c>
      <c r="B2589" t="s">
        <v>2871</v>
      </c>
      <c r="C2589" t="s">
        <v>247</v>
      </c>
      <c r="D2589" t="s">
        <v>22</v>
      </c>
      <c r="E2589" t="s">
        <v>2332</v>
      </c>
      <c r="F2589">
        <v>630000</v>
      </c>
      <c r="G2589">
        <v>0</v>
      </c>
      <c r="H2589">
        <v>630000</v>
      </c>
      <c r="I2589" t="s">
        <v>24</v>
      </c>
      <c r="J2589" t="s">
        <v>25</v>
      </c>
      <c r="K2589">
        <v>0</v>
      </c>
      <c r="L2589">
        <v>0</v>
      </c>
      <c r="M2589" t="s">
        <v>25</v>
      </c>
      <c r="N2589" t="s">
        <v>25</v>
      </c>
      <c r="O2589" t="s">
        <v>26</v>
      </c>
      <c r="P2589" t="s">
        <v>25</v>
      </c>
      <c r="Q2589" t="s">
        <v>51</v>
      </c>
      <c r="R2589" t="s">
        <v>2866</v>
      </c>
    </row>
    <row r="2590" spans="1:20">
      <c r="A2590">
        <v>2600</v>
      </c>
      <c r="B2590" t="s">
        <v>2872</v>
      </c>
      <c r="C2590" t="s">
        <v>247</v>
      </c>
      <c r="D2590" t="s">
        <v>22</v>
      </c>
      <c r="E2590" t="s">
        <v>2332</v>
      </c>
      <c r="F2590">
        <v>28560</v>
      </c>
      <c r="G2590">
        <v>0</v>
      </c>
      <c r="H2590">
        <v>28560</v>
      </c>
      <c r="I2590" t="s">
        <v>24</v>
      </c>
      <c r="J2590" t="s">
        <v>25</v>
      </c>
      <c r="K2590">
        <v>0</v>
      </c>
      <c r="L2590">
        <v>0</v>
      </c>
      <c r="M2590" t="s">
        <v>25</v>
      </c>
      <c r="N2590" t="s">
        <v>25</v>
      </c>
      <c r="O2590" t="s">
        <v>26</v>
      </c>
      <c r="P2590" t="s">
        <v>25</v>
      </c>
      <c r="Q2590" t="s">
        <v>51</v>
      </c>
      <c r="R2590" t="s">
        <v>2873</v>
      </c>
    </row>
    <row r="2591" spans="1:20">
      <c r="A2591">
        <v>2601</v>
      </c>
      <c r="B2591" t="s">
        <v>2874</v>
      </c>
      <c r="C2591" t="s">
        <v>21</v>
      </c>
      <c r="D2591" t="s">
        <v>22</v>
      </c>
      <c r="E2591" t="s">
        <v>2332</v>
      </c>
      <c r="F2591">
        <v>357238</v>
      </c>
      <c r="G2591">
        <v>0</v>
      </c>
      <c r="H2591">
        <v>357238</v>
      </c>
      <c r="I2591" t="s">
        <v>24</v>
      </c>
      <c r="J2591" t="s">
        <v>25</v>
      </c>
      <c r="K2591">
        <v>0</v>
      </c>
      <c r="L2591">
        <v>0</v>
      </c>
      <c r="M2591" t="s">
        <v>25</v>
      </c>
      <c r="N2591" t="s">
        <v>25</v>
      </c>
      <c r="O2591" t="s">
        <v>26</v>
      </c>
      <c r="P2591" t="s">
        <v>25</v>
      </c>
      <c r="Q2591" t="s">
        <v>51</v>
      </c>
      <c r="R2591" t="s">
        <v>2873</v>
      </c>
    </row>
    <row r="2592" spans="1:20">
      <c r="A2592">
        <v>2602</v>
      </c>
      <c r="B2592" t="s">
        <v>2875</v>
      </c>
      <c r="C2592" t="s">
        <v>21</v>
      </c>
      <c r="D2592" t="s">
        <v>1131</v>
      </c>
      <c r="E2592" t="s">
        <v>2332</v>
      </c>
      <c r="F2592">
        <v>367591</v>
      </c>
      <c r="G2592">
        <v>0</v>
      </c>
      <c r="H2592">
        <v>367591</v>
      </c>
      <c r="I2592" t="s">
        <v>24</v>
      </c>
      <c r="J2592" t="s">
        <v>25</v>
      </c>
      <c r="K2592">
        <v>0</v>
      </c>
      <c r="L2592">
        <v>0</v>
      </c>
      <c r="M2592" t="s">
        <v>25</v>
      </c>
      <c r="N2592" t="s">
        <v>25</v>
      </c>
      <c r="O2592" t="s">
        <v>26</v>
      </c>
      <c r="P2592" t="s">
        <v>25</v>
      </c>
      <c r="Q2592" t="s">
        <v>51</v>
      </c>
      <c r="R2592" t="s">
        <v>2873</v>
      </c>
    </row>
    <row r="2593" spans="1:20">
      <c r="A2593">
        <v>2603</v>
      </c>
      <c r="B2593" t="s">
        <v>2876</v>
      </c>
      <c r="C2593" t="s">
        <v>247</v>
      </c>
      <c r="D2593" t="s">
        <v>2841</v>
      </c>
      <c r="E2593" t="s">
        <v>2332</v>
      </c>
      <c r="F2593">
        <v>367591</v>
      </c>
      <c r="G2593">
        <v>0</v>
      </c>
      <c r="H2593">
        <v>367591</v>
      </c>
      <c r="I2593" t="s">
        <v>24</v>
      </c>
      <c r="J2593" t="s">
        <v>25</v>
      </c>
      <c r="K2593">
        <v>0</v>
      </c>
      <c r="L2593">
        <v>0</v>
      </c>
      <c r="M2593" t="s">
        <v>25</v>
      </c>
      <c r="N2593" t="s">
        <v>25</v>
      </c>
      <c r="O2593" t="s">
        <v>26</v>
      </c>
      <c r="P2593" t="s">
        <v>25</v>
      </c>
      <c r="Q2593" t="s">
        <v>51</v>
      </c>
      <c r="R2593" t="s">
        <v>2873</v>
      </c>
    </row>
    <row r="2594" spans="1:20">
      <c r="A2594">
        <v>2604</v>
      </c>
      <c r="B2594" t="s">
        <v>2877</v>
      </c>
      <c r="C2594" t="s">
        <v>21</v>
      </c>
      <c r="D2594" t="s">
        <v>22</v>
      </c>
      <c r="E2594" t="s">
        <v>2332</v>
      </c>
      <c r="F2594">
        <v>20230</v>
      </c>
      <c r="G2594">
        <v>0</v>
      </c>
      <c r="H2594">
        <v>20230</v>
      </c>
      <c r="I2594" t="s">
        <v>24</v>
      </c>
      <c r="J2594" t="s">
        <v>25</v>
      </c>
      <c r="K2594">
        <v>0</v>
      </c>
      <c r="L2594">
        <v>0</v>
      </c>
      <c r="M2594" t="s">
        <v>25</v>
      </c>
      <c r="N2594" t="s">
        <v>25</v>
      </c>
      <c r="O2594" t="s">
        <v>26</v>
      </c>
      <c r="P2594" t="s">
        <v>25</v>
      </c>
      <c r="Q2594" t="s">
        <v>51</v>
      </c>
      <c r="R2594" t="s">
        <v>2873</v>
      </c>
    </row>
    <row r="2595" spans="1:20">
      <c r="A2595">
        <v>2605</v>
      </c>
      <c r="B2595" t="s">
        <v>2878</v>
      </c>
      <c r="C2595" t="s">
        <v>21</v>
      </c>
      <c r="D2595" t="s">
        <v>22</v>
      </c>
      <c r="E2595" t="s">
        <v>2332</v>
      </c>
      <c r="F2595">
        <v>1428000</v>
      </c>
      <c r="G2595">
        <v>0</v>
      </c>
      <c r="H2595">
        <v>1428000</v>
      </c>
      <c r="I2595" t="s">
        <v>24</v>
      </c>
      <c r="J2595" t="s">
        <v>25</v>
      </c>
      <c r="K2595">
        <v>0</v>
      </c>
      <c r="L2595">
        <v>0</v>
      </c>
      <c r="M2595" t="s">
        <v>25</v>
      </c>
      <c r="N2595" t="s">
        <v>25</v>
      </c>
      <c r="O2595" t="s">
        <v>26</v>
      </c>
      <c r="P2595" t="s">
        <v>25</v>
      </c>
      <c r="Q2595" t="s">
        <v>51</v>
      </c>
      <c r="R2595" t="s">
        <v>2873</v>
      </c>
    </row>
    <row r="2596" spans="1:20">
      <c r="A2596">
        <v>2606</v>
      </c>
      <c r="B2596" t="s">
        <v>2879</v>
      </c>
      <c r="C2596" t="s">
        <v>36</v>
      </c>
      <c r="D2596" t="s">
        <v>1131</v>
      </c>
      <c r="E2596" t="s">
        <v>2880</v>
      </c>
      <c r="F2596">
        <v>0</v>
      </c>
      <c r="G2596">
        <v>0</v>
      </c>
      <c r="H2596">
        <v>0</v>
      </c>
      <c r="I2596" t="s">
        <v>24</v>
      </c>
      <c r="J2596" t="s">
        <v>25</v>
      </c>
      <c r="K2596">
        <v>0</v>
      </c>
      <c r="L2596">
        <v>0</v>
      </c>
      <c r="M2596" t="s">
        <v>25</v>
      </c>
      <c r="N2596" t="s">
        <v>25</v>
      </c>
      <c r="O2596" t="s">
        <v>26</v>
      </c>
      <c r="P2596" t="s">
        <v>25</v>
      </c>
      <c r="Q2596" t="s">
        <v>231</v>
      </c>
      <c r="R2596" t="s">
        <v>2873</v>
      </c>
      <c r="S2596" t="s">
        <v>231</v>
      </c>
      <c r="T2596" t="s">
        <v>1167</v>
      </c>
    </row>
    <row r="2597" spans="1:20">
      <c r="A2597">
        <v>2607</v>
      </c>
      <c r="B2597" t="s">
        <v>2881</v>
      </c>
      <c r="C2597" t="s">
        <v>36</v>
      </c>
      <c r="D2597" t="s">
        <v>1131</v>
      </c>
      <c r="E2597" t="s">
        <v>2880</v>
      </c>
      <c r="F2597">
        <v>0</v>
      </c>
      <c r="G2597">
        <v>0</v>
      </c>
      <c r="H2597">
        <v>0</v>
      </c>
      <c r="I2597" t="s">
        <v>24</v>
      </c>
      <c r="J2597" t="s">
        <v>25</v>
      </c>
      <c r="K2597">
        <v>0</v>
      </c>
      <c r="L2597">
        <v>0</v>
      </c>
      <c r="M2597" t="s">
        <v>25</v>
      </c>
      <c r="N2597" t="s">
        <v>25</v>
      </c>
      <c r="O2597" t="s">
        <v>26</v>
      </c>
      <c r="P2597" t="s">
        <v>25</v>
      </c>
      <c r="Q2597" t="s">
        <v>231</v>
      </c>
      <c r="R2597" t="s">
        <v>2873</v>
      </c>
      <c r="S2597" t="s">
        <v>231</v>
      </c>
      <c r="T2597" t="s">
        <v>1167</v>
      </c>
    </row>
    <row r="2598" spans="1:20">
      <c r="A2598">
        <v>2608</v>
      </c>
      <c r="B2598" t="s">
        <v>2882</v>
      </c>
      <c r="C2598" t="s">
        <v>102</v>
      </c>
      <c r="D2598" t="s">
        <v>22</v>
      </c>
      <c r="E2598" t="s">
        <v>2883</v>
      </c>
      <c r="F2598">
        <v>0</v>
      </c>
      <c r="G2598">
        <v>0</v>
      </c>
      <c r="H2598">
        <v>0</v>
      </c>
      <c r="I2598" t="s">
        <v>24</v>
      </c>
      <c r="J2598" t="s">
        <v>25</v>
      </c>
      <c r="K2598">
        <v>0</v>
      </c>
      <c r="L2598">
        <v>0</v>
      </c>
      <c r="M2598" t="s">
        <v>25</v>
      </c>
      <c r="N2598" t="s">
        <v>25</v>
      </c>
      <c r="O2598" t="s">
        <v>26</v>
      </c>
      <c r="P2598" t="s">
        <v>25</v>
      </c>
      <c r="Q2598" t="s">
        <v>231</v>
      </c>
      <c r="R2598" t="s">
        <v>2873</v>
      </c>
      <c r="S2598" t="s">
        <v>231</v>
      </c>
      <c r="T2598" t="s">
        <v>588</v>
      </c>
    </row>
    <row r="2599" spans="1:20">
      <c r="A2599">
        <v>2609</v>
      </c>
      <c r="B2599" t="s">
        <v>2884</v>
      </c>
      <c r="C2599" t="s">
        <v>102</v>
      </c>
      <c r="D2599" t="s">
        <v>22</v>
      </c>
      <c r="E2599" t="s">
        <v>23</v>
      </c>
      <c r="F2599">
        <v>0</v>
      </c>
      <c r="G2599">
        <v>0</v>
      </c>
      <c r="H2599">
        <v>0</v>
      </c>
      <c r="I2599" t="s">
        <v>24</v>
      </c>
      <c r="J2599" t="s">
        <v>25</v>
      </c>
      <c r="K2599">
        <v>0</v>
      </c>
      <c r="L2599">
        <v>0</v>
      </c>
      <c r="M2599" t="s">
        <v>25</v>
      </c>
      <c r="N2599" t="s">
        <v>25</v>
      </c>
      <c r="O2599" t="s">
        <v>26</v>
      </c>
      <c r="P2599" t="s">
        <v>25</v>
      </c>
      <c r="Q2599" t="s">
        <v>231</v>
      </c>
      <c r="R2599" t="s">
        <v>2873</v>
      </c>
    </row>
    <row r="2600" spans="1:20">
      <c r="A2600">
        <v>2610</v>
      </c>
      <c r="B2600" t="s">
        <v>2885</v>
      </c>
      <c r="C2600" t="s">
        <v>102</v>
      </c>
      <c r="D2600" t="s">
        <v>217</v>
      </c>
      <c r="E2600" t="s">
        <v>2266</v>
      </c>
      <c r="F2600">
        <v>0</v>
      </c>
      <c r="G2600">
        <v>0</v>
      </c>
      <c r="H2600">
        <v>0</v>
      </c>
      <c r="I2600" t="s">
        <v>24</v>
      </c>
      <c r="J2600" t="s">
        <v>25</v>
      </c>
      <c r="K2600">
        <v>0</v>
      </c>
      <c r="L2600">
        <v>0</v>
      </c>
      <c r="M2600" t="s">
        <v>25</v>
      </c>
      <c r="N2600" t="s">
        <v>25</v>
      </c>
      <c r="O2600" t="s">
        <v>26</v>
      </c>
      <c r="P2600" t="s">
        <v>25</v>
      </c>
      <c r="Q2600" t="s">
        <v>231</v>
      </c>
      <c r="R2600" t="s">
        <v>2873</v>
      </c>
      <c r="S2600" t="s">
        <v>231</v>
      </c>
      <c r="T2600" t="s">
        <v>1167</v>
      </c>
    </row>
    <row r="2601" spans="1:20">
      <c r="A2601">
        <v>2611</v>
      </c>
      <c r="B2601" t="s">
        <v>2886</v>
      </c>
      <c r="C2601" t="s">
        <v>36</v>
      </c>
      <c r="D2601" t="s">
        <v>1131</v>
      </c>
      <c r="E2601" t="s">
        <v>2887</v>
      </c>
      <c r="F2601">
        <v>0</v>
      </c>
      <c r="G2601">
        <v>0</v>
      </c>
      <c r="H2601">
        <v>0</v>
      </c>
      <c r="I2601" t="s">
        <v>24</v>
      </c>
      <c r="J2601" t="s">
        <v>25</v>
      </c>
      <c r="K2601">
        <v>0</v>
      </c>
      <c r="L2601">
        <v>0</v>
      </c>
      <c r="M2601" t="s">
        <v>25</v>
      </c>
      <c r="N2601" t="s">
        <v>25</v>
      </c>
      <c r="O2601" t="s">
        <v>26</v>
      </c>
      <c r="P2601" t="s">
        <v>25</v>
      </c>
      <c r="Q2601" t="s">
        <v>231</v>
      </c>
      <c r="R2601" t="s">
        <v>2873</v>
      </c>
      <c r="S2601" t="s">
        <v>231</v>
      </c>
      <c r="T2601" t="s">
        <v>1167</v>
      </c>
    </row>
    <row r="2602" spans="1:20">
      <c r="A2602">
        <v>2612</v>
      </c>
      <c r="B2602" t="s">
        <v>2888</v>
      </c>
      <c r="C2602" t="s">
        <v>36</v>
      </c>
      <c r="D2602" t="s">
        <v>1131</v>
      </c>
      <c r="E2602" t="s">
        <v>2887</v>
      </c>
      <c r="F2602">
        <v>0</v>
      </c>
      <c r="G2602">
        <v>0</v>
      </c>
      <c r="H2602">
        <v>0</v>
      </c>
      <c r="I2602" t="s">
        <v>24</v>
      </c>
      <c r="J2602" t="s">
        <v>25</v>
      </c>
      <c r="K2602">
        <v>0</v>
      </c>
      <c r="L2602">
        <v>0</v>
      </c>
      <c r="M2602" t="s">
        <v>25</v>
      </c>
      <c r="N2602" t="s">
        <v>25</v>
      </c>
      <c r="O2602" t="s">
        <v>26</v>
      </c>
      <c r="P2602" t="s">
        <v>25</v>
      </c>
      <c r="Q2602" t="s">
        <v>231</v>
      </c>
      <c r="R2602" t="s">
        <v>2873</v>
      </c>
      <c r="S2602" t="s">
        <v>231</v>
      </c>
      <c r="T2602" t="s">
        <v>1167</v>
      </c>
    </row>
    <row r="2603" spans="1:20">
      <c r="A2603">
        <v>2613</v>
      </c>
      <c r="B2603" t="s">
        <v>2889</v>
      </c>
      <c r="C2603" t="s">
        <v>102</v>
      </c>
      <c r="D2603" t="s">
        <v>22</v>
      </c>
      <c r="E2603" t="s">
        <v>2890</v>
      </c>
      <c r="F2603">
        <v>0</v>
      </c>
      <c r="G2603">
        <v>0</v>
      </c>
      <c r="H2603">
        <v>0</v>
      </c>
      <c r="I2603" t="s">
        <v>24</v>
      </c>
      <c r="J2603" t="s">
        <v>25</v>
      </c>
      <c r="K2603">
        <v>0</v>
      </c>
      <c r="L2603">
        <v>0</v>
      </c>
      <c r="M2603" t="s">
        <v>25</v>
      </c>
      <c r="N2603" t="s">
        <v>25</v>
      </c>
      <c r="O2603" t="s">
        <v>26</v>
      </c>
      <c r="P2603" t="s">
        <v>25</v>
      </c>
      <c r="Q2603" t="s">
        <v>231</v>
      </c>
      <c r="R2603" t="s">
        <v>2873</v>
      </c>
      <c r="S2603" t="s">
        <v>231</v>
      </c>
      <c r="T2603" t="s">
        <v>588</v>
      </c>
    </row>
    <row r="2604" spans="1:20">
      <c r="A2604">
        <v>2614</v>
      </c>
      <c r="B2604" t="s">
        <v>2891</v>
      </c>
      <c r="C2604" t="s">
        <v>102</v>
      </c>
      <c r="D2604" t="s">
        <v>22</v>
      </c>
      <c r="E2604" t="s">
        <v>23</v>
      </c>
      <c r="F2604">
        <v>0</v>
      </c>
      <c r="G2604">
        <v>0</v>
      </c>
      <c r="H2604">
        <v>0</v>
      </c>
      <c r="I2604" t="s">
        <v>24</v>
      </c>
      <c r="J2604" t="s">
        <v>25</v>
      </c>
      <c r="K2604">
        <v>0</v>
      </c>
      <c r="L2604">
        <v>0</v>
      </c>
      <c r="M2604" t="s">
        <v>25</v>
      </c>
      <c r="N2604" t="s">
        <v>25</v>
      </c>
      <c r="O2604" t="s">
        <v>26</v>
      </c>
      <c r="P2604" t="s">
        <v>25</v>
      </c>
      <c r="Q2604" t="s">
        <v>231</v>
      </c>
      <c r="R2604" t="s">
        <v>2873</v>
      </c>
    </row>
    <row r="2605" spans="1:20">
      <c r="A2605">
        <v>2615</v>
      </c>
      <c r="B2605" t="s">
        <v>2892</v>
      </c>
      <c r="C2605" t="s">
        <v>102</v>
      </c>
      <c r="D2605" t="s">
        <v>217</v>
      </c>
      <c r="E2605" t="s">
        <v>2893</v>
      </c>
      <c r="F2605">
        <v>0</v>
      </c>
      <c r="G2605">
        <v>0</v>
      </c>
      <c r="H2605">
        <v>0</v>
      </c>
      <c r="I2605" t="s">
        <v>24</v>
      </c>
      <c r="J2605" t="s">
        <v>25</v>
      </c>
      <c r="K2605">
        <v>0</v>
      </c>
      <c r="L2605">
        <v>0</v>
      </c>
      <c r="M2605" t="s">
        <v>25</v>
      </c>
      <c r="N2605" t="s">
        <v>25</v>
      </c>
      <c r="O2605" t="s">
        <v>26</v>
      </c>
      <c r="P2605" t="s">
        <v>25</v>
      </c>
      <c r="Q2605" t="s">
        <v>231</v>
      </c>
      <c r="R2605" t="s">
        <v>2873</v>
      </c>
      <c r="S2605" t="s">
        <v>231</v>
      </c>
      <c r="T2605" t="s">
        <v>1167</v>
      </c>
    </row>
    <row r="2606" spans="1:20">
      <c r="A2606">
        <v>2616</v>
      </c>
      <c r="B2606" t="s">
        <v>2894</v>
      </c>
      <c r="C2606" t="s">
        <v>36</v>
      </c>
      <c r="D2606" t="s">
        <v>1131</v>
      </c>
      <c r="E2606" t="s">
        <v>2895</v>
      </c>
      <c r="F2606">
        <v>0</v>
      </c>
      <c r="G2606">
        <v>0</v>
      </c>
      <c r="H2606">
        <v>0</v>
      </c>
      <c r="I2606" t="s">
        <v>24</v>
      </c>
      <c r="J2606" t="s">
        <v>25</v>
      </c>
      <c r="K2606">
        <v>0</v>
      </c>
      <c r="L2606">
        <v>0</v>
      </c>
      <c r="M2606" t="s">
        <v>25</v>
      </c>
      <c r="N2606" t="s">
        <v>25</v>
      </c>
      <c r="O2606" t="s">
        <v>26</v>
      </c>
      <c r="P2606" t="s">
        <v>25</v>
      </c>
      <c r="Q2606" t="s">
        <v>231</v>
      </c>
      <c r="R2606" t="s">
        <v>2873</v>
      </c>
      <c r="S2606" t="s">
        <v>231</v>
      </c>
      <c r="T2606" t="s">
        <v>1167</v>
      </c>
    </row>
    <row r="2607" spans="1:20">
      <c r="A2607">
        <v>2617</v>
      </c>
      <c r="B2607" t="s">
        <v>2896</v>
      </c>
      <c r="C2607" t="s">
        <v>36</v>
      </c>
      <c r="D2607" t="s">
        <v>1131</v>
      </c>
      <c r="E2607" t="s">
        <v>2895</v>
      </c>
      <c r="F2607">
        <v>0</v>
      </c>
      <c r="G2607">
        <v>0</v>
      </c>
      <c r="H2607">
        <v>0</v>
      </c>
      <c r="I2607" t="s">
        <v>24</v>
      </c>
      <c r="J2607" t="s">
        <v>25</v>
      </c>
      <c r="K2607">
        <v>0</v>
      </c>
      <c r="L2607">
        <v>0</v>
      </c>
      <c r="M2607" t="s">
        <v>25</v>
      </c>
      <c r="N2607" t="s">
        <v>25</v>
      </c>
      <c r="O2607" t="s">
        <v>26</v>
      </c>
      <c r="P2607" t="s">
        <v>25</v>
      </c>
      <c r="Q2607" t="s">
        <v>231</v>
      </c>
      <c r="R2607" t="s">
        <v>2873</v>
      </c>
      <c r="S2607" t="s">
        <v>231</v>
      </c>
      <c r="T2607" t="s">
        <v>1167</v>
      </c>
    </row>
    <row r="2608" spans="1:20">
      <c r="A2608">
        <v>2618</v>
      </c>
      <c r="B2608" t="s">
        <v>2897</v>
      </c>
      <c r="C2608" t="s">
        <v>102</v>
      </c>
      <c r="D2608" t="s">
        <v>22</v>
      </c>
      <c r="E2608" t="s">
        <v>2898</v>
      </c>
      <c r="F2608">
        <v>0</v>
      </c>
      <c r="G2608">
        <v>0</v>
      </c>
      <c r="H2608">
        <v>0</v>
      </c>
      <c r="I2608" t="s">
        <v>24</v>
      </c>
      <c r="J2608" t="s">
        <v>25</v>
      </c>
      <c r="K2608">
        <v>0</v>
      </c>
      <c r="L2608">
        <v>0</v>
      </c>
      <c r="M2608" t="s">
        <v>25</v>
      </c>
      <c r="N2608" t="s">
        <v>25</v>
      </c>
      <c r="O2608" t="s">
        <v>26</v>
      </c>
      <c r="P2608" t="s">
        <v>25</v>
      </c>
      <c r="Q2608" t="s">
        <v>231</v>
      </c>
      <c r="R2608" t="s">
        <v>2873</v>
      </c>
      <c r="S2608" t="s">
        <v>231</v>
      </c>
      <c r="T2608" t="s">
        <v>588</v>
      </c>
    </row>
    <row r="2609" spans="1:20">
      <c r="A2609">
        <v>2619</v>
      </c>
      <c r="B2609" t="s">
        <v>2899</v>
      </c>
      <c r="C2609" t="s">
        <v>102</v>
      </c>
      <c r="D2609" t="s">
        <v>22</v>
      </c>
      <c r="E2609" t="s">
        <v>23</v>
      </c>
      <c r="F2609">
        <v>0</v>
      </c>
      <c r="G2609">
        <v>0</v>
      </c>
      <c r="H2609">
        <v>0</v>
      </c>
      <c r="I2609" t="s">
        <v>24</v>
      </c>
      <c r="J2609" t="s">
        <v>25</v>
      </c>
      <c r="K2609">
        <v>0</v>
      </c>
      <c r="L2609">
        <v>0</v>
      </c>
      <c r="M2609" t="s">
        <v>25</v>
      </c>
      <c r="N2609" t="s">
        <v>25</v>
      </c>
      <c r="O2609" t="s">
        <v>26</v>
      </c>
      <c r="P2609" t="s">
        <v>25</v>
      </c>
      <c r="Q2609" t="s">
        <v>231</v>
      </c>
      <c r="R2609" t="s">
        <v>2873</v>
      </c>
    </row>
    <row r="2610" spans="1:20">
      <c r="A2610">
        <v>2620</v>
      </c>
      <c r="B2610" t="s">
        <v>2900</v>
      </c>
      <c r="C2610" t="s">
        <v>102</v>
      </c>
      <c r="D2610" t="s">
        <v>217</v>
      </c>
      <c r="E2610" t="s">
        <v>2901</v>
      </c>
      <c r="F2610">
        <v>0</v>
      </c>
      <c r="G2610">
        <v>0</v>
      </c>
      <c r="H2610">
        <v>0</v>
      </c>
      <c r="I2610" t="s">
        <v>24</v>
      </c>
      <c r="J2610" t="s">
        <v>25</v>
      </c>
      <c r="K2610">
        <v>0</v>
      </c>
      <c r="L2610">
        <v>0</v>
      </c>
      <c r="M2610" t="s">
        <v>25</v>
      </c>
      <c r="N2610" t="s">
        <v>25</v>
      </c>
      <c r="O2610" t="s">
        <v>26</v>
      </c>
      <c r="P2610" t="s">
        <v>25</v>
      </c>
      <c r="Q2610" t="s">
        <v>231</v>
      </c>
      <c r="R2610" t="s">
        <v>2873</v>
      </c>
      <c r="S2610" t="s">
        <v>231</v>
      </c>
      <c r="T2610" t="s">
        <v>1167</v>
      </c>
    </row>
    <row r="2611" spans="1:20">
      <c r="A2611">
        <v>2621</v>
      </c>
      <c r="B2611" t="s">
        <v>2902</v>
      </c>
      <c r="C2611" t="s">
        <v>102</v>
      </c>
      <c r="D2611" t="s">
        <v>217</v>
      </c>
      <c r="E2611" t="s">
        <v>2901</v>
      </c>
      <c r="F2611">
        <v>0</v>
      </c>
      <c r="G2611">
        <v>0</v>
      </c>
      <c r="H2611">
        <v>0</v>
      </c>
      <c r="I2611" t="s">
        <v>24</v>
      </c>
      <c r="J2611" t="s">
        <v>25</v>
      </c>
      <c r="K2611">
        <v>0</v>
      </c>
      <c r="L2611">
        <v>0</v>
      </c>
      <c r="M2611" t="s">
        <v>25</v>
      </c>
      <c r="N2611" t="s">
        <v>25</v>
      </c>
      <c r="O2611" t="s">
        <v>26</v>
      </c>
      <c r="P2611" t="s">
        <v>25</v>
      </c>
      <c r="Q2611" t="s">
        <v>231</v>
      </c>
      <c r="R2611" t="s">
        <v>2903</v>
      </c>
    </row>
    <row r="2612" spans="1:20">
      <c r="A2612">
        <v>2622</v>
      </c>
      <c r="B2612" t="s">
        <v>2904</v>
      </c>
      <c r="C2612" t="s">
        <v>36</v>
      </c>
      <c r="D2612" t="s">
        <v>217</v>
      </c>
      <c r="E2612" t="s">
        <v>2863</v>
      </c>
      <c r="F2612">
        <v>0</v>
      </c>
      <c r="G2612">
        <v>0</v>
      </c>
      <c r="H2612">
        <v>0</v>
      </c>
      <c r="I2612" t="s">
        <v>24</v>
      </c>
      <c r="J2612" t="s">
        <v>25</v>
      </c>
      <c r="K2612">
        <v>0</v>
      </c>
      <c r="L2612">
        <v>0</v>
      </c>
      <c r="M2612" t="s">
        <v>25</v>
      </c>
      <c r="N2612" t="s">
        <v>25</v>
      </c>
      <c r="O2612" t="s">
        <v>26</v>
      </c>
      <c r="P2612" t="s">
        <v>25</v>
      </c>
      <c r="Q2612" t="s">
        <v>231</v>
      </c>
      <c r="R2612" t="s">
        <v>2903</v>
      </c>
      <c r="S2612" t="s">
        <v>231</v>
      </c>
      <c r="T2612" t="s">
        <v>588</v>
      </c>
    </row>
    <row r="2613" spans="1:20">
      <c r="A2613">
        <v>2623</v>
      </c>
      <c r="B2613" t="s">
        <v>2905</v>
      </c>
      <c r="C2613" t="s">
        <v>247</v>
      </c>
      <c r="D2613" t="s">
        <v>22</v>
      </c>
      <c r="E2613" t="s">
        <v>2332</v>
      </c>
      <c r="F2613">
        <v>66997</v>
      </c>
      <c r="G2613">
        <v>0</v>
      </c>
      <c r="H2613">
        <v>66997</v>
      </c>
      <c r="I2613" t="s">
        <v>24</v>
      </c>
      <c r="J2613" t="s">
        <v>25</v>
      </c>
      <c r="K2613">
        <v>0</v>
      </c>
      <c r="L2613">
        <v>0</v>
      </c>
      <c r="M2613" t="s">
        <v>25</v>
      </c>
      <c r="N2613" t="s">
        <v>25</v>
      </c>
      <c r="O2613" t="s">
        <v>26</v>
      </c>
      <c r="P2613" t="s">
        <v>25</v>
      </c>
      <c r="Q2613" t="s">
        <v>51</v>
      </c>
      <c r="R2613" t="s">
        <v>2906</v>
      </c>
    </row>
    <row r="2614" spans="1:20">
      <c r="A2614">
        <v>2624</v>
      </c>
      <c r="B2614" t="s">
        <v>2907</v>
      </c>
      <c r="C2614" t="s">
        <v>36</v>
      </c>
      <c r="D2614" t="s">
        <v>22</v>
      </c>
      <c r="E2614" t="s">
        <v>1746</v>
      </c>
      <c r="F2614">
        <v>0</v>
      </c>
      <c r="G2614">
        <v>0</v>
      </c>
      <c r="H2614">
        <v>0</v>
      </c>
      <c r="I2614" t="s">
        <v>24</v>
      </c>
      <c r="J2614" t="s">
        <v>25</v>
      </c>
      <c r="K2614">
        <v>0</v>
      </c>
      <c r="L2614">
        <v>0</v>
      </c>
      <c r="M2614" t="s">
        <v>25</v>
      </c>
      <c r="N2614" t="s">
        <v>25</v>
      </c>
      <c r="O2614" t="s">
        <v>26</v>
      </c>
      <c r="P2614" t="s">
        <v>25</v>
      </c>
      <c r="Q2614" t="s">
        <v>231</v>
      </c>
      <c r="R2614" t="s">
        <v>2908</v>
      </c>
      <c r="S2614" t="s">
        <v>231</v>
      </c>
      <c r="T2614" t="s">
        <v>1167</v>
      </c>
    </row>
    <row r="2615" spans="1:20">
      <c r="A2615">
        <v>2625</v>
      </c>
      <c r="B2615" t="s">
        <v>2909</v>
      </c>
      <c r="C2615" t="s">
        <v>36</v>
      </c>
      <c r="D2615" t="s">
        <v>217</v>
      </c>
      <c r="E2615" t="s">
        <v>2146</v>
      </c>
      <c r="F2615">
        <v>0</v>
      </c>
      <c r="G2615">
        <v>0</v>
      </c>
      <c r="H2615">
        <v>0</v>
      </c>
      <c r="I2615" t="s">
        <v>24</v>
      </c>
      <c r="J2615" t="s">
        <v>25</v>
      </c>
      <c r="K2615">
        <v>0</v>
      </c>
      <c r="L2615">
        <v>0</v>
      </c>
      <c r="M2615" t="s">
        <v>25</v>
      </c>
      <c r="N2615" t="s">
        <v>25</v>
      </c>
      <c r="O2615" t="s">
        <v>26</v>
      </c>
      <c r="P2615" t="s">
        <v>25</v>
      </c>
      <c r="Q2615" t="s">
        <v>231</v>
      </c>
      <c r="R2615" t="s">
        <v>2147</v>
      </c>
    </row>
    <row r="2616" spans="1:20">
      <c r="A2616">
        <v>2626</v>
      </c>
      <c r="B2616" t="s">
        <v>2910</v>
      </c>
      <c r="C2616" t="s">
        <v>102</v>
      </c>
      <c r="D2616" t="s">
        <v>22</v>
      </c>
      <c r="E2616" t="s">
        <v>1166</v>
      </c>
      <c r="F2616">
        <v>0</v>
      </c>
      <c r="G2616">
        <v>0</v>
      </c>
      <c r="H2616">
        <v>0</v>
      </c>
      <c r="I2616" t="s">
        <v>24</v>
      </c>
      <c r="J2616" t="s">
        <v>25</v>
      </c>
      <c r="K2616">
        <v>0</v>
      </c>
      <c r="L2616">
        <v>0</v>
      </c>
      <c r="M2616" t="s">
        <v>25</v>
      </c>
      <c r="N2616" t="s">
        <v>25</v>
      </c>
      <c r="O2616" t="s">
        <v>26</v>
      </c>
      <c r="P2616" t="s">
        <v>25</v>
      </c>
      <c r="Q2616" t="s">
        <v>231</v>
      </c>
      <c r="R2616" t="s">
        <v>1755</v>
      </c>
      <c r="S2616" t="s">
        <v>231</v>
      </c>
      <c r="T2616" t="s">
        <v>588</v>
      </c>
    </row>
    <row r="2617" spans="1:20">
      <c r="A2617">
        <v>2627</v>
      </c>
      <c r="B2617" t="s">
        <v>2911</v>
      </c>
      <c r="C2617" t="s">
        <v>21</v>
      </c>
      <c r="D2617" t="s">
        <v>22</v>
      </c>
      <c r="E2617" t="s">
        <v>1166</v>
      </c>
      <c r="F2617">
        <v>0</v>
      </c>
      <c r="G2617">
        <v>0</v>
      </c>
      <c r="H2617">
        <v>0</v>
      </c>
      <c r="I2617" t="s">
        <v>24</v>
      </c>
      <c r="J2617" t="s">
        <v>25</v>
      </c>
      <c r="K2617">
        <v>0</v>
      </c>
      <c r="L2617">
        <v>0</v>
      </c>
      <c r="M2617" t="s">
        <v>25</v>
      </c>
      <c r="N2617" t="s">
        <v>25</v>
      </c>
      <c r="O2617" t="s">
        <v>26</v>
      </c>
      <c r="P2617" t="s">
        <v>25</v>
      </c>
      <c r="Q2617" t="s">
        <v>231</v>
      </c>
      <c r="R2617" t="s">
        <v>1755</v>
      </c>
      <c r="S2617" t="s">
        <v>231</v>
      </c>
      <c r="T2617" t="s">
        <v>1167</v>
      </c>
    </row>
    <row r="2618" spans="1:20">
      <c r="A2618">
        <v>2628</v>
      </c>
      <c r="B2618" t="s">
        <v>2912</v>
      </c>
      <c r="C2618" t="s">
        <v>21</v>
      </c>
      <c r="D2618" t="s">
        <v>22</v>
      </c>
      <c r="E2618" t="s">
        <v>1166</v>
      </c>
      <c r="F2618">
        <v>0</v>
      </c>
      <c r="G2618">
        <v>0</v>
      </c>
      <c r="H2618">
        <v>0</v>
      </c>
      <c r="I2618" t="s">
        <v>24</v>
      </c>
      <c r="J2618" t="s">
        <v>25</v>
      </c>
      <c r="K2618">
        <v>0</v>
      </c>
      <c r="L2618">
        <v>0</v>
      </c>
      <c r="M2618" t="s">
        <v>25</v>
      </c>
      <c r="N2618" t="s">
        <v>25</v>
      </c>
      <c r="O2618" t="s">
        <v>26</v>
      </c>
      <c r="P2618" t="s">
        <v>25</v>
      </c>
      <c r="Q2618" t="s">
        <v>231</v>
      </c>
      <c r="R2618" t="s">
        <v>1755</v>
      </c>
      <c r="S2618" t="s">
        <v>231</v>
      </c>
      <c r="T2618" t="s">
        <v>2913</v>
      </c>
    </row>
    <row r="2619" spans="1:20">
      <c r="A2619">
        <v>2629</v>
      </c>
      <c r="B2619" t="s">
        <v>2914</v>
      </c>
      <c r="C2619" t="s">
        <v>36</v>
      </c>
      <c r="D2619" t="s">
        <v>22</v>
      </c>
      <c r="E2619" t="s">
        <v>37</v>
      </c>
      <c r="F2619">
        <v>0</v>
      </c>
      <c r="G2619">
        <v>0</v>
      </c>
      <c r="H2619">
        <v>0</v>
      </c>
      <c r="I2619" t="s">
        <v>24</v>
      </c>
      <c r="J2619" t="s">
        <v>25</v>
      </c>
      <c r="K2619">
        <v>0</v>
      </c>
      <c r="L2619">
        <v>0</v>
      </c>
      <c r="M2619" t="s">
        <v>25</v>
      </c>
      <c r="N2619" t="s">
        <v>25</v>
      </c>
      <c r="O2619" t="s">
        <v>26</v>
      </c>
      <c r="P2619" t="s">
        <v>25</v>
      </c>
      <c r="Q2619" t="s">
        <v>231</v>
      </c>
      <c r="R2619" t="s">
        <v>1755</v>
      </c>
    </row>
    <row r="2620" spans="1:20">
      <c r="A2620">
        <v>2630</v>
      </c>
      <c r="B2620" t="s">
        <v>2915</v>
      </c>
      <c r="C2620" t="s">
        <v>102</v>
      </c>
      <c r="D2620" t="s">
        <v>22</v>
      </c>
      <c r="E2620" t="s">
        <v>2916</v>
      </c>
      <c r="F2620">
        <v>0</v>
      </c>
      <c r="G2620">
        <v>0</v>
      </c>
      <c r="H2620">
        <v>0</v>
      </c>
      <c r="I2620" t="s">
        <v>24</v>
      </c>
      <c r="J2620" t="s">
        <v>25</v>
      </c>
      <c r="K2620">
        <v>0</v>
      </c>
      <c r="L2620">
        <v>0</v>
      </c>
      <c r="M2620" t="s">
        <v>25</v>
      </c>
      <c r="N2620" t="s">
        <v>25</v>
      </c>
      <c r="O2620" t="s">
        <v>26</v>
      </c>
      <c r="P2620" t="s">
        <v>25</v>
      </c>
      <c r="Q2620" t="s">
        <v>231</v>
      </c>
      <c r="R2620" t="s">
        <v>1755</v>
      </c>
      <c r="S2620" t="s">
        <v>231</v>
      </c>
      <c r="T2620" t="s">
        <v>1167</v>
      </c>
    </row>
    <row r="2621" spans="1:20">
      <c r="A2621">
        <v>2631</v>
      </c>
      <c r="B2621" t="s">
        <v>2917</v>
      </c>
      <c r="C2621" t="s">
        <v>102</v>
      </c>
      <c r="D2621" t="s">
        <v>22</v>
      </c>
      <c r="E2621" t="s">
        <v>23</v>
      </c>
      <c r="F2621">
        <v>0</v>
      </c>
      <c r="G2621">
        <v>0</v>
      </c>
      <c r="H2621">
        <v>0</v>
      </c>
      <c r="I2621" t="s">
        <v>24</v>
      </c>
      <c r="J2621" t="s">
        <v>25</v>
      </c>
      <c r="K2621">
        <v>0</v>
      </c>
      <c r="L2621">
        <v>0</v>
      </c>
      <c r="M2621" t="s">
        <v>25</v>
      </c>
      <c r="N2621" t="s">
        <v>25</v>
      </c>
      <c r="O2621" t="s">
        <v>26</v>
      </c>
      <c r="P2621" t="s">
        <v>25</v>
      </c>
      <c r="Q2621" t="s">
        <v>231</v>
      </c>
      <c r="R2621" t="s">
        <v>1755</v>
      </c>
    </row>
    <row r="2622" spans="1:20">
      <c r="A2622">
        <v>2632</v>
      </c>
      <c r="B2622" t="s">
        <v>2918</v>
      </c>
      <c r="C2622" t="s">
        <v>102</v>
      </c>
      <c r="D2622" t="s">
        <v>22</v>
      </c>
      <c r="E2622" t="s">
        <v>23</v>
      </c>
      <c r="F2622">
        <v>0</v>
      </c>
      <c r="G2622">
        <v>0</v>
      </c>
      <c r="H2622">
        <v>0</v>
      </c>
      <c r="I2622" t="s">
        <v>24</v>
      </c>
      <c r="J2622" t="s">
        <v>25</v>
      </c>
      <c r="K2622">
        <v>0</v>
      </c>
      <c r="L2622">
        <v>0</v>
      </c>
      <c r="M2622" t="s">
        <v>25</v>
      </c>
      <c r="N2622" t="s">
        <v>25</v>
      </c>
      <c r="O2622" t="s">
        <v>26</v>
      </c>
      <c r="P2622" t="s">
        <v>25</v>
      </c>
      <c r="Q2622" t="s">
        <v>231</v>
      </c>
      <c r="R2622" t="s">
        <v>1755</v>
      </c>
    </row>
    <row r="2623" spans="1:20">
      <c r="A2623">
        <v>2633</v>
      </c>
      <c r="B2623" t="s">
        <v>2919</v>
      </c>
      <c r="C2623" t="s">
        <v>36</v>
      </c>
      <c r="D2623" t="s">
        <v>217</v>
      </c>
      <c r="E2623" t="s">
        <v>1467</v>
      </c>
      <c r="F2623">
        <v>0</v>
      </c>
      <c r="G2623">
        <v>0</v>
      </c>
      <c r="H2623">
        <v>0</v>
      </c>
      <c r="I2623" t="s">
        <v>24</v>
      </c>
      <c r="J2623" t="s">
        <v>25</v>
      </c>
      <c r="K2623">
        <v>0</v>
      </c>
      <c r="L2623">
        <v>0</v>
      </c>
      <c r="M2623" t="s">
        <v>25</v>
      </c>
      <c r="N2623" t="s">
        <v>25</v>
      </c>
      <c r="O2623" t="s">
        <v>26</v>
      </c>
      <c r="P2623" t="s">
        <v>25</v>
      </c>
      <c r="Q2623" t="s">
        <v>231</v>
      </c>
      <c r="R2623" t="s">
        <v>1468</v>
      </c>
      <c r="S2623" t="s">
        <v>231</v>
      </c>
      <c r="T2623" t="s">
        <v>1468</v>
      </c>
    </row>
    <row r="2624" spans="1:20">
      <c r="A2624">
        <v>2634</v>
      </c>
      <c r="B2624" t="s">
        <v>2920</v>
      </c>
      <c r="C2624" t="s">
        <v>36</v>
      </c>
      <c r="D2624" t="s">
        <v>217</v>
      </c>
      <c r="E2624" t="s">
        <v>1467</v>
      </c>
      <c r="F2624">
        <v>0</v>
      </c>
      <c r="G2624">
        <v>0</v>
      </c>
      <c r="H2624">
        <v>0</v>
      </c>
      <c r="I2624" t="s">
        <v>24</v>
      </c>
      <c r="J2624" t="s">
        <v>25</v>
      </c>
      <c r="K2624">
        <v>0</v>
      </c>
      <c r="L2624">
        <v>0</v>
      </c>
      <c r="M2624" t="s">
        <v>25</v>
      </c>
      <c r="N2624" t="s">
        <v>25</v>
      </c>
      <c r="O2624" t="s">
        <v>26</v>
      </c>
      <c r="P2624" t="s">
        <v>25</v>
      </c>
      <c r="Q2624" t="s">
        <v>231</v>
      </c>
      <c r="R2624" t="s">
        <v>1468</v>
      </c>
    </row>
    <row r="2625" spans="1:18">
      <c r="A2625">
        <v>2635</v>
      </c>
      <c r="B2625" t="s">
        <v>2921</v>
      </c>
      <c r="C2625" t="s">
        <v>36</v>
      </c>
      <c r="D2625" t="s">
        <v>217</v>
      </c>
      <c r="E2625" t="s">
        <v>1467</v>
      </c>
      <c r="F2625">
        <v>0</v>
      </c>
      <c r="G2625">
        <v>0</v>
      </c>
      <c r="H2625">
        <v>0</v>
      </c>
      <c r="I2625" t="s">
        <v>24</v>
      </c>
      <c r="J2625" t="s">
        <v>25</v>
      </c>
      <c r="K2625">
        <v>0</v>
      </c>
      <c r="L2625">
        <v>0</v>
      </c>
      <c r="M2625" t="s">
        <v>25</v>
      </c>
      <c r="N2625" t="s">
        <v>25</v>
      </c>
      <c r="O2625" t="s">
        <v>26</v>
      </c>
      <c r="P2625" t="s">
        <v>25</v>
      </c>
      <c r="Q2625" t="s">
        <v>231</v>
      </c>
      <c r="R2625" t="s">
        <v>1468</v>
      </c>
    </row>
    <row r="2626" spans="1:18">
      <c r="A2626">
        <v>2636</v>
      </c>
      <c r="B2626" t="s">
        <v>2922</v>
      </c>
      <c r="C2626" t="s">
        <v>102</v>
      </c>
      <c r="D2626" t="s">
        <v>22</v>
      </c>
      <c r="E2626" t="s">
        <v>2890</v>
      </c>
      <c r="F2626">
        <v>0</v>
      </c>
      <c r="G2626">
        <v>0</v>
      </c>
      <c r="H2626">
        <v>0</v>
      </c>
      <c r="I2626" t="s">
        <v>24</v>
      </c>
      <c r="J2626" t="s">
        <v>25</v>
      </c>
      <c r="K2626">
        <v>0</v>
      </c>
      <c r="L2626">
        <v>0</v>
      </c>
      <c r="M2626" t="s">
        <v>25</v>
      </c>
      <c r="N2626" t="s">
        <v>25</v>
      </c>
      <c r="O2626" t="s">
        <v>26</v>
      </c>
      <c r="P2626" t="s">
        <v>25</v>
      </c>
      <c r="Q2626" t="s">
        <v>231</v>
      </c>
      <c r="R2626" t="s">
        <v>1167</v>
      </c>
    </row>
    <row r="2627" spans="1:18">
      <c r="A2627">
        <v>2637</v>
      </c>
      <c r="B2627" t="s">
        <v>2923</v>
      </c>
      <c r="C2627" t="s">
        <v>102</v>
      </c>
      <c r="D2627" t="s">
        <v>22</v>
      </c>
      <c r="E2627" t="s">
        <v>2898</v>
      </c>
      <c r="F2627">
        <v>0</v>
      </c>
      <c r="G2627">
        <v>0</v>
      </c>
      <c r="H2627">
        <v>0</v>
      </c>
      <c r="I2627" t="s">
        <v>24</v>
      </c>
      <c r="J2627" t="s">
        <v>25</v>
      </c>
      <c r="K2627">
        <v>0</v>
      </c>
      <c r="L2627">
        <v>0</v>
      </c>
      <c r="M2627" t="s">
        <v>25</v>
      </c>
      <c r="N2627" t="s">
        <v>25</v>
      </c>
      <c r="O2627" t="s">
        <v>26</v>
      </c>
      <c r="P2627" t="s">
        <v>25</v>
      </c>
      <c r="Q2627" t="s">
        <v>231</v>
      </c>
      <c r="R2627" t="s">
        <v>1167</v>
      </c>
    </row>
    <row r="2628" spans="1:18">
      <c r="A2628">
        <v>2638</v>
      </c>
      <c r="B2628" t="s">
        <v>2924</v>
      </c>
      <c r="C2628" t="s">
        <v>102</v>
      </c>
      <c r="D2628" t="s">
        <v>22</v>
      </c>
      <c r="E2628" t="s">
        <v>2863</v>
      </c>
      <c r="F2628">
        <v>0</v>
      </c>
      <c r="G2628">
        <v>0</v>
      </c>
      <c r="H2628">
        <v>0</v>
      </c>
      <c r="I2628" t="s">
        <v>24</v>
      </c>
      <c r="J2628" t="s">
        <v>25</v>
      </c>
      <c r="K2628">
        <v>0</v>
      </c>
      <c r="L2628">
        <v>0</v>
      </c>
      <c r="M2628" t="s">
        <v>25</v>
      </c>
      <c r="N2628" t="s">
        <v>25</v>
      </c>
      <c r="O2628" t="s">
        <v>26</v>
      </c>
      <c r="P2628" t="s">
        <v>25</v>
      </c>
      <c r="Q2628" t="s">
        <v>231</v>
      </c>
      <c r="R2628" t="s">
        <v>1167</v>
      </c>
    </row>
    <row r="2629" spans="1:18">
      <c r="A2629">
        <v>2639</v>
      </c>
      <c r="B2629" t="s">
        <v>2925</v>
      </c>
      <c r="C2629" t="s">
        <v>102</v>
      </c>
      <c r="D2629" t="s">
        <v>22</v>
      </c>
      <c r="E2629" t="s">
        <v>2883</v>
      </c>
      <c r="F2629">
        <v>0</v>
      </c>
      <c r="G2629">
        <v>0</v>
      </c>
      <c r="H2629">
        <v>0</v>
      </c>
      <c r="I2629" t="s">
        <v>24</v>
      </c>
      <c r="J2629" t="s">
        <v>25</v>
      </c>
      <c r="K2629">
        <v>0</v>
      </c>
      <c r="L2629">
        <v>0</v>
      </c>
      <c r="M2629" t="s">
        <v>25</v>
      </c>
      <c r="N2629" t="s">
        <v>25</v>
      </c>
      <c r="O2629" t="s">
        <v>26</v>
      </c>
      <c r="P2629" t="s">
        <v>25</v>
      </c>
      <c r="Q2629" t="s">
        <v>231</v>
      </c>
      <c r="R2629" t="s">
        <v>1167</v>
      </c>
    </row>
    <row r="2630" spans="1:18">
      <c r="A2630">
        <v>2640</v>
      </c>
      <c r="B2630" t="s">
        <v>2926</v>
      </c>
      <c r="C2630" t="s">
        <v>247</v>
      </c>
      <c r="D2630" t="s">
        <v>22</v>
      </c>
      <c r="E2630" t="s">
        <v>2332</v>
      </c>
      <c r="F2630">
        <v>8925</v>
      </c>
      <c r="G2630">
        <v>0</v>
      </c>
      <c r="H2630">
        <v>8925</v>
      </c>
      <c r="I2630" t="s">
        <v>24</v>
      </c>
      <c r="J2630" t="s">
        <v>25</v>
      </c>
      <c r="K2630">
        <v>0</v>
      </c>
      <c r="L2630">
        <v>0</v>
      </c>
      <c r="M2630" t="s">
        <v>25</v>
      </c>
      <c r="N2630" t="s">
        <v>25</v>
      </c>
      <c r="O2630" t="s">
        <v>26</v>
      </c>
      <c r="P2630" t="s">
        <v>25</v>
      </c>
      <c r="Q2630" t="s">
        <v>2927</v>
      </c>
      <c r="R2630" t="s">
        <v>2928</v>
      </c>
    </row>
    <row r="2631" spans="1:18">
      <c r="A2631">
        <v>2641</v>
      </c>
      <c r="B2631" t="s">
        <v>2929</v>
      </c>
      <c r="C2631" t="s">
        <v>21</v>
      </c>
      <c r="D2631" t="s">
        <v>22</v>
      </c>
      <c r="E2631" t="s">
        <v>2332</v>
      </c>
      <c r="F2631">
        <v>8925</v>
      </c>
      <c r="G2631">
        <v>0</v>
      </c>
      <c r="H2631">
        <v>8925</v>
      </c>
      <c r="I2631" t="s">
        <v>24</v>
      </c>
      <c r="J2631" t="s">
        <v>25</v>
      </c>
      <c r="K2631">
        <v>0</v>
      </c>
      <c r="L2631">
        <v>0</v>
      </c>
      <c r="M2631" t="s">
        <v>25</v>
      </c>
      <c r="N2631" t="s">
        <v>25</v>
      </c>
      <c r="O2631" t="s">
        <v>26</v>
      </c>
      <c r="P2631" t="s">
        <v>25</v>
      </c>
      <c r="Q2631" t="s">
        <v>2927</v>
      </c>
      <c r="R2631" t="s">
        <v>2928</v>
      </c>
    </row>
    <row r="2632" spans="1:18">
      <c r="A2632">
        <v>2642</v>
      </c>
      <c r="B2632" t="s">
        <v>2930</v>
      </c>
      <c r="C2632" t="s">
        <v>21</v>
      </c>
      <c r="D2632" t="s">
        <v>22</v>
      </c>
      <c r="E2632" t="s">
        <v>2332</v>
      </c>
      <c r="F2632">
        <v>10591</v>
      </c>
      <c r="G2632">
        <v>0</v>
      </c>
      <c r="H2632">
        <v>10591</v>
      </c>
      <c r="I2632" t="s">
        <v>24</v>
      </c>
      <c r="J2632" t="s">
        <v>25</v>
      </c>
      <c r="K2632">
        <v>0</v>
      </c>
      <c r="L2632">
        <v>0</v>
      </c>
      <c r="M2632" t="s">
        <v>25</v>
      </c>
      <c r="N2632" t="s">
        <v>25</v>
      </c>
      <c r="O2632" t="s">
        <v>26</v>
      </c>
      <c r="P2632" t="s">
        <v>25</v>
      </c>
      <c r="Q2632" t="s">
        <v>2927</v>
      </c>
      <c r="R2632" t="s">
        <v>2928</v>
      </c>
    </row>
    <row r="2633" spans="1:18">
      <c r="A2633">
        <v>2643</v>
      </c>
      <c r="B2633" t="s">
        <v>2931</v>
      </c>
      <c r="C2633" t="s">
        <v>21</v>
      </c>
      <c r="D2633" t="s">
        <v>22</v>
      </c>
      <c r="E2633" t="s">
        <v>2332</v>
      </c>
      <c r="F2633">
        <v>35500</v>
      </c>
      <c r="G2633">
        <v>0</v>
      </c>
      <c r="H2633">
        <v>35500</v>
      </c>
      <c r="I2633" t="s">
        <v>24</v>
      </c>
      <c r="J2633" t="s">
        <v>25</v>
      </c>
      <c r="K2633">
        <v>0</v>
      </c>
      <c r="L2633">
        <v>0</v>
      </c>
      <c r="M2633" t="s">
        <v>25</v>
      </c>
      <c r="N2633" t="s">
        <v>25</v>
      </c>
      <c r="O2633" t="s">
        <v>26</v>
      </c>
      <c r="P2633" t="s">
        <v>25</v>
      </c>
      <c r="Q2633" t="s">
        <v>2927</v>
      </c>
      <c r="R2633" t="s">
        <v>2928</v>
      </c>
    </row>
    <row r="2634" spans="1:18">
      <c r="A2634">
        <v>2644</v>
      </c>
      <c r="B2634" t="s">
        <v>2932</v>
      </c>
      <c r="C2634" t="s">
        <v>21</v>
      </c>
      <c r="D2634" t="s">
        <v>22</v>
      </c>
      <c r="E2634" t="s">
        <v>2332</v>
      </c>
      <c r="F2634">
        <v>9401</v>
      </c>
      <c r="G2634">
        <v>0</v>
      </c>
      <c r="H2634">
        <v>9401</v>
      </c>
      <c r="I2634" t="s">
        <v>24</v>
      </c>
      <c r="J2634" t="s">
        <v>25</v>
      </c>
      <c r="K2634">
        <v>0</v>
      </c>
      <c r="L2634">
        <v>0</v>
      </c>
      <c r="M2634" t="s">
        <v>25</v>
      </c>
      <c r="N2634" t="s">
        <v>25</v>
      </c>
      <c r="O2634" t="s">
        <v>26</v>
      </c>
      <c r="P2634" t="s">
        <v>25</v>
      </c>
      <c r="Q2634" t="s">
        <v>2927</v>
      </c>
      <c r="R2634" t="s">
        <v>2928</v>
      </c>
    </row>
    <row r="2635" spans="1:18">
      <c r="A2635">
        <v>2645</v>
      </c>
      <c r="B2635" t="s">
        <v>2933</v>
      </c>
      <c r="C2635" t="s">
        <v>21</v>
      </c>
      <c r="D2635" t="s">
        <v>22</v>
      </c>
      <c r="E2635" t="s">
        <v>2332</v>
      </c>
      <c r="F2635">
        <v>9282</v>
      </c>
      <c r="G2635">
        <v>19</v>
      </c>
      <c r="H2635">
        <v>11045.58</v>
      </c>
      <c r="I2635" t="s">
        <v>24</v>
      </c>
      <c r="J2635" t="s">
        <v>25</v>
      </c>
      <c r="K2635">
        <v>0</v>
      </c>
      <c r="L2635">
        <v>0</v>
      </c>
      <c r="M2635" t="s">
        <v>25</v>
      </c>
      <c r="N2635" t="s">
        <v>25</v>
      </c>
      <c r="O2635" t="s">
        <v>26</v>
      </c>
      <c r="P2635" t="s">
        <v>25</v>
      </c>
      <c r="Q2635" t="s">
        <v>2927</v>
      </c>
      <c r="R2635" t="s">
        <v>2928</v>
      </c>
    </row>
    <row r="2636" spans="1:18">
      <c r="A2636">
        <v>2646</v>
      </c>
      <c r="B2636" t="s">
        <v>2934</v>
      </c>
      <c r="C2636" t="s">
        <v>247</v>
      </c>
      <c r="D2636" t="s">
        <v>22</v>
      </c>
      <c r="E2636" t="s">
        <v>2332</v>
      </c>
      <c r="F2636">
        <v>8700</v>
      </c>
      <c r="G2636">
        <v>0</v>
      </c>
      <c r="H2636">
        <v>8700</v>
      </c>
      <c r="I2636" t="s">
        <v>24</v>
      </c>
      <c r="J2636" t="s">
        <v>25</v>
      </c>
      <c r="K2636">
        <v>0</v>
      </c>
      <c r="L2636">
        <v>0</v>
      </c>
      <c r="M2636" t="s">
        <v>25</v>
      </c>
      <c r="N2636" t="s">
        <v>25</v>
      </c>
      <c r="O2636" t="s">
        <v>26</v>
      </c>
      <c r="P2636" t="s">
        <v>25</v>
      </c>
      <c r="Q2636" t="s">
        <v>2927</v>
      </c>
      <c r="R2636" t="s">
        <v>1915</v>
      </c>
    </row>
    <row r="2637" spans="1:18">
      <c r="A2637">
        <v>2647</v>
      </c>
      <c r="B2637" t="s">
        <v>2935</v>
      </c>
      <c r="C2637" t="s">
        <v>21</v>
      </c>
      <c r="D2637" t="s">
        <v>22</v>
      </c>
      <c r="E2637" t="s">
        <v>2332</v>
      </c>
      <c r="F2637">
        <v>19600</v>
      </c>
      <c r="G2637">
        <v>0</v>
      </c>
      <c r="H2637">
        <v>19600</v>
      </c>
      <c r="I2637" t="s">
        <v>24</v>
      </c>
      <c r="J2637" t="s">
        <v>25</v>
      </c>
      <c r="K2637">
        <v>0</v>
      </c>
      <c r="L2637">
        <v>0</v>
      </c>
      <c r="M2637" t="s">
        <v>25</v>
      </c>
      <c r="N2637" t="s">
        <v>25</v>
      </c>
      <c r="O2637" t="s">
        <v>26</v>
      </c>
      <c r="P2637" t="s">
        <v>25</v>
      </c>
      <c r="Q2637" t="s">
        <v>2927</v>
      </c>
      <c r="R2637" t="s">
        <v>1915</v>
      </c>
    </row>
    <row r="2638" spans="1:18">
      <c r="A2638">
        <v>2648</v>
      </c>
      <c r="B2638" t="s">
        <v>2936</v>
      </c>
      <c r="C2638" t="s">
        <v>21</v>
      </c>
      <c r="D2638" t="s">
        <v>22</v>
      </c>
      <c r="E2638" t="s">
        <v>2332</v>
      </c>
      <c r="F2638">
        <v>4800</v>
      </c>
      <c r="G2638">
        <v>0</v>
      </c>
      <c r="H2638">
        <v>4800</v>
      </c>
      <c r="I2638" t="s">
        <v>24</v>
      </c>
      <c r="J2638" t="s">
        <v>25</v>
      </c>
      <c r="K2638">
        <v>0</v>
      </c>
      <c r="L2638">
        <v>0</v>
      </c>
      <c r="M2638" t="s">
        <v>25</v>
      </c>
      <c r="N2638" t="s">
        <v>25</v>
      </c>
      <c r="O2638" t="s">
        <v>26</v>
      </c>
      <c r="P2638" t="s">
        <v>25</v>
      </c>
      <c r="Q2638" t="s">
        <v>2927</v>
      </c>
      <c r="R2638" t="s">
        <v>1915</v>
      </c>
    </row>
    <row r="2639" spans="1:18">
      <c r="A2639">
        <v>2649</v>
      </c>
      <c r="B2639" t="s">
        <v>2937</v>
      </c>
      <c r="C2639" t="s">
        <v>36</v>
      </c>
      <c r="D2639" t="s">
        <v>217</v>
      </c>
      <c r="E2639" t="s">
        <v>2938</v>
      </c>
      <c r="F2639">
        <v>0</v>
      </c>
      <c r="G2639">
        <v>0</v>
      </c>
      <c r="H2639">
        <v>0</v>
      </c>
      <c r="I2639" t="s">
        <v>24</v>
      </c>
      <c r="J2639" t="s">
        <v>25</v>
      </c>
      <c r="K2639">
        <v>0</v>
      </c>
      <c r="L2639">
        <v>0</v>
      </c>
      <c r="M2639" t="s">
        <v>25</v>
      </c>
      <c r="N2639" t="s">
        <v>25</v>
      </c>
      <c r="O2639" t="s">
        <v>26</v>
      </c>
      <c r="P2639" t="s">
        <v>25</v>
      </c>
      <c r="Q2639" t="s">
        <v>231</v>
      </c>
      <c r="R2639" t="s">
        <v>1501</v>
      </c>
    </row>
    <row r="2640" spans="1:18">
      <c r="A2640">
        <v>2650</v>
      </c>
      <c r="B2640" t="s">
        <v>2939</v>
      </c>
      <c r="C2640" t="s">
        <v>36</v>
      </c>
      <c r="D2640" t="s">
        <v>217</v>
      </c>
      <c r="E2640" t="s">
        <v>617</v>
      </c>
      <c r="F2640">
        <v>0</v>
      </c>
      <c r="G2640">
        <v>0</v>
      </c>
      <c r="H2640">
        <v>0</v>
      </c>
      <c r="I2640" t="s">
        <v>24</v>
      </c>
      <c r="J2640" t="s">
        <v>25</v>
      </c>
      <c r="K2640">
        <v>0</v>
      </c>
      <c r="L2640">
        <v>0</v>
      </c>
      <c r="M2640" t="s">
        <v>25</v>
      </c>
      <c r="N2640" t="s">
        <v>25</v>
      </c>
      <c r="O2640" t="s">
        <v>26</v>
      </c>
      <c r="P2640" t="s">
        <v>25</v>
      </c>
      <c r="Q2640" t="s">
        <v>231</v>
      </c>
      <c r="R2640" t="s">
        <v>1501</v>
      </c>
    </row>
    <row r="2641" spans="1:18">
      <c r="A2641">
        <v>2651</v>
      </c>
      <c r="B2641" t="s">
        <v>2940</v>
      </c>
      <c r="C2641" t="s">
        <v>21</v>
      </c>
      <c r="D2641" t="s">
        <v>22</v>
      </c>
      <c r="E2641" t="s">
        <v>23</v>
      </c>
      <c r="F2641">
        <v>0</v>
      </c>
      <c r="G2641">
        <v>0</v>
      </c>
      <c r="H2641">
        <v>0</v>
      </c>
      <c r="I2641" t="s">
        <v>24</v>
      </c>
      <c r="J2641" t="s">
        <v>25</v>
      </c>
      <c r="K2641">
        <v>0</v>
      </c>
      <c r="L2641">
        <v>0</v>
      </c>
      <c r="M2641" t="s">
        <v>25</v>
      </c>
      <c r="N2641" t="s">
        <v>25</v>
      </c>
      <c r="O2641" t="s">
        <v>26</v>
      </c>
      <c r="P2641" t="s">
        <v>25</v>
      </c>
      <c r="Q2641" t="s">
        <v>231</v>
      </c>
      <c r="R2641" t="s">
        <v>1501</v>
      </c>
    </row>
    <row r="2642" spans="1:18">
      <c r="A2642">
        <v>2652</v>
      </c>
      <c r="B2642" t="s">
        <v>2941</v>
      </c>
      <c r="C2642" t="s">
        <v>36</v>
      </c>
      <c r="D2642" t="s">
        <v>217</v>
      </c>
      <c r="E2642" t="s">
        <v>2942</v>
      </c>
      <c r="F2642">
        <v>0</v>
      </c>
      <c r="G2642">
        <v>0</v>
      </c>
      <c r="H2642">
        <v>0</v>
      </c>
      <c r="I2642" t="s">
        <v>24</v>
      </c>
      <c r="J2642" t="s">
        <v>25</v>
      </c>
      <c r="K2642">
        <v>0</v>
      </c>
      <c r="L2642">
        <v>0</v>
      </c>
      <c r="M2642" t="s">
        <v>25</v>
      </c>
      <c r="N2642" t="s">
        <v>25</v>
      </c>
      <c r="O2642" t="s">
        <v>26</v>
      </c>
      <c r="P2642" t="s">
        <v>25</v>
      </c>
      <c r="Q2642" t="s">
        <v>231</v>
      </c>
      <c r="R2642" t="s">
        <v>1501</v>
      </c>
    </row>
    <row r="2643" spans="1:18">
      <c r="A2643">
        <v>2653</v>
      </c>
      <c r="B2643" t="s">
        <v>2943</v>
      </c>
      <c r="C2643" t="s">
        <v>36</v>
      </c>
      <c r="D2643" t="s">
        <v>217</v>
      </c>
      <c r="E2643" t="s">
        <v>2944</v>
      </c>
      <c r="F2643">
        <v>0</v>
      </c>
      <c r="G2643">
        <v>0</v>
      </c>
      <c r="H2643">
        <v>0</v>
      </c>
      <c r="I2643" t="s">
        <v>24</v>
      </c>
      <c r="J2643" t="s">
        <v>25</v>
      </c>
      <c r="K2643">
        <v>0</v>
      </c>
      <c r="L2643">
        <v>0</v>
      </c>
      <c r="M2643" t="s">
        <v>25</v>
      </c>
      <c r="N2643" t="s">
        <v>25</v>
      </c>
      <c r="O2643" t="s">
        <v>26</v>
      </c>
      <c r="P2643" t="s">
        <v>25</v>
      </c>
      <c r="Q2643" t="s">
        <v>231</v>
      </c>
      <c r="R2643" t="s">
        <v>1501</v>
      </c>
    </row>
    <row r="2644" spans="1:18">
      <c r="A2644">
        <v>2654</v>
      </c>
      <c r="B2644" t="s">
        <v>2945</v>
      </c>
      <c r="C2644" t="s">
        <v>36</v>
      </c>
      <c r="D2644" t="s">
        <v>217</v>
      </c>
      <c r="E2644" t="s">
        <v>2946</v>
      </c>
      <c r="F2644">
        <v>0</v>
      </c>
      <c r="G2644">
        <v>0</v>
      </c>
      <c r="H2644">
        <v>0</v>
      </c>
      <c r="I2644" t="s">
        <v>24</v>
      </c>
      <c r="J2644" t="s">
        <v>25</v>
      </c>
      <c r="K2644">
        <v>0</v>
      </c>
      <c r="L2644">
        <v>0</v>
      </c>
      <c r="M2644" t="s">
        <v>25</v>
      </c>
      <c r="N2644" t="s">
        <v>25</v>
      </c>
      <c r="O2644" t="s">
        <v>26</v>
      </c>
      <c r="P2644" t="s">
        <v>25</v>
      </c>
      <c r="Q2644" t="s">
        <v>231</v>
      </c>
      <c r="R2644" t="s">
        <v>1501</v>
      </c>
    </row>
    <row r="2645" spans="1:18">
      <c r="A2645">
        <v>2655</v>
      </c>
      <c r="B2645" t="s">
        <v>2947</v>
      </c>
      <c r="C2645" t="s">
        <v>36</v>
      </c>
      <c r="D2645" t="s">
        <v>217</v>
      </c>
      <c r="E2645" t="s">
        <v>1404</v>
      </c>
      <c r="F2645">
        <v>0</v>
      </c>
      <c r="G2645">
        <v>0</v>
      </c>
      <c r="H2645">
        <v>0</v>
      </c>
      <c r="I2645" t="s">
        <v>24</v>
      </c>
      <c r="J2645" t="s">
        <v>25</v>
      </c>
      <c r="K2645">
        <v>0</v>
      </c>
      <c r="L2645">
        <v>0</v>
      </c>
      <c r="M2645" t="s">
        <v>25</v>
      </c>
      <c r="N2645" t="s">
        <v>25</v>
      </c>
      <c r="O2645" t="s">
        <v>26</v>
      </c>
      <c r="P2645" t="s">
        <v>25</v>
      </c>
      <c r="Q2645" t="s">
        <v>231</v>
      </c>
      <c r="R2645" t="s">
        <v>1501</v>
      </c>
    </row>
    <row r="2646" spans="1:18">
      <c r="A2646">
        <v>2656</v>
      </c>
      <c r="B2646" t="s">
        <v>2948</v>
      </c>
      <c r="C2646" t="s">
        <v>36</v>
      </c>
      <c r="D2646" t="s">
        <v>22</v>
      </c>
      <c r="E2646" t="s">
        <v>2949</v>
      </c>
      <c r="F2646">
        <v>0</v>
      </c>
      <c r="G2646">
        <v>0</v>
      </c>
      <c r="H2646">
        <v>0</v>
      </c>
      <c r="I2646" t="s">
        <v>24</v>
      </c>
      <c r="J2646" t="s">
        <v>25</v>
      </c>
      <c r="K2646">
        <v>0</v>
      </c>
      <c r="L2646">
        <v>0</v>
      </c>
      <c r="M2646" t="s">
        <v>25</v>
      </c>
      <c r="N2646" t="s">
        <v>25</v>
      </c>
      <c r="O2646" t="s">
        <v>26</v>
      </c>
      <c r="P2646" t="s">
        <v>25</v>
      </c>
      <c r="Q2646" t="s">
        <v>231</v>
      </c>
      <c r="R2646" t="s">
        <v>1501</v>
      </c>
    </row>
    <row r="2647" spans="1:18">
      <c r="A2647">
        <v>2657</v>
      </c>
      <c r="B2647" t="s">
        <v>2950</v>
      </c>
      <c r="C2647" t="s">
        <v>36</v>
      </c>
      <c r="D2647" t="s">
        <v>217</v>
      </c>
      <c r="E2647" t="s">
        <v>37</v>
      </c>
      <c r="F2647">
        <v>0</v>
      </c>
      <c r="G2647">
        <v>0</v>
      </c>
      <c r="H2647">
        <v>0</v>
      </c>
      <c r="I2647" t="s">
        <v>24</v>
      </c>
      <c r="J2647" t="s">
        <v>25</v>
      </c>
      <c r="K2647">
        <v>0</v>
      </c>
      <c r="L2647">
        <v>0</v>
      </c>
      <c r="M2647" t="s">
        <v>25</v>
      </c>
      <c r="N2647" t="s">
        <v>25</v>
      </c>
      <c r="O2647" t="s">
        <v>26</v>
      </c>
      <c r="P2647" t="s">
        <v>25</v>
      </c>
      <c r="Q2647" t="s">
        <v>231</v>
      </c>
      <c r="R2647" t="s">
        <v>568</v>
      </c>
    </row>
    <row r="2648" spans="1:18">
      <c r="A2648">
        <v>2658</v>
      </c>
      <c r="B2648" t="s">
        <v>2951</v>
      </c>
      <c r="C2648" t="s">
        <v>21</v>
      </c>
      <c r="D2648" t="s">
        <v>22</v>
      </c>
      <c r="E2648" t="s">
        <v>1943</v>
      </c>
      <c r="F2648">
        <v>0</v>
      </c>
      <c r="G2648">
        <v>0</v>
      </c>
      <c r="H2648">
        <v>0</v>
      </c>
      <c r="I2648" t="s">
        <v>24</v>
      </c>
      <c r="J2648" t="s">
        <v>25</v>
      </c>
      <c r="K2648">
        <v>0</v>
      </c>
      <c r="L2648">
        <v>0</v>
      </c>
      <c r="M2648" t="s">
        <v>25</v>
      </c>
      <c r="N2648" t="s">
        <v>25</v>
      </c>
      <c r="O2648" t="s">
        <v>26</v>
      </c>
      <c r="P2648" t="s">
        <v>25</v>
      </c>
      <c r="Q2648" t="s">
        <v>231</v>
      </c>
      <c r="R2648" t="s">
        <v>568</v>
      </c>
    </row>
    <row r="2649" spans="1:18">
      <c r="A2649">
        <v>2659</v>
      </c>
      <c r="B2649" t="s">
        <v>2952</v>
      </c>
      <c r="C2649" t="s">
        <v>21</v>
      </c>
      <c r="D2649" t="s">
        <v>22</v>
      </c>
      <c r="E2649" t="s">
        <v>2953</v>
      </c>
      <c r="F2649">
        <v>0</v>
      </c>
      <c r="G2649">
        <v>0</v>
      </c>
      <c r="H2649">
        <v>0</v>
      </c>
      <c r="I2649" t="s">
        <v>24</v>
      </c>
      <c r="J2649" t="s">
        <v>25</v>
      </c>
      <c r="K2649">
        <v>0</v>
      </c>
      <c r="L2649">
        <v>0</v>
      </c>
      <c r="M2649" t="s">
        <v>25</v>
      </c>
      <c r="N2649" t="s">
        <v>25</v>
      </c>
      <c r="O2649" t="s">
        <v>26</v>
      </c>
      <c r="P2649" t="s">
        <v>25</v>
      </c>
      <c r="Q2649" t="s">
        <v>231</v>
      </c>
      <c r="R2649" t="s">
        <v>568</v>
      </c>
    </row>
    <row r="2650" spans="1:18">
      <c r="A2650">
        <v>2660</v>
      </c>
      <c r="B2650" t="s">
        <v>2954</v>
      </c>
      <c r="C2650" t="s">
        <v>36</v>
      </c>
      <c r="D2650" t="s">
        <v>217</v>
      </c>
      <c r="E2650" t="s">
        <v>2955</v>
      </c>
      <c r="F2650">
        <v>0</v>
      </c>
      <c r="G2650">
        <v>0</v>
      </c>
      <c r="H2650">
        <v>0</v>
      </c>
      <c r="I2650" t="s">
        <v>24</v>
      </c>
      <c r="J2650" t="s">
        <v>25</v>
      </c>
      <c r="K2650">
        <v>0</v>
      </c>
      <c r="L2650">
        <v>0</v>
      </c>
      <c r="M2650" t="s">
        <v>25</v>
      </c>
      <c r="N2650" t="s">
        <v>25</v>
      </c>
      <c r="O2650" t="s">
        <v>26</v>
      </c>
      <c r="P2650" t="s">
        <v>25</v>
      </c>
      <c r="Q2650" t="s">
        <v>231</v>
      </c>
      <c r="R2650" t="s">
        <v>568</v>
      </c>
    </row>
    <row r="2651" spans="1:18">
      <c r="A2651">
        <v>2661</v>
      </c>
      <c r="B2651" t="s">
        <v>2956</v>
      </c>
      <c r="C2651" t="s">
        <v>36</v>
      </c>
      <c r="D2651" t="s">
        <v>22</v>
      </c>
      <c r="E2651" t="s">
        <v>2957</v>
      </c>
      <c r="F2651">
        <v>0</v>
      </c>
      <c r="G2651">
        <v>0</v>
      </c>
      <c r="H2651">
        <v>0</v>
      </c>
      <c r="I2651" t="s">
        <v>24</v>
      </c>
      <c r="J2651" t="s">
        <v>25</v>
      </c>
      <c r="K2651">
        <v>0</v>
      </c>
      <c r="L2651">
        <v>0</v>
      </c>
      <c r="M2651" t="s">
        <v>25</v>
      </c>
      <c r="N2651" t="s">
        <v>25</v>
      </c>
      <c r="O2651" t="s">
        <v>26</v>
      </c>
      <c r="P2651" t="s">
        <v>25</v>
      </c>
      <c r="Q2651" t="s">
        <v>231</v>
      </c>
      <c r="R2651" t="s">
        <v>568</v>
      </c>
    </row>
    <row r="2652" spans="1:18">
      <c r="A2652">
        <v>2662</v>
      </c>
      <c r="B2652" t="s">
        <v>2958</v>
      </c>
      <c r="C2652" t="s">
        <v>36</v>
      </c>
      <c r="D2652" t="s">
        <v>217</v>
      </c>
      <c r="E2652" t="s">
        <v>321</v>
      </c>
      <c r="F2652">
        <v>0</v>
      </c>
      <c r="G2652">
        <v>0</v>
      </c>
      <c r="H2652">
        <v>0</v>
      </c>
      <c r="I2652" t="s">
        <v>24</v>
      </c>
      <c r="J2652" t="s">
        <v>25</v>
      </c>
      <c r="K2652">
        <v>0</v>
      </c>
      <c r="L2652">
        <v>0</v>
      </c>
      <c r="M2652" t="s">
        <v>25</v>
      </c>
      <c r="N2652" t="s">
        <v>25</v>
      </c>
      <c r="O2652" t="s">
        <v>26</v>
      </c>
      <c r="P2652" t="s">
        <v>25</v>
      </c>
      <c r="Q2652" t="s">
        <v>231</v>
      </c>
      <c r="R2652" t="s">
        <v>568</v>
      </c>
    </row>
    <row r="2653" spans="1:18">
      <c r="A2653">
        <v>2663</v>
      </c>
      <c r="B2653" t="s">
        <v>2959</v>
      </c>
      <c r="C2653" t="s">
        <v>36</v>
      </c>
      <c r="D2653" t="s">
        <v>217</v>
      </c>
      <c r="E2653" t="s">
        <v>321</v>
      </c>
      <c r="F2653">
        <v>0</v>
      </c>
      <c r="G2653">
        <v>0</v>
      </c>
      <c r="H2653">
        <v>0</v>
      </c>
      <c r="I2653" t="s">
        <v>24</v>
      </c>
      <c r="J2653" t="s">
        <v>25</v>
      </c>
      <c r="K2653">
        <v>0</v>
      </c>
      <c r="L2653">
        <v>0</v>
      </c>
      <c r="M2653" t="s">
        <v>25</v>
      </c>
      <c r="N2653" t="s">
        <v>25</v>
      </c>
      <c r="O2653" t="s">
        <v>26</v>
      </c>
      <c r="P2653" t="s">
        <v>25</v>
      </c>
      <c r="Q2653" t="s">
        <v>231</v>
      </c>
      <c r="R2653" t="s">
        <v>568</v>
      </c>
    </row>
    <row r="2654" spans="1:18">
      <c r="A2654">
        <v>2664</v>
      </c>
      <c r="B2654" t="s">
        <v>2960</v>
      </c>
      <c r="C2654" t="s">
        <v>36</v>
      </c>
      <c r="D2654" t="s">
        <v>217</v>
      </c>
      <c r="E2654" t="s">
        <v>321</v>
      </c>
      <c r="F2654">
        <v>0</v>
      </c>
      <c r="G2654">
        <v>0</v>
      </c>
      <c r="H2654">
        <v>0</v>
      </c>
      <c r="I2654" t="s">
        <v>24</v>
      </c>
      <c r="J2654" t="s">
        <v>25</v>
      </c>
      <c r="K2654">
        <v>0</v>
      </c>
      <c r="L2654">
        <v>0</v>
      </c>
      <c r="M2654" t="s">
        <v>25</v>
      </c>
      <c r="N2654" t="s">
        <v>25</v>
      </c>
      <c r="O2654" t="s">
        <v>26</v>
      </c>
      <c r="P2654" t="s">
        <v>25</v>
      </c>
      <c r="Q2654" t="s">
        <v>231</v>
      </c>
      <c r="R2654" t="s">
        <v>568</v>
      </c>
    </row>
    <row r="2655" spans="1:18">
      <c r="A2655">
        <v>2665</v>
      </c>
      <c r="B2655" t="s">
        <v>2961</v>
      </c>
      <c r="C2655" t="s">
        <v>36</v>
      </c>
      <c r="D2655" t="s">
        <v>217</v>
      </c>
      <c r="E2655" t="s">
        <v>321</v>
      </c>
      <c r="F2655">
        <v>0</v>
      </c>
      <c r="G2655">
        <v>0</v>
      </c>
      <c r="H2655">
        <v>0</v>
      </c>
      <c r="I2655" t="s">
        <v>24</v>
      </c>
      <c r="J2655" t="s">
        <v>25</v>
      </c>
      <c r="K2655">
        <v>0</v>
      </c>
      <c r="L2655">
        <v>0</v>
      </c>
      <c r="M2655" t="s">
        <v>25</v>
      </c>
      <c r="N2655" t="s">
        <v>25</v>
      </c>
      <c r="O2655" t="s">
        <v>26</v>
      </c>
      <c r="P2655" t="s">
        <v>25</v>
      </c>
      <c r="Q2655" t="s">
        <v>231</v>
      </c>
      <c r="R2655" t="s">
        <v>568</v>
      </c>
    </row>
    <row r="2656" spans="1:18">
      <c r="A2656">
        <v>2666</v>
      </c>
      <c r="B2656" t="s">
        <v>2962</v>
      </c>
      <c r="C2656" t="s">
        <v>1580</v>
      </c>
      <c r="D2656" t="s">
        <v>22</v>
      </c>
      <c r="E2656" t="s">
        <v>2963</v>
      </c>
      <c r="F2656">
        <v>0</v>
      </c>
      <c r="G2656">
        <v>0</v>
      </c>
      <c r="H2656">
        <v>0</v>
      </c>
      <c r="I2656" t="s">
        <v>24</v>
      </c>
      <c r="J2656" t="s">
        <v>25</v>
      </c>
      <c r="K2656">
        <v>0</v>
      </c>
      <c r="L2656">
        <v>0</v>
      </c>
      <c r="M2656" t="s">
        <v>25</v>
      </c>
      <c r="N2656" t="s">
        <v>25</v>
      </c>
      <c r="O2656" t="s">
        <v>26</v>
      </c>
      <c r="P2656" t="s">
        <v>25</v>
      </c>
      <c r="Q2656" t="s">
        <v>231</v>
      </c>
      <c r="R2656" t="s">
        <v>2964</v>
      </c>
    </row>
    <row r="2657" spans="1:18">
      <c r="A2657">
        <v>2667</v>
      </c>
      <c r="B2657" t="s">
        <v>2965</v>
      </c>
      <c r="C2657" t="s">
        <v>1580</v>
      </c>
      <c r="D2657" t="s">
        <v>22</v>
      </c>
      <c r="E2657" t="s">
        <v>2966</v>
      </c>
      <c r="F2657">
        <v>0</v>
      </c>
      <c r="G2657">
        <v>0</v>
      </c>
      <c r="H2657">
        <v>0</v>
      </c>
      <c r="I2657" t="s">
        <v>24</v>
      </c>
      <c r="J2657" t="s">
        <v>25</v>
      </c>
      <c r="K2657">
        <v>0</v>
      </c>
      <c r="L2657">
        <v>0</v>
      </c>
      <c r="M2657" t="s">
        <v>25</v>
      </c>
      <c r="N2657" t="s">
        <v>25</v>
      </c>
      <c r="O2657" t="s">
        <v>26</v>
      </c>
      <c r="P2657" t="s">
        <v>25</v>
      </c>
      <c r="Q2657" t="s">
        <v>231</v>
      </c>
      <c r="R2657" t="s">
        <v>2964</v>
      </c>
    </row>
    <row r="2658" spans="1:18">
      <c r="A2658">
        <v>2668</v>
      </c>
      <c r="B2658" t="s">
        <v>2967</v>
      </c>
      <c r="C2658" t="s">
        <v>1580</v>
      </c>
      <c r="D2658" t="s">
        <v>22</v>
      </c>
      <c r="E2658" t="s">
        <v>2968</v>
      </c>
      <c r="F2658">
        <v>0</v>
      </c>
      <c r="G2658">
        <v>0</v>
      </c>
      <c r="H2658">
        <v>0</v>
      </c>
      <c r="I2658" t="s">
        <v>24</v>
      </c>
      <c r="J2658" t="s">
        <v>25</v>
      </c>
      <c r="K2658">
        <v>0</v>
      </c>
      <c r="L2658">
        <v>0</v>
      </c>
      <c r="M2658" t="s">
        <v>25</v>
      </c>
      <c r="N2658" t="s">
        <v>25</v>
      </c>
      <c r="O2658" t="s">
        <v>26</v>
      </c>
      <c r="P2658" t="s">
        <v>25</v>
      </c>
      <c r="Q2658" t="s">
        <v>231</v>
      </c>
      <c r="R2658" t="s">
        <v>2964</v>
      </c>
    </row>
    <row r="2659" spans="1:18">
      <c r="A2659">
        <v>2669</v>
      </c>
      <c r="B2659" t="s">
        <v>2969</v>
      </c>
      <c r="C2659" t="s">
        <v>1580</v>
      </c>
      <c r="D2659" t="s">
        <v>22</v>
      </c>
      <c r="E2659" t="s">
        <v>2970</v>
      </c>
      <c r="F2659">
        <v>0</v>
      </c>
      <c r="G2659">
        <v>0</v>
      </c>
      <c r="H2659">
        <v>0</v>
      </c>
      <c r="I2659" t="s">
        <v>24</v>
      </c>
      <c r="J2659" t="s">
        <v>25</v>
      </c>
      <c r="K2659">
        <v>0</v>
      </c>
      <c r="L2659">
        <v>0</v>
      </c>
      <c r="M2659" t="s">
        <v>25</v>
      </c>
      <c r="N2659" t="s">
        <v>25</v>
      </c>
      <c r="O2659" t="s">
        <v>26</v>
      </c>
      <c r="P2659" t="s">
        <v>25</v>
      </c>
      <c r="Q2659" t="s">
        <v>231</v>
      </c>
      <c r="R2659" t="s">
        <v>2964</v>
      </c>
    </row>
    <row r="2660" spans="1:18">
      <c r="A2660">
        <v>2670</v>
      </c>
      <c r="B2660" t="s">
        <v>2971</v>
      </c>
      <c r="C2660" t="s">
        <v>1580</v>
      </c>
      <c r="D2660" t="s">
        <v>22</v>
      </c>
      <c r="E2660" t="s">
        <v>2972</v>
      </c>
      <c r="F2660">
        <v>0</v>
      </c>
      <c r="G2660">
        <v>0</v>
      </c>
      <c r="H2660">
        <v>0</v>
      </c>
      <c r="I2660" t="s">
        <v>24</v>
      </c>
      <c r="J2660" t="s">
        <v>25</v>
      </c>
      <c r="K2660">
        <v>0</v>
      </c>
      <c r="L2660">
        <v>0</v>
      </c>
      <c r="M2660" t="s">
        <v>25</v>
      </c>
      <c r="N2660" t="s">
        <v>25</v>
      </c>
      <c r="O2660" t="s">
        <v>26</v>
      </c>
      <c r="P2660" t="s">
        <v>25</v>
      </c>
      <c r="Q2660" t="s">
        <v>231</v>
      </c>
      <c r="R2660" t="s">
        <v>2964</v>
      </c>
    </row>
    <row r="2661" spans="1:18">
      <c r="A2661">
        <v>2671</v>
      </c>
      <c r="B2661" t="s">
        <v>2973</v>
      </c>
      <c r="C2661" t="s">
        <v>102</v>
      </c>
      <c r="D2661" t="s">
        <v>22</v>
      </c>
      <c r="E2661" t="s">
        <v>1166</v>
      </c>
      <c r="F2661">
        <v>0</v>
      </c>
      <c r="G2661">
        <v>0</v>
      </c>
      <c r="H2661">
        <v>0</v>
      </c>
      <c r="I2661" t="s">
        <v>24</v>
      </c>
      <c r="J2661" t="s">
        <v>25</v>
      </c>
      <c r="K2661">
        <v>0</v>
      </c>
      <c r="L2661">
        <v>0</v>
      </c>
      <c r="M2661" t="s">
        <v>25</v>
      </c>
      <c r="N2661" t="s">
        <v>25</v>
      </c>
      <c r="O2661" t="s">
        <v>26</v>
      </c>
      <c r="P2661" t="s">
        <v>25</v>
      </c>
      <c r="Q2661" t="s">
        <v>231</v>
      </c>
      <c r="R2661" t="s">
        <v>2964</v>
      </c>
    </row>
    <row r="2662" spans="1:18">
      <c r="A2662">
        <v>2672</v>
      </c>
      <c r="B2662" t="s">
        <v>2974</v>
      </c>
      <c r="C2662" t="s">
        <v>102</v>
      </c>
      <c r="D2662" t="s">
        <v>22</v>
      </c>
      <c r="E2662" t="s">
        <v>1166</v>
      </c>
      <c r="F2662">
        <v>0</v>
      </c>
      <c r="G2662">
        <v>0</v>
      </c>
      <c r="H2662">
        <v>0</v>
      </c>
      <c r="I2662" t="s">
        <v>24</v>
      </c>
      <c r="J2662" t="s">
        <v>25</v>
      </c>
      <c r="K2662">
        <v>0</v>
      </c>
      <c r="L2662">
        <v>0</v>
      </c>
      <c r="M2662" t="s">
        <v>25</v>
      </c>
      <c r="N2662" t="s">
        <v>25</v>
      </c>
      <c r="O2662" t="s">
        <v>26</v>
      </c>
      <c r="P2662" t="s">
        <v>25</v>
      </c>
      <c r="Q2662" t="s">
        <v>231</v>
      </c>
      <c r="R2662" t="s">
        <v>2964</v>
      </c>
    </row>
    <row r="2663" spans="1:18">
      <c r="A2663">
        <v>2673</v>
      </c>
      <c r="B2663" t="s">
        <v>2975</v>
      </c>
      <c r="C2663" t="s">
        <v>102</v>
      </c>
      <c r="D2663" t="s">
        <v>22</v>
      </c>
      <c r="E2663" t="s">
        <v>1166</v>
      </c>
      <c r="F2663">
        <v>0</v>
      </c>
      <c r="G2663">
        <v>0</v>
      </c>
      <c r="H2663">
        <v>0</v>
      </c>
      <c r="I2663" t="s">
        <v>24</v>
      </c>
      <c r="J2663" t="s">
        <v>25</v>
      </c>
      <c r="K2663">
        <v>0</v>
      </c>
      <c r="L2663">
        <v>0</v>
      </c>
      <c r="M2663" t="s">
        <v>25</v>
      </c>
      <c r="N2663" t="s">
        <v>25</v>
      </c>
      <c r="O2663" t="s">
        <v>26</v>
      </c>
      <c r="P2663" t="s">
        <v>25</v>
      </c>
      <c r="Q2663" t="s">
        <v>231</v>
      </c>
      <c r="R2663" t="s">
        <v>2976</v>
      </c>
    </row>
    <row r="2664" spans="1:18">
      <c r="A2664">
        <v>2674</v>
      </c>
      <c r="B2664" t="s">
        <v>2977</v>
      </c>
      <c r="C2664" t="s">
        <v>102</v>
      </c>
      <c r="D2664" t="s">
        <v>22</v>
      </c>
      <c r="E2664" t="s">
        <v>1166</v>
      </c>
      <c r="F2664">
        <v>0</v>
      </c>
      <c r="G2664">
        <v>0</v>
      </c>
      <c r="H2664">
        <v>0</v>
      </c>
      <c r="I2664" t="s">
        <v>24</v>
      </c>
      <c r="J2664" t="s">
        <v>25</v>
      </c>
      <c r="K2664">
        <v>0</v>
      </c>
      <c r="L2664">
        <v>0</v>
      </c>
      <c r="M2664" t="s">
        <v>25</v>
      </c>
      <c r="N2664" t="s">
        <v>25</v>
      </c>
      <c r="O2664" t="s">
        <v>26</v>
      </c>
      <c r="P2664" t="s">
        <v>25</v>
      </c>
      <c r="Q2664" t="s">
        <v>231</v>
      </c>
      <c r="R2664" t="s">
        <v>2976</v>
      </c>
    </row>
    <row r="2665" spans="1:18">
      <c r="A2665">
        <v>2675</v>
      </c>
      <c r="B2665" t="s">
        <v>2978</v>
      </c>
      <c r="C2665" t="s">
        <v>36</v>
      </c>
      <c r="D2665" t="s">
        <v>1131</v>
      </c>
      <c r="E2665" t="s">
        <v>1746</v>
      </c>
      <c r="F2665">
        <v>0</v>
      </c>
      <c r="G2665">
        <v>0</v>
      </c>
      <c r="H2665">
        <v>0</v>
      </c>
      <c r="I2665" t="s">
        <v>24</v>
      </c>
      <c r="J2665" t="s">
        <v>25</v>
      </c>
      <c r="K2665">
        <v>0</v>
      </c>
      <c r="L2665">
        <v>0</v>
      </c>
      <c r="M2665" t="s">
        <v>25</v>
      </c>
      <c r="N2665" t="s">
        <v>25</v>
      </c>
      <c r="O2665" t="s">
        <v>26</v>
      </c>
      <c r="P2665" t="s">
        <v>25</v>
      </c>
      <c r="Q2665" t="s">
        <v>231</v>
      </c>
      <c r="R2665" t="s">
        <v>2976</v>
      </c>
    </row>
    <row r="2666" spans="1:18">
      <c r="A2666">
        <v>2676</v>
      </c>
      <c r="B2666" t="s">
        <v>2979</v>
      </c>
      <c r="C2666" t="s">
        <v>36</v>
      </c>
      <c r="D2666" t="s">
        <v>1131</v>
      </c>
      <c r="E2666" t="s">
        <v>1746</v>
      </c>
      <c r="F2666">
        <v>0</v>
      </c>
      <c r="G2666">
        <v>0</v>
      </c>
      <c r="H2666">
        <v>0</v>
      </c>
      <c r="I2666" t="s">
        <v>24</v>
      </c>
      <c r="J2666" t="s">
        <v>25</v>
      </c>
      <c r="K2666">
        <v>0</v>
      </c>
      <c r="L2666">
        <v>0</v>
      </c>
      <c r="M2666" t="s">
        <v>25</v>
      </c>
      <c r="N2666" t="s">
        <v>25</v>
      </c>
      <c r="O2666" t="s">
        <v>26</v>
      </c>
      <c r="P2666" t="s">
        <v>25</v>
      </c>
      <c r="Q2666" t="s">
        <v>231</v>
      </c>
      <c r="R2666" t="s">
        <v>2976</v>
      </c>
    </row>
    <row r="2667" spans="1:18">
      <c r="A2667">
        <v>2677</v>
      </c>
      <c r="B2667" t="s">
        <v>2980</v>
      </c>
      <c r="C2667" t="s">
        <v>102</v>
      </c>
      <c r="D2667" t="s">
        <v>22</v>
      </c>
      <c r="E2667" t="s">
        <v>2916</v>
      </c>
      <c r="F2667">
        <v>0</v>
      </c>
      <c r="G2667">
        <v>0</v>
      </c>
      <c r="H2667">
        <v>0</v>
      </c>
      <c r="I2667" t="s">
        <v>24</v>
      </c>
      <c r="J2667" t="s">
        <v>25</v>
      </c>
      <c r="K2667">
        <v>0</v>
      </c>
      <c r="L2667">
        <v>0</v>
      </c>
      <c r="M2667" t="s">
        <v>25</v>
      </c>
      <c r="N2667" t="s">
        <v>25</v>
      </c>
      <c r="O2667" t="s">
        <v>26</v>
      </c>
      <c r="P2667" t="s">
        <v>25</v>
      </c>
      <c r="Q2667" t="s">
        <v>231</v>
      </c>
      <c r="R2667" t="s">
        <v>2981</v>
      </c>
    </row>
    <row r="2668" spans="1:18">
      <c r="A2668">
        <v>2678</v>
      </c>
      <c r="B2668" t="s">
        <v>2982</v>
      </c>
      <c r="C2668" t="s">
        <v>102</v>
      </c>
      <c r="D2668" t="s">
        <v>22</v>
      </c>
      <c r="E2668" t="s">
        <v>1166</v>
      </c>
      <c r="F2668">
        <v>0</v>
      </c>
      <c r="G2668">
        <v>0</v>
      </c>
      <c r="H2668">
        <v>0</v>
      </c>
      <c r="I2668" t="s">
        <v>24</v>
      </c>
      <c r="J2668" t="s">
        <v>25</v>
      </c>
      <c r="K2668">
        <v>0</v>
      </c>
      <c r="L2668">
        <v>0</v>
      </c>
      <c r="M2668" t="s">
        <v>25</v>
      </c>
      <c r="N2668" t="s">
        <v>25</v>
      </c>
      <c r="O2668" t="s">
        <v>26</v>
      </c>
      <c r="P2668" t="s">
        <v>25</v>
      </c>
      <c r="Q2668" t="s">
        <v>231</v>
      </c>
      <c r="R2668" t="s">
        <v>2981</v>
      </c>
    </row>
    <row r="2669" spans="1:18">
      <c r="A2669">
        <v>2679</v>
      </c>
      <c r="B2669" t="s">
        <v>2983</v>
      </c>
      <c r="C2669" t="s">
        <v>36</v>
      </c>
      <c r="D2669" t="s">
        <v>22</v>
      </c>
      <c r="E2669" t="s">
        <v>1746</v>
      </c>
      <c r="F2669">
        <v>0</v>
      </c>
      <c r="G2669">
        <v>0</v>
      </c>
      <c r="H2669">
        <v>0</v>
      </c>
      <c r="I2669" t="s">
        <v>24</v>
      </c>
      <c r="J2669" t="s">
        <v>25</v>
      </c>
      <c r="K2669">
        <v>0</v>
      </c>
      <c r="L2669">
        <v>0</v>
      </c>
      <c r="M2669" t="s">
        <v>25</v>
      </c>
      <c r="N2669" t="s">
        <v>25</v>
      </c>
      <c r="O2669" t="s">
        <v>26</v>
      </c>
      <c r="P2669" t="s">
        <v>25</v>
      </c>
      <c r="Q2669" t="s">
        <v>231</v>
      </c>
      <c r="R2669" t="s">
        <v>2981</v>
      </c>
    </row>
    <row r="2670" spans="1:18">
      <c r="A2670">
        <v>2680</v>
      </c>
      <c r="B2670" t="s">
        <v>2984</v>
      </c>
      <c r="C2670" t="s">
        <v>102</v>
      </c>
      <c r="D2670" t="s">
        <v>22</v>
      </c>
      <c r="E2670" t="s">
        <v>1166</v>
      </c>
      <c r="F2670">
        <v>0</v>
      </c>
      <c r="G2670">
        <v>0</v>
      </c>
      <c r="H2670">
        <v>0</v>
      </c>
      <c r="I2670" t="s">
        <v>24</v>
      </c>
      <c r="J2670" t="s">
        <v>25</v>
      </c>
      <c r="K2670">
        <v>0</v>
      </c>
      <c r="L2670">
        <v>0</v>
      </c>
      <c r="M2670" t="s">
        <v>25</v>
      </c>
      <c r="N2670" t="s">
        <v>25</v>
      </c>
      <c r="O2670" t="s">
        <v>26</v>
      </c>
      <c r="P2670" t="s">
        <v>25</v>
      </c>
      <c r="Q2670" t="s">
        <v>231</v>
      </c>
      <c r="R2670" t="s">
        <v>2981</v>
      </c>
    </row>
    <row r="2671" spans="1:18">
      <c r="A2671">
        <v>2681</v>
      </c>
      <c r="B2671" t="s">
        <v>2985</v>
      </c>
      <c r="C2671" t="s">
        <v>247</v>
      </c>
      <c r="D2671" t="s">
        <v>22</v>
      </c>
      <c r="E2671" t="s">
        <v>2332</v>
      </c>
      <c r="F2671">
        <v>10710</v>
      </c>
      <c r="G2671">
        <v>0</v>
      </c>
      <c r="H2671">
        <v>10710</v>
      </c>
      <c r="I2671" t="s">
        <v>24</v>
      </c>
      <c r="J2671" t="s">
        <v>25</v>
      </c>
      <c r="K2671">
        <v>0</v>
      </c>
      <c r="L2671">
        <v>0</v>
      </c>
      <c r="M2671" t="s">
        <v>25</v>
      </c>
      <c r="N2671" t="s">
        <v>25</v>
      </c>
      <c r="O2671" t="s">
        <v>26</v>
      </c>
      <c r="P2671" t="s">
        <v>25</v>
      </c>
      <c r="Q2671" t="s">
        <v>2927</v>
      </c>
      <c r="R2671" t="s">
        <v>2986</v>
      </c>
    </row>
    <row r="2672" spans="1:18">
      <c r="A2672">
        <v>2682</v>
      </c>
      <c r="B2672" t="s">
        <v>2987</v>
      </c>
      <c r="C2672" t="s">
        <v>247</v>
      </c>
      <c r="D2672" t="s">
        <v>22</v>
      </c>
      <c r="E2672" t="s">
        <v>2332</v>
      </c>
      <c r="F2672">
        <v>16065</v>
      </c>
      <c r="G2672">
        <v>0</v>
      </c>
      <c r="H2672">
        <v>16065</v>
      </c>
      <c r="I2672" t="s">
        <v>24</v>
      </c>
      <c r="J2672" t="s">
        <v>25</v>
      </c>
      <c r="K2672">
        <v>0</v>
      </c>
      <c r="L2672">
        <v>0</v>
      </c>
      <c r="M2672" t="s">
        <v>25</v>
      </c>
      <c r="N2672" t="s">
        <v>25</v>
      </c>
      <c r="O2672" t="s">
        <v>26</v>
      </c>
      <c r="P2672" t="s">
        <v>25</v>
      </c>
      <c r="Q2672" t="s">
        <v>2927</v>
      </c>
      <c r="R2672" t="s">
        <v>2986</v>
      </c>
    </row>
    <row r="2673" spans="1:20">
      <c r="A2673">
        <v>2683</v>
      </c>
      <c r="B2673" t="s">
        <v>2988</v>
      </c>
      <c r="C2673" t="s">
        <v>320</v>
      </c>
      <c r="D2673" t="s">
        <v>217</v>
      </c>
      <c r="E2673" t="s">
        <v>321</v>
      </c>
      <c r="F2673">
        <v>0</v>
      </c>
      <c r="G2673">
        <v>0</v>
      </c>
      <c r="H2673">
        <v>0</v>
      </c>
      <c r="I2673" t="s">
        <v>24</v>
      </c>
      <c r="J2673" t="s">
        <v>25</v>
      </c>
      <c r="K2673">
        <v>0</v>
      </c>
      <c r="L2673">
        <v>0</v>
      </c>
      <c r="M2673" t="s">
        <v>25</v>
      </c>
      <c r="N2673" t="s">
        <v>25</v>
      </c>
      <c r="O2673" t="s">
        <v>26</v>
      </c>
      <c r="P2673" t="s">
        <v>25</v>
      </c>
      <c r="Q2673" t="s">
        <v>231</v>
      </c>
      <c r="R2673" t="s">
        <v>588</v>
      </c>
    </row>
    <row r="2674" spans="1:20">
      <c r="A2674">
        <v>2684</v>
      </c>
      <c r="B2674" t="s">
        <v>2989</v>
      </c>
      <c r="C2674" t="s">
        <v>102</v>
      </c>
      <c r="D2674" t="s">
        <v>22</v>
      </c>
      <c r="E2674" t="s">
        <v>2990</v>
      </c>
      <c r="F2674">
        <v>0</v>
      </c>
      <c r="G2674">
        <v>0</v>
      </c>
      <c r="H2674">
        <v>0</v>
      </c>
      <c r="I2674" t="s">
        <v>24</v>
      </c>
      <c r="J2674" t="s">
        <v>25</v>
      </c>
      <c r="K2674">
        <v>0</v>
      </c>
      <c r="L2674">
        <v>0</v>
      </c>
      <c r="M2674" t="s">
        <v>25</v>
      </c>
      <c r="N2674" t="s">
        <v>25</v>
      </c>
      <c r="O2674" t="s">
        <v>26</v>
      </c>
      <c r="P2674" t="s">
        <v>25</v>
      </c>
      <c r="Q2674" t="s">
        <v>231</v>
      </c>
      <c r="R2674" t="s">
        <v>588</v>
      </c>
      <c r="S2674" t="s">
        <v>231</v>
      </c>
      <c r="T2674" t="s">
        <v>588</v>
      </c>
    </row>
    <row r="2675" spans="1:20">
      <c r="A2675">
        <v>2685</v>
      </c>
      <c r="B2675" t="s">
        <v>2991</v>
      </c>
      <c r="C2675" t="s">
        <v>102</v>
      </c>
      <c r="D2675" t="s">
        <v>22</v>
      </c>
      <c r="E2675" t="s">
        <v>23</v>
      </c>
      <c r="F2675">
        <v>0</v>
      </c>
      <c r="G2675">
        <v>0</v>
      </c>
      <c r="H2675">
        <v>0</v>
      </c>
      <c r="I2675" t="s">
        <v>24</v>
      </c>
      <c r="J2675" t="s">
        <v>25</v>
      </c>
      <c r="K2675">
        <v>0</v>
      </c>
      <c r="L2675">
        <v>0</v>
      </c>
      <c r="M2675" t="s">
        <v>25</v>
      </c>
      <c r="N2675" t="s">
        <v>25</v>
      </c>
      <c r="O2675" t="s">
        <v>26</v>
      </c>
      <c r="P2675" t="s">
        <v>25</v>
      </c>
      <c r="Q2675" t="s">
        <v>231</v>
      </c>
      <c r="R2675" t="s">
        <v>2150</v>
      </c>
    </row>
    <row r="2676" spans="1:20">
      <c r="A2676">
        <v>2686</v>
      </c>
      <c r="B2676" t="s">
        <v>2992</v>
      </c>
      <c r="C2676" t="s">
        <v>102</v>
      </c>
      <c r="D2676" t="s">
        <v>22</v>
      </c>
      <c r="E2676" t="s">
        <v>23</v>
      </c>
      <c r="F2676">
        <v>0</v>
      </c>
      <c r="G2676">
        <v>0</v>
      </c>
      <c r="H2676">
        <v>0</v>
      </c>
      <c r="I2676" t="s">
        <v>24</v>
      </c>
      <c r="J2676" t="s">
        <v>25</v>
      </c>
      <c r="K2676">
        <v>0</v>
      </c>
      <c r="L2676">
        <v>0</v>
      </c>
      <c r="M2676" t="s">
        <v>25</v>
      </c>
      <c r="N2676" t="s">
        <v>25</v>
      </c>
      <c r="O2676" t="s">
        <v>26</v>
      </c>
      <c r="P2676" t="s">
        <v>25</v>
      </c>
      <c r="Q2676" t="s">
        <v>231</v>
      </c>
      <c r="R2676" t="s">
        <v>2150</v>
      </c>
    </row>
    <row r="2677" spans="1:20">
      <c r="A2677">
        <v>2687</v>
      </c>
      <c r="B2677" t="s">
        <v>2993</v>
      </c>
      <c r="C2677" t="s">
        <v>102</v>
      </c>
      <c r="D2677" t="s">
        <v>22</v>
      </c>
      <c r="E2677" t="s">
        <v>23</v>
      </c>
      <c r="F2677">
        <v>0</v>
      </c>
      <c r="G2677">
        <v>0</v>
      </c>
      <c r="H2677">
        <v>0</v>
      </c>
      <c r="I2677" t="s">
        <v>24</v>
      </c>
      <c r="J2677" t="s">
        <v>25</v>
      </c>
      <c r="K2677">
        <v>0</v>
      </c>
      <c r="L2677">
        <v>0</v>
      </c>
      <c r="M2677" t="s">
        <v>25</v>
      </c>
      <c r="N2677" t="s">
        <v>25</v>
      </c>
      <c r="O2677" t="s">
        <v>26</v>
      </c>
      <c r="P2677" t="s">
        <v>25</v>
      </c>
      <c r="Q2677" t="s">
        <v>231</v>
      </c>
      <c r="R2677" t="s">
        <v>2150</v>
      </c>
    </row>
    <row r="2678" spans="1:20">
      <c r="A2678">
        <v>2688</v>
      </c>
      <c r="B2678" t="s">
        <v>2994</v>
      </c>
      <c r="C2678" t="s">
        <v>36</v>
      </c>
      <c r="D2678" t="s">
        <v>22</v>
      </c>
      <c r="E2678" t="s">
        <v>1746</v>
      </c>
      <c r="F2678">
        <v>0</v>
      </c>
      <c r="G2678">
        <v>0</v>
      </c>
      <c r="H2678">
        <v>0</v>
      </c>
      <c r="I2678" t="s">
        <v>24</v>
      </c>
      <c r="J2678" t="s">
        <v>25</v>
      </c>
      <c r="K2678">
        <v>0</v>
      </c>
      <c r="L2678">
        <v>0</v>
      </c>
      <c r="M2678" t="s">
        <v>25</v>
      </c>
      <c r="N2678" t="s">
        <v>25</v>
      </c>
      <c r="O2678" t="s">
        <v>26</v>
      </c>
      <c r="P2678" t="s">
        <v>25</v>
      </c>
      <c r="Q2678" t="s">
        <v>231</v>
      </c>
      <c r="R2678" t="s">
        <v>2150</v>
      </c>
    </row>
    <row r="2679" spans="1:20">
      <c r="A2679">
        <v>2689</v>
      </c>
      <c r="B2679" t="s">
        <v>2995</v>
      </c>
      <c r="C2679" t="s">
        <v>320</v>
      </c>
      <c r="D2679" t="s">
        <v>217</v>
      </c>
      <c r="E2679" t="s">
        <v>2783</v>
      </c>
      <c r="F2679">
        <v>0</v>
      </c>
      <c r="G2679">
        <v>0</v>
      </c>
      <c r="H2679">
        <v>0</v>
      </c>
      <c r="I2679" t="s">
        <v>24</v>
      </c>
      <c r="J2679" t="s">
        <v>25</v>
      </c>
      <c r="K2679">
        <v>0</v>
      </c>
      <c r="L2679">
        <v>0</v>
      </c>
      <c r="M2679" t="s">
        <v>25</v>
      </c>
      <c r="N2679" t="s">
        <v>25</v>
      </c>
      <c r="O2679" t="s">
        <v>26</v>
      </c>
      <c r="P2679" t="s">
        <v>25</v>
      </c>
      <c r="Q2679" t="s">
        <v>231</v>
      </c>
      <c r="R2679" t="s">
        <v>2996</v>
      </c>
      <c r="S2679" t="s">
        <v>231</v>
      </c>
      <c r="T2679" t="s">
        <v>2997</v>
      </c>
    </row>
    <row r="2680" spans="1:20">
      <c r="A2680">
        <v>2690</v>
      </c>
      <c r="B2680" t="s">
        <v>2998</v>
      </c>
      <c r="C2680" t="s">
        <v>1130</v>
      </c>
      <c r="D2680" t="s">
        <v>1131</v>
      </c>
      <c r="E2680" t="s">
        <v>2783</v>
      </c>
      <c r="F2680">
        <v>0</v>
      </c>
      <c r="G2680">
        <v>0</v>
      </c>
      <c r="H2680">
        <v>0</v>
      </c>
      <c r="I2680" t="s">
        <v>24</v>
      </c>
      <c r="J2680" t="s">
        <v>25</v>
      </c>
      <c r="K2680">
        <v>0</v>
      </c>
      <c r="L2680">
        <v>0</v>
      </c>
      <c r="M2680" t="s">
        <v>25</v>
      </c>
      <c r="N2680" t="s">
        <v>25</v>
      </c>
      <c r="O2680" t="s">
        <v>26</v>
      </c>
      <c r="P2680" t="s">
        <v>25</v>
      </c>
      <c r="Q2680" t="s">
        <v>231</v>
      </c>
      <c r="R2680" t="s">
        <v>2996</v>
      </c>
    </row>
    <row r="2681" spans="1:20">
      <c r="A2681">
        <v>2691</v>
      </c>
      <c r="B2681" t="s">
        <v>2999</v>
      </c>
      <c r="C2681" t="s">
        <v>247</v>
      </c>
      <c r="D2681" t="s">
        <v>22</v>
      </c>
      <c r="E2681" t="s">
        <v>2332</v>
      </c>
      <c r="F2681">
        <v>40000</v>
      </c>
      <c r="G2681">
        <v>0</v>
      </c>
      <c r="H2681">
        <v>40000</v>
      </c>
      <c r="I2681" t="s">
        <v>24</v>
      </c>
      <c r="J2681" t="s">
        <v>25</v>
      </c>
      <c r="K2681">
        <v>0</v>
      </c>
      <c r="L2681">
        <v>0</v>
      </c>
      <c r="M2681" t="s">
        <v>25</v>
      </c>
      <c r="N2681" t="s">
        <v>25</v>
      </c>
      <c r="O2681" t="s">
        <v>26</v>
      </c>
      <c r="P2681" t="s">
        <v>25</v>
      </c>
      <c r="Q2681" t="s">
        <v>51</v>
      </c>
      <c r="R2681" t="s">
        <v>3000</v>
      </c>
    </row>
    <row r="2682" spans="1:20">
      <c r="A2682">
        <v>2692</v>
      </c>
      <c r="B2682" t="s">
        <v>3001</v>
      </c>
      <c r="C2682" t="s">
        <v>36</v>
      </c>
      <c r="D2682" t="s">
        <v>22</v>
      </c>
      <c r="E2682" t="s">
        <v>3002</v>
      </c>
      <c r="F2682">
        <v>0</v>
      </c>
      <c r="G2682">
        <v>0</v>
      </c>
      <c r="H2682">
        <v>0</v>
      </c>
      <c r="I2682" t="s">
        <v>24</v>
      </c>
      <c r="J2682" t="s">
        <v>25</v>
      </c>
      <c r="K2682">
        <v>0</v>
      </c>
      <c r="L2682">
        <v>0</v>
      </c>
      <c r="M2682" t="s">
        <v>25</v>
      </c>
      <c r="N2682" t="s">
        <v>25</v>
      </c>
      <c r="O2682" t="s">
        <v>26</v>
      </c>
      <c r="P2682" t="s">
        <v>25</v>
      </c>
      <c r="Q2682" t="s">
        <v>231</v>
      </c>
      <c r="R2682" t="s">
        <v>3003</v>
      </c>
    </row>
    <row r="2683" spans="1:20">
      <c r="A2683">
        <v>2693</v>
      </c>
      <c r="B2683" t="s">
        <v>3004</v>
      </c>
      <c r="C2683" t="s">
        <v>247</v>
      </c>
      <c r="D2683" t="s">
        <v>22</v>
      </c>
      <c r="E2683" t="s">
        <v>2332</v>
      </c>
      <c r="F2683">
        <v>45800</v>
      </c>
      <c r="G2683">
        <v>0</v>
      </c>
      <c r="H2683">
        <v>45800</v>
      </c>
      <c r="I2683" t="s">
        <v>24</v>
      </c>
      <c r="J2683" t="s">
        <v>25</v>
      </c>
      <c r="K2683">
        <v>0</v>
      </c>
      <c r="L2683">
        <v>0</v>
      </c>
      <c r="M2683" t="s">
        <v>25</v>
      </c>
      <c r="N2683" t="s">
        <v>25</v>
      </c>
      <c r="O2683" t="s">
        <v>26</v>
      </c>
      <c r="P2683" t="s">
        <v>25</v>
      </c>
      <c r="Q2683" t="s">
        <v>51</v>
      </c>
      <c r="R2683" t="s">
        <v>3005</v>
      </c>
    </row>
    <row r="2684" spans="1:20">
      <c r="A2684">
        <v>2694</v>
      </c>
      <c r="B2684" t="s">
        <v>3006</v>
      </c>
      <c r="C2684" t="s">
        <v>247</v>
      </c>
      <c r="D2684" t="s">
        <v>22</v>
      </c>
      <c r="E2684" t="s">
        <v>2332</v>
      </c>
      <c r="F2684">
        <v>34510</v>
      </c>
      <c r="G2684">
        <v>0</v>
      </c>
      <c r="H2684">
        <v>34510</v>
      </c>
      <c r="I2684" t="s">
        <v>24</v>
      </c>
      <c r="J2684" t="s">
        <v>25</v>
      </c>
      <c r="K2684">
        <v>0</v>
      </c>
      <c r="L2684">
        <v>0</v>
      </c>
      <c r="M2684" t="s">
        <v>25</v>
      </c>
      <c r="N2684" t="s">
        <v>25</v>
      </c>
      <c r="O2684" t="s">
        <v>26</v>
      </c>
      <c r="P2684" t="s">
        <v>25</v>
      </c>
      <c r="Q2684" t="s">
        <v>51</v>
      </c>
      <c r="R2684" t="s">
        <v>3007</v>
      </c>
    </row>
    <row r="2685" spans="1:20">
      <c r="A2685">
        <v>2695</v>
      </c>
      <c r="B2685" t="s">
        <v>3008</v>
      </c>
      <c r="C2685" t="s">
        <v>21</v>
      </c>
      <c r="D2685" t="s">
        <v>22</v>
      </c>
      <c r="E2685" t="s">
        <v>2332</v>
      </c>
      <c r="F2685">
        <v>40460</v>
      </c>
      <c r="G2685">
        <v>0</v>
      </c>
      <c r="H2685">
        <v>40460</v>
      </c>
      <c r="I2685" t="s">
        <v>24</v>
      </c>
      <c r="J2685" t="s">
        <v>25</v>
      </c>
      <c r="K2685">
        <v>0</v>
      </c>
      <c r="L2685">
        <v>0</v>
      </c>
      <c r="M2685" t="s">
        <v>25</v>
      </c>
      <c r="N2685" t="s">
        <v>25</v>
      </c>
      <c r="O2685" t="s">
        <v>26</v>
      </c>
      <c r="P2685" t="s">
        <v>25</v>
      </c>
      <c r="Q2685" t="s">
        <v>51</v>
      </c>
      <c r="R2685" t="s">
        <v>3007</v>
      </c>
    </row>
    <row r="2686" spans="1:20">
      <c r="A2686">
        <v>2696</v>
      </c>
      <c r="B2686" t="s">
        <v>3009</v>
      </c>
      <c r="C2686" t="s">
        <v>21</v>
      </c>
      <c r="D2686" t="s">
        <v>22</v>
      </c>
      <c r="E2686" t="s">
        <v>2332</v>
      </c>
      <c r="F2686">
        <v>136850</v>
      </c>
      <c r="G2686">
        <v>0</v>
      </c>
      <c r="H2686">
        <v>136850</v>
      </c>
      <c r="I2686" t="s">
        <v>24</v>
      </c>
      <c r="J2686" t="s">
        <v>25</v>
      </c>
      <c r="K2686">
        <v>0</v>
      </c>
      <c r="L2686">
        <v>0</v>
      </c>
      <c r="M2686" t="s">
        <v>25</v>
      </c>
      <c r="N2686" t="s">
        <v>25</v>
      </c>
      <c r="O2686" t="s">
        <v>26</v>
      </c>
      <c r="P2686" t="s">
        <v>25</v>
      </c>
      <c r="Q2686" t="s">
        <v>51</v>
      </c>
      <c r="R2686" t="s">
        <v>3007</v>
      </c>
    </row>
    <row r="2687" spans="1:20">
      <c r="A2687">
        <v>2697</v>
      </c>
      <c r="B2687" t="s">
        <v>3010</v>
      </c>
      <c r="C2687" t="s">
        <v>21</v>
      </c>
      <c r="D2687" t="s">
        <v>22</v>
      </c>
      <c r="E2687" t="s">
        <v>2332</v>
      </c>
      <c r="F2687">
        <v>80444</v>
      </c>
      <c r="G2687">
        <v>0</v>
      </c>
      <c r="H2687">
        <v>80444</v>
      </c>
      <c r="I2687" t="s">
        <v>24</v>
      </c>
      <c r="J2687" t="s">
        <v>25</v>
      </c>
      <c r="K2687">
        <v>0</v>
      </c>
      <c r="L2687">
        <v>0</v>
      </c>
      <c r="M2687" t="s">
        <v>25</v>
      </c>
      <c r="N2687" t="s">
        <v>25</v>
      </c>
      <c r="O2687" t="s">
        <v>26</v>
      </c>
      <c r="P2687" t="s">
        <v>25</v>
      </c>
      <c r="Q2687" t="s">
        <v>51</v>
      </c>
      <c r="R2687" t="s">
        <v>3007</v>
      </c>
    </row>
    <row r="2688" spans="1:20">
      <c r="A2688">
        <v>2698</v>
      </c>
      <c r="B2688" t="s">
        <v>3011</v>
      </c>
      <c r="C2688" t="s">
        <v>21</v>
      </c>
      <c r="D2688" t="s">
        <v>22</v>
      </c>
      <c r="E2688" t="s">
        <v>2332</v>
      </c>
      <c r="F2688">
        <v>71162</v>
      </c>
      <c r="G2688">
        <v>0</v>
      </c>
      <c r="H2688">
        <v>71162</v>
      </c>
      <c r="I2688" t="s">
        <v>24</v>
      </c>
      <c r="J2688" t="s">
        <v>25</v>
      </c>
      <c r="K2688">
        <v>0</v>
      </c>
      <c r="L2688">
        <v>0</v>
      </c>
      <c r="M2688" t="s">
        <v>25</v>
      </c>
      <c r="N2688" t="s">
        <v>25</v>
      </c>
      <c r="O2688" t="s">
        <v>26</v>
      </c>
      <c r="P2688" t="s">
        <v>25</v>
      </c>
      <c r="Q2688" t="s">
        <v>51</v>
      </c>
      <c r="R2688" t="s">
        <v>3007</v>
      </c>
    </row>
    <row r="2689" spans="1:18">
      <c r="A2689">
        <v>2699</v>
      </c>
      <c r="B2689" t="s">
        <v>3012</v>
      </c>
      <c r="C2689" t="s">
        <v>21</v>
      </c>
      <c r="D2689" t="s">
        <v>22</v>
      </c>
      <c r="E2689" t="s">
        <v>1166</v>
      </c>
      <c r="F2689">
        <v>0</v>
      </c>
      <c r="G2689">
        <v>0</v>
      </c>
      <c r="H2689">
        <v>0</v>
      </c>
      <c r="I2689" t="s">
        <v>24</v>
      </c>
      <c r="J2689" t="s">
        <v>25</v>
      </c>
      <c r="K2689">
        <v>0</v>
      </c>
      <c r="L2689">
        <v>0</v>
      </c>
      <c r="M2689" t="s">
        <v>25</v>
      </c>
      <c r="N2689" t="s">
        <v>25</v>
      </c>
      <c r="O2689" t="s">
        <v>26</v>
      </c>
      <c r="P2689" t="s">
        <v>25</v>
      </c>
      <c r="Q2689" t="s">
        <v>231</v>
      </c>
      <c r="R2689" t="s">
        <v>2913</v>
      </c>
    </row>
    <row r="2690" spans="1:18">
      <c r="A2690">
        <v>2700</v>
      </c>
      <c r="B2690" t="s">
        <v>3013</v>
      </c>
      <c r="C2690" t="s">
        <v>21</v>
      </c>
      <c r="D2690" t="s">
        <v>22</v>
      </c>
      <c r="E2690" t="s">
        <v>1166</v>
      </c>
      <c r="F2690">
        <v>0</v>
      </c>
      <c r="G2690">
        <v>0</v>
      </c>
      <c r="H2690">
        <v>0</v>
      </c>
      <c r="I2690" t="s">
        <v>24</v>
      </c>
      <c r="J2690" t="s">
        <v>25</v>
      </c>
      <c r="K2690">
        <v>0</v>
      </c>
      <c r="L2690">
        <v>0</v>
      </c>
      <c r="M2690" t="s">
        <v>25</v>
      </c>
      <c r="N2690" t="s">
        <v>25</v>
      </c>
      <c r="O2690" t="s">
        <v>26</v>
      </c>
      <c r="P2690" t="s">
        <v>25</v>
      </c>
      <c r="Q2690" t="s">
        <v>231</v>
      </c>
      <c r="R2690" t="s">
        <v>2913</v>
      </c>
    </row>
    <row r="2691" spans="1:18">
      <c r="A2691">
        <v>2701</v>
      </c>
      <c r="B2691" t="s">
        <v>3014</v>
      </c>
      <c r="C2691" t="s">
        <v>21</v>
      </c>
      <c r="D2691" t="s">
        <v>22</v>
      </c>
      <c r="E2691" t="s">
        <v>1166</v>
      </c>
      <c r="F2691">
        <v>0</v>
      </c>
      <c r="G2691">
        <v>0</v>
      </c>
      <c r="H2691">
        <v>0</v>
      </c>
      <c r="I2691" t="s">
        <v>24</v>
      </c>
      <c r="J2691" t="s">
        <v>25</v>
      </c>
      <c r="K2691">
        <v>0</v>
      </c>
      <c r="L2691">
        <v>0</v>
      </c>
      <c r="M2691" t="s">
        <v>25</v>
      </c>
      <c r="N2691" t="s">
        <v>25</v>
      </c>
      <c r="O2691" t="s">
        <v>26</v>
      </c>
      <c r="P2691" t="s">
        <v>25</v>
      </c>
      <c r="Q2691" t="s">
        <v>231</v>
      </c>
      <c r="R2691" t="s">
        <v>2913</v>
      </c>
    </row>
    <row r="2692" spans="1:18">
      <c r="A2692">
        <v>2702</v>
      </c>
      <c r="B2692" t="s">
        <v>3015</v>
      </c>
      <c r="C2692" t="s">
        <v>21</v>
      </c>
      <c r="D2692" t="s">
        <v>22</v>
      </c>
      <c r="E2692" t="s">
        <v>1166</v>
      </c>
      <c r="F2692">
        <v>0</v>
      </c>
      <c r="G2692">
        <v>0</v>
      </c>
      <c r="H2692">
        <v>0</v>
      </c>
      <c r="I2692" t="s">
        <v>24</v>
      </c>
      <c r="J2692" t="s">
        <v>25</v>
      </c>
      <c r="K2692">
        <v>0</v>
      </c>
      <c r="L2692">
        <v>0</v>
      </c>
      <c r="M2692" t="s">
        <v>25</v>
      </c>
      <c r="N2692" t="s">
        <v>25</v>
      </c>
      <c r="O2692" t="s">
        <v>26</v>
      </c>
      <c r="P2692" t="s">
        <v>25</v>
      </c>
      <c r="Q2692" t="s">
        <v>231</v>
      </c>
      <c r="R2692" t="s">
        <v>2913</v>
      </c>
    </row>
    <row r="2693" spans="1:18">
      <c r="A2693">
        <v>2703</v>
      </c>
      <c r="B2693" t="s">
        <v>3016</v>
      </c>
      <c r="C2693" t="s">
        <v>21</v>
      </c>
      <c r="D2693" t="s">
        <v>22</v>
      </c>
      <c r="E2693" t="s">
        <v>1166</v>
      </c>
      <c r="F2693">
        <v>0</v>
      </c>
      <c r="G2693">
        <v>0</v>
      </c>
      <c r="H2693">
        <v>0</v>
      </c>
      <c r="I2693" t="s">
        <v>24</v>
      </c>
      <c r="J2693" t="s">
        <v>25</v>
      </c>
      <c r="K2693">
        <v>0</v>
      </c>
      <c r="L2693">
        <v>0</v>
      </c>
      <c r="M2693" t="s">
        <v>25</v>
      </c>
      <c r="N2693" t="s">
        <v>25</v>
      </c>
      <c r="O2693" t="s">
        <v>26</v>
      </c>
      <c r="P2693" t="s">
        <v>25</v>
      </c>
      <c r="Q2693" t="s">
        <v>231</v>
      </c>
      <c r="R2693" t="s">
        <v>2913</v>
      </c>
    </row>
    <row r="2694" spans="1:18">
      <c r="A2694">
        <v>2704</v>
      </c>
      <c r="B2694" t="s">
        <v>3017</v>
      </c>
      <c r="C2694" t="s">
        <v>21</v>
      </c>
      <c r="D2694" t="s">
        <v>22</v>
      </c>
      <c r="E2694" t="s">
        <v>1166</v>
      </c>
      <c r="F2694">
        <v>0</v>
      </c>
      <c r="G2694">
        <v>0</v>
      </c>
      <c r="H2694">
        <v>0</v>
      </c>
      <c r="I2694" t="s">
        <v>24</v>
      </c>
      <c r="J2694" t="s">
        <v>25</v>
      </c>
      <c r="K2694">
        <v>0</v>
      </c>
      <c r="L2694">
        <v>0</v>
      </c>
      <c r="M2694" t="s">
        <v>25</v>
      </c>
      <c r="N2694" t="s">
        <v>25</v>
      </c>
      <c r="O2694" t="s">
        <v>26</v>
      </c>
      <c r="P2694" t="s">
        <v>25</v>
      </c>
      <c r="Q2694" t="s">
        <v>231</v>
      </c>
      <c r="R2694" t="s">
        <v>2913</v>
      </c>
    </row>
    <row r="2695" spans="1:18">
      <c r="A2695">
        <v>2705</v>
      </c>
      <c r="B2695" t="s">
        <v>3018</v>
      </c>
      <c r="C2695" t="s">
        <v>247</v>
      </c>
      <c r="D2695" t="s">
        <v>22</v>
      </c>
      <c r="E2695" t="s">
        <v>2332</v>
      </c>
      <c r="F2695">
        <v>46410</v>
      </c>
      <c r="G2695">
        <v>0</v>
      </c>
      <c r="H2695">
        <v>46410</v>
      </c>
      <c r="I2695" t="s">
        <v>24</v>
      </c>
      <c r="J2695" t="s">
        <v>25</v>
      </c>
      <c r="K2695">
        <v>0</v>
      </c>
      <c r="L2695">
        <v>0</v>
      </c>
      <c r="M2695" t="s">
        <v>25</v>
      </c>
      <c r="N2695" t="s">
        <v>25</v>
      </c>
      <c r="O2695" t="s">
        <v>26</v>
      </c>
      <c r="P2695" t="s">
        <v>25</v>
      </c>
      <c r="Q2695" t="s">
        <v>51</v>
      </c>
      <c r="R2695" t="s">
        <v>3019</v>
      </c>
    </row>
    <row r="2696" spans="1:18">
      <c r="A2696">
        <v>2706</v>
      </c>
      <c r="B2696" t="s">
        <v>3020</v>
      </c>
      <c r="C2696" t="s">
        <v>21</v>
      </c>
      <c r="D2696" t="s">
        <v>22</v>
      </c>
      <c r="E2696" t="s">
        <v>2332</v>
      </c>
      <c r="F2696">
        <v>40460</v>
      </c>
      <c r="G2696">
        <v>0</v>
      </c>
      <c r="H2696">
        <v>40460</v>
      </c>
      <c r="I2696" t="s">
        <v>24</v>
      </c>
      <c r="J2696" t="s">
        <v>25</v>
      </c>
      <c r="K2696">
        <v>0</v>
      </c>
      <c r="L2696">
        <v>0</v>
      </c>
      <c r="M2696" t="s">
        <v>25</v>
      </c>
      <c r="N2696" t="s">
        <v>25</v>
      </c>
      <c r="O2696" t="s">
        <v>26</v>
      </c>
      <c r="P2696" t="s">
        <v>25</v>
      </c>
      <c r="Q2696" t="s">
        <v>51</v>
      </c>
      <c r="R2696" t="s">
        <v>3019</v>
      </c>
    </row>
    <row r="2697" spans="1:18">
      <c r="A2697">
        <v>2707</v>
      </c>
      <c r="B2697" t="s">
        <v>3021</v>
      </c>
      <c r="C2697" t="s">
        <v>247</v>
      </c>
      <c r="D2697" t="s">
        <v>22</v>
      </c>
      <c r="E2697" t="s">
        <v>2332</v>
      </c>
      <c r="F2697">
        <v>53550</v>
      </c>
      <c r="G2697">
        <v>0</v>
      </c>
      <c r="H2697">
        <v>53550</v>
      </c>
      <c r="I2697" t="s">
        <v>24</v>
      </c>
      <c r="J2697" t="s">
        <v>25</v>
      </c>
      <c r="K2697">
        <v>0</v>
      </c>
      <c r="L2697">
        <v>0</v>
      </c>
      <c r="M2697" t="s">
        <v>25</v>
      </c>
      <c r="N2697" t="s">
        <v>25</v>
      </c>
      <c r="O2697" t="s">
        <v>26</v>
      </c>
      <c r="P2697" t="s">
        <v>25</v>
      </c>
      <c r="Q2697" t="s">
        <v>51</v>
      </c>
      <c r="R2697" t="s">
        <v>3019</v>
      </c>
    </row>
    <row r="2698" spans="1:18">
      <c r="A2698">
        <v>2708</v>
      </c>
      <c r="B2698" t="s">
        <v>3022</v>
      </c>
      <c r="C2698" t="s">
        <v>21</v>
      </c>
      <c r="D2698" t="s">
        <v>22</v>
      </c>
      <c r="E2698" t="s">
        <v>2332</v>
      </c>
      <c r="F2698">
        <v>59262</v>
      </c>
      <c r="G2698">
        <v>0</v>
      </c>
      <c r="H2698">
        <v>59262</v>
      </c>
      <c r="I2698" t="s">
        <v>24</v>
      </c>
      <c r="J2698" t="s">
        <v>25</v>
      </c>
      <c r="K2698">
        <v>0</v>
      </c>
      <c r="L2698">
        <v>0</v>
      </c>
      <c r="M2698" t="s">
        <v>25</v>
      </c>
      <c r="N2698" t="s">
        <v>25</v>
      </c>
      <c r="O2698" t="s">
        <v>26</v>
      </c>
      <c r="P2698" t="s">
        <v>25</v>
      </c>
      <c r="Q2698" t="s">
        <v>51</v>
      </c>
      <c r="R2698" t="s">
        <v>3019</v>
      </c>
    </row>
    <row r="2699" spans="1:18">
      <c r="A2699">
        <v>2709</v>
      </c>
      <c r="B2699" t="s">
        <v>3023</v>
      </c>
      <c r="C2699" t="s">
        <v>21</v>
      </c>
      <c r="D2699" t="s">
        <v>22</v>
      </c>
      <c r="E2699" t="s">
        <v>2332</v>
      </c>
      <c r="F2699">
        <v>63070</v>
      </c>
      <c r="G2699">
        <v>0</v>
      </c>
      <c r="H2699">
        <v>63070</v>
      </c>
      <c r="I2699" t="s">
        <v>24</v>
      </c>
      <c r="J2699" t="s">
        <v>25</v>
      </c>
      <c r="K2699">
        <v>0</v>
      </c>
      <c r="L2699">
        <v>0</v>
      </c>
      <c r="M2699" t="s">
        <v>25</v>
      </c>
      <c r="N2699" t="s">
        <v>25</v>
      </c>
      <c r="O2699" t="s">
        <v>26</v>
      </c>
      <c r="P2699" t="s">
        <v>25</v>
      </c>
      <c r="Q2699" t="s">
        <v>51</v>
      </c>
      <c r="R2699" t="s">
        <v>3019</v>
      </c>
    </row>
    <row r="2700" spans="1:18">
      <c r="A2700">
        <v>2710</v>
      </c>
      <c r="B2700" t="s">
        <v>3024</v>
      </c>
      <c r="C2700" t="s">
        <v>21</v>
      </c>
      <c r="D2700" t="s">
        <v>22</v>
      </c>
      <c r="E2700" t="s">
        <v>2332</v>
      </c>
      <c r="F2700">
        <v>40460</v>
      </c>
      <c r="G2700">
        <v>0</v>
      </c>
      <c r="H2700">
        <v>40460</v>
      </c>
      <c r="I2700" t="s">
        <v>24</v>
      </c>
      <c r="J2700" t="s">
        <v>25</v>
      </c>
      <c r="K2700">
        <v>0</v>
      </c>
      <c r="L2700">
        <v>0</v>
      </c>
      <c r="M2700" t="s">
        <v>25</v>
      </c>
      <c r="N2700" t="s">
        <v>25</v>
      </c>
      <c r="O2700" t="s">
        <v>26</v>
      </c>
      <c r="P2700" t="s">
        <v>25</v>
      </c>
      <c r="Q2700" t="s">
        <v>51</v>
      </c>
      <c r="R2700" t="s">
        <v>3019</v>
      </c>
    </row>
    <row r="2701" spans="1:18">
      <c r="A2701">
        <v>2711</v>
      </c>
      <c r="B2701" t="s">
        <v>3025</v>
      </c>
      <c r="C2701" t="s">
        <v>21</v>
      </c>
      <c r="D2701" t="s">
        <v>22</v>
      </c>
      <c r="E2701" t="s">
        <v>2332</v>
      </c>
      <c r="F2701">
        <v>22610</v>
      </c>
      <c r="G2701">
        <v>0</v>
      </c>
      <c r="H2701">
        <v>22610</v>
      </c>
      <c r="I2701" t="s">
        <v>24</v>
      </c>
      <c r="J2701" t="s">
        <v>25</v>
      </c>
      <c r="K2701">
        <v>0</v>
      </c>
      <c r="L2701">
        <v>0</v>
      </c>
      <c r="M2701" t="s">
        <v>25</v>
      </c>
      <c r="N2701" t="s">
        <v>25</v>
      </c>
      <c r="O2701" t="s">
        <v>26</v>
      </c>
      <c r="P2701" t="s">
        <v>25</v>
      </c>
      <c r="Q2701" t="s">
        <v>51</v>
      </c>
      <c r="R2701" t="s">
        <v>3019</v>
      </c>
    </row>
    <row r="2702" spans="1:18">
      <c r="A2702">
        <v>2712</v>
      </c>
      <c r="B2702" t="s">
        <v>3026</v>
      </c>
      <c r="C2702" t="s">
        <v>21</v>
      </c>
      <c r="D2702" t="s">
        <v>22</v>
      </c>
      <c r="E2702" t="s">
        <v>2332</v>
      </c>
      <c r="F2702">
        <v>116620</v>
      </c>
      <c r="G2702">
        <v>0</v>
      </c>
      <c r="H2702">
        <v>116620</v>
      </c>
      <c r="I2702" t="s">
        <v>24</v>
      </c>
      <c r="J2702" t="s">
        <v>25</v>
      </c>
      <c r="K2702">
        <v>0</v>
      </c>
      <c r="L2702">
        <v>0</v>
      </c>
      <c r="M2702" t="s">
        <v>25</v>
      </c>
      <c r="N2702" t="s">
        <v>25</v>
      </c>
      <c r="O2702" t="s">
        <v>26</v>
      </c>
      <c r="P2702" t="s">
        <v>25</v>
      </c>
      <c r="Q2702" t="s">
        <v>51</v>
      </c>
      <c r="R2702" t="s">
        <v>3019</v>
      </c>
    </row>
    <row r="2703" spans="1:18">
      <c r="A2703">
        <v>2713</v>
      </c>
      <c r="B2703" t="s">
        <v>3027</v>
      </c>
      <c r="C2703" t="s">
        <v>21</v>
      </c>
      <c r="D2703" t="s">
        <v>22</v>
      </c>
      <c r="E2703" t="s">
        <v>2332</v>
      </c>
      <c r="F2703">
        <v>58310</v>
      </c>
      <c r="G2703">
        <v>0</v>
      </c>
      <c r="H2703">
        <v>58310</v>
      </c>
      <c r="I2703" t="s">
        <v>24</v>
      </c>
      <c r="J2703" t="s">
        <v>25</v>
      </c>
      <c r="K2703">
        <v>0</v>
      </c>
      <c r="L2703">
        <v>0</v>
      </c>
      <c r="M2703" t="s">
        <v>25</v>
      </c>
      <c r="N2703" t="s">
        <v>25</v>
      </c>
      <c r="O2703" t="s">
        <v>26</v>
      </c>
      <c r="P2703" t="s">
        <v>25</v>
      </c>
      <c r="Q2703" t="s">
        <v>51</v>
      </c>
      <c r="R2703" t="s">
        <v>3019</v>
      </c>
    </row>
    <row r="2704" spans="1:18">
      <c r="A2704">
        <v>2714</v>
      </c>
      <c r="B2704" t="s">
        <v>3028</v>
      </c>
      <c r="C2704" t="s">
        <v>21</v>
      </c>
      <c r="D2704" t="s">
        <v>22</v>
      </c>
      <c r="E2704" t="s">
        <v>2332</v>
      </c>
      <c r="F2704">
        <v>101150</v>
      </c>
      <c r="G2704">
        <v>0</v>
      </c>
      <c r="H2704">
        <v>101150</v>
      </c>
      <c r="I2704" t="s">
        <v>24</v>
      </c>
      <c r="J2704" t="s">
        <v>25</v>
      </c>
      <c r="K2704">
        <v>0</v>
      </c>
      <c r="L2704">
        <v>0</v>
      </c>
      <c r="M2704" t="s">
        <v>25</v>
      </c>
      <c r="N2704" t="s">
        <v>25</v>
      </c>
      <c r="O2704" t="s">
        <v>26</v>
      </c>
      <c r="P2704" t="s">
        <v>25</v>
      </c>
      <c r="Q2704" t="s">
        <v>51</v>
      </c>
      <c r="R2704" t="s">
        <v>3019</v>
      </c>
    </row>
    <row r="2705" spans="1:18">
      <c r="A2705">
        <v>2715</v>
      </c>
      <c r="B2705" t="s">
        <v>3029</v>
      </c>
      <c r="C2705" t="s">
        <v>21</v>
      </c>
      <c r="D2705" t="s">
        <v>22</v>
      </c>
      <c r="E2705" t="s">
        <v>2332</v>
      </c>
      <c r="F2705">
        <v>24990</v>
      </c>
      <c r="G2705">
        <v>0</v>
      </c>
      <c r="H2705">
        <v>24990</v>
      </c>
      <c r="I2705" t="s">
        <v>24</v>
      </c>
      <c r="J2705" t="s">
        <v>25</v>
      </c>
      <c r="K2705">
        <v>0</v>
      </c>
      <c r="L2705">
        <v>0</v>
      </c>
      <c r="M2705" t="s">
        <v>25</v>
      </c>
      <c r="N2705" t="s">
        <v>25</v>
      </c>
      <c r="O2705" t="s">
        <v>26</v>
      </c>
      <c r="P2705" t="s">
        <v>25</v>
      </c>
      <c r="Q2705" t="s">
        <v>51</v>
      </c>
      <c r="R2705" t="s">
        <v>3019</v>
      </c>
    </row>
    <row r="2706" spans="1:18">
      <c r="A2706">
        <v>2716</v>
      </c>
      <c r="B2706" t="s">
        <v>3030</v>
      </c>
      <c r="C2706" t="s">
        <v>21</v>
      </c>
      <c r="D2706" t="s">
        <v>22</v>
      </c>
      <c r="E2706" t="s">
        <v>2332</v>
      </c>
      <c r="F2706">
        <v>54740</v>
      </c>
      <c r="G2706">
        <v>0</v>
      </c>
      <c r="H2706">
        <v>54740</v>
      </c>
      <c r="I2706" t="s">
        <v>24</v>
      </c>
      <c r="J2706" t="s">
        <v>25</v>
      </c>
      <c r="K2706">
        <v>0</v>
      </c>
      <c r="L2706">
        <v>0</v>
      </c>
      <c r="M2706" t="s">
        <v>25</v>
      </c>
      <c r="N2706" t="s">
        <v>25</v>
      </c>
      <c r="O2706" t="s">
        <v>26</v>
      </c>
      <c r="P2706" t="s">
        <v>25</v>
      </c>
      <c r="Q2706" t="s">
        <v>51</v>
      </c>
      <c r="R2706" t="s">
        <v>3019</v>
      </c>
    </row>
    <row r="2707" spans="1:18">
      <c r="A2707">
        <v>2717</v>
      </c>
      <c r="B2707" t="s">
        <v>3031</v>
      </c>
      <c r="C2707" t="s">
        <v>21</v>
      </c>
      <c r="D2707" t="s">
        <v>22</v>
      </c>
      <c r="E2707" t="s">
        <v>2332</v>
      </c>
      <c r="F2707">
        <v>63070</v>
      </c>
      <c r="G2707">
        <v>0</v>
      </c>
      <c r="H2707">
        <v>63070</v>
      </c>
      <c r="I2707" t="s">
        <v>24</v>
      </c>
      <c r="J2707" t="s">
        <v>25</v>
      </c>
      <c r="K2707">
        <v>0</v>
      </c>
      <c r="L2707">
        <v>0</v>
      </c>
      <c r="M2707" t="s">
        <v>25</v>
      </c>
      <c r="N2707" t="s">
        <v>25</v>
      </c>
      <c r="O2707" t="s">
        <v>26</v>
      </c>
      <c r="P2707" t="s">
        <v>25</v>
      </c>
      <c r="Q2707" t="s">
        <v>51</v>
      </c>
      <c r="R2707" t="s">
        <v>3019</v>
      </c>
    </row>
    <row r="2708" spans="1:18">
      <c r="A2708">
        <v>2718</v>
      </c>
      <c r="B2708" t="s">
        <v>3032</v>
      </c>
      <c r="C2708" t="s">
        <v>36</v>
      </c>
      <c r="D2708" t="s">
        <v>22</v>
      </c>
      <c r="E2708" t="s">
        <v>2783</v>
      </c>
      <c r="F2708">
        <v>0</v>
      </c>
      <c r="G2708">
        <v>0</v>
      </c>
      <c r="H2708">
        <v>0</v>
      </c>
      <c r="I2708" t="s">
        <v>24</v>
      </c>
      <c r="J2708" t="s">
        <v>25</v>
      </c>
      <c r="K2708">
        <v>0</v>
      </c>
      <c r="L2708">
        <v>0</v>
      </c>
      <c r="M2708" t="s">
        <v>25</v>
      </c>
      <c r="N2708" t="s">
        <v>25</v>
      </c>
      <c r="O2708" t="s">
        <v>26</v>
      </c>
      <c r="P2708" t="s">
        <v>25</v>
      </c>
      <c r="Q2708" t="s">
        <v>231</v>
      </c>
      <c r="R2708" t="s">
        <v>2997</v>
      </c>
    </row>
    <row r="2709" spans="1:18">
      <c r="A2709">
        <v>2719</v>
      </c>
      <c r="B2709" t="s">
        <v>3033</v>
      </c>
      <c r="C2709" t="s">
        <v>247</v>
      </c>
      <c r="D2709" t="s">
        <v>22</v>
      </c>
      <c r="E2709" t="s">
        <v>2332</v>
      </c>
      <c r="F2709">
        <v>59500</v>
      </c>
      <c r="G2709">
        <v>0</v>
      </c>
      <c r="H2709">
        <v>59500</v>
      </c>
      <c r="I2709" t="s">
        <v>24</v>
      </c>
      <c r="J2709" t="s">
        <v>25</v>
      </c>
      <c r="K2709">
        <v>0</v>
      </c>
      <c r="L2709">
        <v>0</v>
      </c>
      <c r="M2709" t="s">
        <v>25</v>
      </c>
      <c r="N2709" t="s">
        <v>25</v>
      </c>
      <c r="O2709" t="s">
        <v>26</v>
      </c>
      <c r="P2709" t="s">
        <v>25</v>
      </c>
      <c r="Q2709" t="s">
        <v>51</v>
      </c>
      <c r="R2709" t="s">
        <v>2997</v>
      </c>
    </row>
    <row r="2710" spans="1:18">
      <c r="A2710">
        <v>2720</v>
      </c>
      <c r="B2710" t="s">
        <v>3034</v>
      </c>
      <c r="C2710" t="s">
        <v>21</v>
      </c>
      <c r="D2710" t="s">
        <v>22</v>
      </c>
      <c r="E2710" t="s">
        <v>2332</v>
      </c>
      <c r="F2710">
        <v>64260</v>
      </c>
      <c r="G2710">
        <v>0</v>
      </c>
      <c r="H2710">
        <v>64260</v>
      </c>
      <c r="I2710" t="s">
        <v>24</v>
      </c>
      <c r="J2710" t="s">
        <v>25</v>
      </c>
      <c r="K2710">
        <v>0</v>
      </c>
      <c r="L2710">
        <v>0</v>
      </c>
      <c r="M2710" t="s">
        <v>25</v>
      </c>
      <c r="N2710" t="s">
        <v>25</v>
      </c>
      <c r="O2710" t="s">
        <v>26</v>
      </c>
      <c r="P2710" t="s">
        <v>25</v>
      </c>
      <c r="Q2710" t="s">
        <v>51</v>
      </c>
      <c r="R2710" t="s">
        <v>2997</v>
      </c>
    </row>
    <row r="2711" spans="1:18">
      <c r="A2711">
        <v>2721</v>
      </c>
      <c r="B2711" t="s">
        <v>3035</v>
      </c>
      <c r="C2711" t="s">
        <v>21</v>
      </c>
      <c r="D2711" t="s">
        <v>22</v>
      </c>
      <c r="E2711" t="s">
        <v>2332</v>
      </c>
      <c r="F2711">
        <v>59500</v>
      </c>
      <c r="G2711">
        <v>0</v>
      </c>
      <c r="H2711">
        <v>59500</v>
      </c>
      <c r="I2711" t="s">
        <v>24</v>
      </c>
      <c r="J2711" t="s">
        <v>25</v>
      </c>
      <c r="K2711">
        <v>0</v>
      </c>
      <c r="L2711">
        <v>0</v>
      </c>
      <c r="M2711" t="s">
        <v>25</v>
      </c>
      <c r="N2711" t="s">
        <v>25</v>
      </c>
      <c r="O2711" t="s">
        <v>26</v>
      </c>
      <c r="P2711" t="s">
        <v>25</v>
      </c>
      <c r="Q2711" t="s">
        <v>51</v>
      </c>
      <c r="R2711" t="s">
        <v>2997</v>
      </c>
    </row>
    <row r="2712" spans="1:18">
      <c r="A2712">
        <v>2722</v>
      </c>
      <c r="B2712" t="s">
        <v>3036</v>
      </c>
      <c r="C2712" t="s">
        <v>247</v>
      </c>
      <c r="D2712" t="s">
        <v>22</v>
      </c>
      <c r="E2712" t="s">
        <v>2332</v>
      </c>
      <c r="F2712">
        <v>40460</v>
      </c>
      <c r="G2712">
        <v>0</v>
      </c>
      <c r="H2712">
        <v>40460</v>
      </c>
      <c r="I2712" t="s">
        <v>24</v>
      </c>
      <c r="J2712" t="s">
        <v>25</v>
      </c>
      <c r="K2712">
        <v>0</v>
      </c>
      <c r="L2712">
        <v>0</v>
      </c>
      <c r="M2712" t="s">
        <v>25</v>
      </c>
      <c r="N2712" t="s">
        <v>25</v>
      </c>
      <c r="O2712" t="s">
        <v>26</v>
      </c>
      <c r="P2712" t="s">
        <v>25</v>
      </c>
      <c r="Q2712" t="s">
        <v>51</v>
      </c>
      <c r="R2712" t="s">
        <v>2997</v>
      </c>
    </row>
    <row r="2713" spans="1:18">
      <c r="A2713">
        <v>2723</v>
      </c>
      <c r="B2713" t="s">
        <v>3037</v>
      </c>
      <c r="C2713" t="s">
        <v>21</v>
      </c>
      <c r="D2713" t="s">
        <v>22</v>
      </c>
      <c r="E2713" t="s">
        <v>2332</v>
      </c>
      <c r="F2713">
        <v>51170</v>
      </c>
      <c r="G2713">
        <v>0</v>
      </c>
      <c r="H2713">
        <v>51170</v>
      </c>
      <c r="I2713" t="s">
        <v>24</v>
      </c>
      <c r="J2713" t="s">
        <v>25</v>
      </c>
      <c r="K2713">
        <v>0</v>
      </c>
      <c r="L2713">
        <v>0</v>
      </c>
      <c r="M2713" t="s">
        <v>25</v>
      </c>
      <c r="N2713" t="s">
        <v>25</v>
      </c>
      <c r="O2713" t="s">
        <v>26</v>
      </c>
      <c r="P2713" t="s">
        <v>25</v>
      </c>
      <c r="Q2713" t="s">
        <v>51</v>
      </c>
      <c r="R2713" t="s">
        <v>2997</v>
      </c>
    </row>
    <row r="2714" spans="1:18">
      <c r="A2714">
        <v>2724</v>
      </c>
      <c r="B2714" t="s">
        <v>3038</v>
      </c>
      <c r="C2714" t="s">
        <v>21</v>
      </c>
      <c r="D2714" t="s">
        <v>22</v>
      </c>
      <c r="E2714" t="s">
        <v>2332</v>
      </c>
      <c r="F2714">
        <v>58310</v>
      </c>
      <c r="G2714">
        <v>0</v>
      </c>
      <c r="H2714">
        <v>58310</v>
      </c>
      <c r="I2714" t="s">
        <v>24</v>
      </c>
      <c r="J2714" t="s">
        <v>25</v>
      </c>
      <c r="K2714">
        <v>0</v>
      </c>
      <c r="L2714">
        <v>0</v>
      </c>
      <c r="M2714" t="s">
        <v>25</v>
      </c>
      <c r="N2714" t="s">
        <v>25</v>
      </c>
      <c r="O2714" t="s">
        <v>26</v>
      </c>
      <c r="P2714" t="s">
        <v>25</v>
      </c>
      <c r="Q2714" t="s">
        <v>51</v>
      </c>
      <c r="R2714" t="s">
        <v>2997</v>
      </c>
    </row>
    <row r="2715" spans="1:18">
      <c r="A2715">
        <v>2725</v>
      </c>
      <c r="B2715" t="s">
        <v>3039</v>
      </c>
      <c r="C2715" t="s">
        <v>21</v>
      </c>
      <c r="D2715" t="s">
        <v>22</v>
      </c>
      <c r="E2715" t="s">
        <v>2332</v>
      </c>
      <c r="F2715">
        <v>34510</v>
      </c>
      <c r="G2715">
        <v>0</v>
      </c>
      <c r="H2715">
        <v>34510</v>
      </c>
      <c r="I2715" t="s">
        <v>24</v>
      </c>
      <c r="J2715" t="s">
        <v>25</v>
      </c>
      <c r="K2715">
        <v>0</v>
      </c>
      <c r="L2715">
        <v>0</v>
      </c>
      <c r="M2715" t="s">
        <v>25</v>
      </c>
      <c r="N2715" t="s">
        <v>25</v>
      </c>
      <c r="O2715" t="s">
        <v>26</v>
      </c>
      <c r="P2715" t="s">
        <v>25</v>
      </c>
      <c r="Q2715" t="s">
        <v>51</v>
      </c>
      <c r="R2715" t="s">
        <v>2997</v>
      </c>
    </row>
    <row r="2716" spans="1:18">
      <c r="A2716">
        <v>2726</v>
      </c>
      <c r="B2716" t="s">
        <v>3040</v>
      </c>
      <c r="C2716" t="s">
        <v>247</v>
      </c>
      <c r="D2716" t="s">
        <v>22</v>
      </c>
      <c r="E2716" t="s">
        <v>2332</v>
      </c>
      <c r="F2716">
        <v>40460</v>
      </c>
      <c r="G2716">
        <v>0</v>
      </c>
      <c r="H2716">
        <v>40460</v>
      </c>
      <c r="I2716" t="s">
        <v>24</v>
      </c>
      <c r="J2716" t="s">
        <v>25</v>
      </c>
      <c r="K2716">
        <v>0</v>
      </c>
      <c r="L2716">
        <v>0</v>
      </c>
      <c r="M2716" t="s">
        <v>25</v>
      </c>
      <c r="N2716" t="s">
        <v>25</v>
      </c>
      <c r="O2716" t="s">
        <v>26</v>
      </c>
      <c r="P2716" t="s">
        <v>25</v>
      </c>
      <c r="Q2716" t="s">
        <v>51</v>
      </c>
      <c r="R2716" t="s">
        <v>3041</v>
      </c>
    </row>
    <row r="2717" spans="1:18">
      <c r="A2717">
        <v>2727</v>
      </c>
      <c r="B2717" t="s">
        <v>3042</v>
      </c>
      <c r="C2717" t="s">
        <v>21</v>
      </c>
      <c r="D2717" t="s">
        <v>22</v>
      </c>
      <c r="E2717" t="s">
        <v>2332</v>
      </c>
      <c r="F2717">
        <v>136850</v>
      </c>
      <c r="G2717">
        <v>0</v>
      </c>
      <c r="H2717">
        <v>136850</v>
      </c>
      <c r="I2717" t="s">
        <v>24</v>
      </c>
      <c r="J2717" t="s">
        <v>25</v>
      </c>
      <c r="K2717">
        <v>0</v>
      </c>
      <c r="L2717">
        <v>0</v>
      </c>
      <c r="M2717" t="s">
        <v>25</v>
      </c>
      <c r="N2717" t="s">
        <v>25</v>
      </c>
      <c r="O2717" t="s">
        <v>26</v>
      </c>
      <c r="P2717" t="s">
        <v>25</v>
      </c>
      <c r="Q2717" t="s">
        <v>51</v>
      </c>
      <c r="R2717" t="s">
        <v>3041</v>
      </c>
    </row>
    <row r="2718" spans="1:18">
      <c r="A2718">
        <v>2728</v>
      </c>
      <c r="B2718" t="s">
        <v>3043</v>
      </c>
      <c r="C2718" t="s">
        <v>247</v>
      </c>
      <c r="D2718" t="s">
        <v>22</v>
      </c>
      <c r="E2718" t="s">
        <v>2332</v>
      </c>
      <c r="F2718">
        <v>71162</v>
      </c>
      <c r="G2718">
        <v>0</v>
      </c>
      <c r="H2718">
        <v>71162</v>
      </c>
      <c r="I2718" t="s">
        <v>24</v>
      </c>
      <c r="J2718" t="s">
        <v>25</v>
      </c>
      <c r="K2718">
        <v>0</v>
      </c>
      <c r="L2718">
        <v>0</v>
      </c>
      <c r="M2718" t="s">
        <v>25</v>
      </c>
      <c r="N2718" t="s">
        <v>25</v>
      </c>
      <c r="O2718" t="s">
        <v>26</v>
      </c>
      <c r="P2718" t="s">
        <v>25</v>
      </c>
      <c r="Q2718" t="s">
        <v>51</v>
      </c>
      <c r="R2718" t="s">
        <v>3041</v>
      </c>
    </row>
    <row r="2719" spans="1:18">
      <c r="A2719">
        <v>2729</v>
      </c>
      <c r="B2719" t="s">
        <v>3044</v>
      </c>
      <c r="C2719" t="s">
        <v>21</v>
      </c>
      <c r="D2719" t="s">
        <v>22</v>
      </c>
      <c r="E2719" t="s">
        <v>2332</v>
      </c>
      <c r="F2719">
        <v>40460</v>
      </c>
      <c r="G2719">
        <v>0</v>
      </c>
      <c r="H2719">
        <v>40460</v>
      </c>
      <c r="I2719" t="s">
        <v>24</v>
      </c>
      <c r="J2719" t="s">
        <v>25</v>
      </c>
      <c r="K2719">
        <v>0</v>
      </c>
      <c r="L2719">
        <v>0</v>
      </c>
      <c r="M2719" t="s">
        <v>25</v>
      </c>
      <c r="N2719" t="s">
        <v>25</v>
      </c>
      <c r="O2719" t="s">
        <v>26</v>
      </c>
      <c r="P2719" t="s">
        <v>25</v>
      </c>
      <c r="Q2719" t="s">
        <v>51</v>
      </c>
      <c r="R2719" t="s">
        <v>3041</v>
      </c>
    </row>
    <row r="2720" spans="1:18">
      <c r="A2720">
        <v>2730</v>
      </c>
      <c r="B2720" t="s">
        <v>3045</v>
      </c>
      <c r="C2720" t="s">
        <v>21</v>
      </c>
      <c r="D2720" t="s">
        <v>22</v>
      </c>
      <c r="E2720" t="s">
        <v>2332</v>
      </c>
      <c r="F2720">
        <v>46410</v>
      </c>
      <c r="G2720">
        <v>0</v>
      </c>
      <c r="H2720">
        <v>46410</v>
      </c>
      <c r="I2720" t="s">
        <v>24</v>
      </c>
      <c r="J2720" t="s">
        <v>25</v>
      </c>
      <c r="K2720">
        <v>0</v>
      </c>
      <c r="L2720">
        <v>0</v>
      </c>
      <c r="M2720" t="s">
        <v>25</v>
      </c>
      <c r="N2720" t="s">
        <v>25</v>
      </c>
      <c r="O2720" t="s">
        <v>26</v>
      </c>
      <c r="P2720" t="s">
        <v>25</v>
      </c>
      <c r="Q2720" t="s">
        <v>51</v>
      </c>
      <c r="R2720" t="s">
        <v>3041</v>
      </c>
    </row>
    <row r="2721" spans="1:18">
      <c r="A2721">
        <v>2731</v>
      </c>
      <c r="B2721" t="s">
        <v>3046</v>
      </c>
      <c r="C2721" t="s">
        <v>21</v>
      </c>
      <c r="D2721" t="s">
        <v>22</v>
      </c>
      <c r="E2721" t="s">
        <v>2332</v>
      </c>
      <c r="F2721">
        <v>40460</v>
      </c>
      <c r="G2721">
        <v>0</v>
      </c>
      <c r="H2721">
        <v>40460</v>
      </c>
      <c r="I2721" t="s">
        <v>24</v>
      </c>
      <c r="J2721" t="s">
        <v>25</v>
      </c>
      <c r="K2721">
        <v>0</v>
      </c>
      <c r="L2721">
        <v>0</v>
      </c>
      <c r="M2721" t="s">
        <v>25</v>
      </c>
      <c r="N2721" t="s">
        <v>25</v>
      </c>
      <c r="O2721" t="s">
        <v>26</v>
      </c>
      <c r="P2721" t="s">
        <v>25</v>
      </c>
      <c r="Q2721" t="s">
        <v>51</v>
      </c>
      <c r="R2721" t="s">
        <v>3041</v>
      </c>
    </row>
    <row r="2722" spans="1:18">
      <c r="A2722">
        <v>2732</v>
      </c>
      <c r="B2722" t="s">
        <v>3047</v>
      </c>
      <c r="C2722" t="s">
        <v>36</v>
      </c>
      <c r="D2722" t="s">
        <v>217</v>
      </c>
      <c r="E2722" t="s">
        <v>321</v>
      </c>
      <c r="F2722">
        <v>0</v>
      </c>
      <c r="G2722">
        <v>0</v>
      </c>
      <c r="H2722">
        <v>0</v>
      </c>
      <c r="I2722" t="s">
        <v>24</v>
      </c>
      <c r="J2722" t="s">
        <v>25</v>
      </c>
      <c r="K2722">
        <v>0</v>
      </c>
      <c r="L2722">
        <v>0</v>
      </c>
      <c r="M2722" t="s">
        <v>25</v>
      </c>
      <c r="N2722" t="s">
        <v>25</v>
      </c>
      <c r="O2722" t="s">
        <v>26</v>
      </c>
      <c r="P2722" t="s">
        <v>25</v>
      </c>
      <c r="Q2722" t="s">
        <v>231</v>
      </c>
      <c r="R2722" t="s">
        <v>3041</v>
      </c>
    </row>
    <row r="2723" spans="1:18">
      <c r="A2723">
        <v>2733</v>
      </c>
      <c r="B2723" t="s">
        <v>3048</v>
      </c>
      <c r="C2723" t="s">
        <v>247</v>
      </c>
      <c r="D2723" t="s">
        <v>22</v>
      </c>
      <c r="E2723" t="s">
        <v>2332</v>
      </c>
      <c r="F2723">
        <v>59500</v>
      </c>
      <c r="G2723">
        <v>0</v>
      </c>
      <c r="H2723">
        <v>59500</v>
      </c>
      <c r="I2723" t="s">
        <v>24</v>
      </c>
      <c r="J2723" t="s">
        <v>25</v>
      </c>
      <c r="K2723">
        <v>0</v>
      </c>
      <c r="L2723">
        <v>0</v>
      </c>
      <c r="M2723" t="s">
        <v>25</v>
      </c>
      <c r="N2723" t="s">
        <v>25</v>
      </c>
      <c r="O2723" t="s">
        <v>26</v>
      </c>
      <c r="P2723" t="s">
        <v>25</v>
      </c>
      <c r="Q2723" t="s">
        <v>51</v>
      </c>
      <c r="R2723" t="s">
        <v>3041</v>
      </c>
    </row>
    <row r="2724" spans="1:18">
      <c r="A2724">
        <v>2734</v>
      </c>
      <c r="B2724" t="s">
        <v>3049</v>
      </c>
      <c r="C2724" t="s">
        <v>21</v>
      </c>
      <c r="D2724" t="s">
        <v>22</v>
      </c>
      <c r="E2724" t="s">
        <v>2332</v>
      </c>
      <c r="F2724">
        <v>116620</v>
      </c>
      <c r="G2724">
        <v>0</v>
      </c>
      <c r="H2724">
        <v>116620</v>
      </c>
      <c r="I2724" t="s">
        <v>24</v>
      </c>
      <c r="J2724" t="s">
        <v>25</v>
      </c>
      <c r="K2724">
        <v>0</v>
      </c>
      <c r="L2724">
        <v>0</v>
      </c>
      <c r="M2724" t="s">
        <v>25</v>
      </c>
      <c r="N2724" t="s">
        <v>25</v>
      </c>
      <c r="O2724" t="s">
        <v>26</v>
      </c>
      <c r="P2724" t="s">
        <v>25</v>
      </c>
      <c r="Q2724" t="s">
        <v>51</v>
      </c>
      <c r="R2724" t="s">
        <v>3041</v>
      </c>
    </row>
    <row r="2725" spans="1:18">
      <c r="A2725">
        <v>2735</v>
      </c>
      <c r="B2725" t="s">
        <v>3050</v>
      </c>
      <c r="C2725" t="s">
        <v>21</v>
      </c>
      <c r="D2725" t="s">
        <v>22</v>
      </c>
      <c r="E2725" t="s">
        <v>2332</v>
      </c>
      <c r="F2725">
        <v>54740</v>
      </c>
      <c r="G2725">
        <v>0</v>
      </c>
      <c r="H2725">
        <v>54740</v>
      </c>
      <c r="I2725" t="s">
        <v>24</v>
      </c>
      <c r="J2725" t="s">
        <v>25</v>
      </c>
      <c r="K2725">
        <v>0</v>
      </c>
      <c r="L2725">
        <v>0</v>
      </c>
      <c r="M2725" t="s">
        <v>25</v>
      </c>
      <c r="N2725" t="s">
        <v>25</v>
      </c>
      <c r="O2725" t="s">
        <v>26</v>
      </c>
      <c r="P2725" t="s">
        <v>25</v>
      </c>
      <c r="Q2725" t="s">
        <v>51</v>
      </c>
      <c r="R2725" t="s">
        <v>3041</v>
      </c>
    </row>
    <row r="2726" spans="1:18">
      <c r="A2726">
        <v>2736</v>
      </c>
      <c r="B2726" t="s">
        <v>3051</v>
      </c>
      <c r="C2726" t="s">
        <v>102</v>
      </c>
      <c r="D2726" t="s">
        <v>22</v>
      </c>
      <c r="E2726" t="s">
        <v>2783</v>
      </c>
      <c r="F2726">
        <v>0</v>
      </c>
      <c r="G2726">
        <v>0</v>
      </c>
      <c r="H2726">
        <v>0</v>
      </c>
      <c r="I2726" t="s">
        <v>24</v>
      </c>
      <c r="J2726" t="s">
        <v>25</v>
      </c>
      <c r="K2726">
        <v>0</v>
      </c>
      <c r="L2726">
        <v>0</v>
      </c>
      <c r="M2726" t="s">
        <v>25</v>
      </c>
      <c r="N2726" t="s">
        <v>25</v>
      </c>
      <c r="O2726" t="s">
        <v>26</v>
      </c>
      <c r="P2726" t="s">
        <v>25</v>
      </c>
      <c r="Q2726" t="s">
        <v>231</v>
      </c>
      <c r="R2726" t="s">
        <v>3052</v>
      </c>
    </row>
    <row r="2727" spans="1:18">
      <c r="A2727">
        <v>2737</v>
      </c>
      <c r="B2727" t="s">
        <v>3053</v>
      </c>
      <c r="C2727" t="s">
        <v>21</v>
      </c>
      <c r="D2727" t="s">
        <v>22</v>
      </c>
      <c r="E2727" t="s">
        <v>2783</v>
      </c>
      <c r="F2727">
        <v>0</v>
      </c>
      <c r="G2727">
        <v>0</v>
      </c>
      <c r="H2727">
        <v>0</v>
      </c>
      <c r="I2727" t="s">
        <v>24</v>
      </c>
      <c r="J2727" t="s">
        <v>25</v>
      </c>
      <c r="K2727">
        <v>0</v>
      </c>
      <c r="L2727">
        <v>0</v>
      </c>
      <c r="M2727" t="s">
        <v>25</v>
      </c>
      <c r="N2727" t="s">
        <v>25</v>
      </c>
      <c r="O2727" t="s">
        <v>26</v>
      </c>
      <c r="P2727" t="s">
        <v>25</v>
      </c>
      <c r="Q2727" t="s">
        <v>231</v>
      </c>
      <c r="R2727" t="s">
        <v>3052</v>
      </c>
    </row>
    <row r="2728" spans="1:18">
      <c r="A2728">
        <v>2738</v>
      </c>
      <c r="B2728" t="s">
        <v>3054</v>
      </c>
      <c r="C2728" t="s">
        <v>36</v>
      </c>
      <c r="D2728" t="s">
        <v>22</v>
      </c>
      <c r="E2728" t="s">
        <v>2783</v>
      </c>
      <c r="F2728">
        <v>0</v>
      </c>
      <c r="G2728">
        <v>0</v>
      </c>
      <c r="H2728">
        <v>0</v>
      </c>
      <c r="I2728" t="s">
        <v>24</v>
      </c>
      <c r="J2728" t="s">
        <v>25</v>
      </c>
      <c r="K2728">
        <v>0</v>
      </c>
      <c r="L2728">
        <v>0</v>
      </c>
      <c r="M2728" t="s">
        <v>25</v>
      </c>
      <c r="N2728" t="s">
        <v>25</v>
      </c>
      <c r="O2728" t="s">
        <v>26</v>
      </c>
      <c r="P2728" t="s">
        <v>25</v>
      </c>
      <c r="Q2728" t="s">
        <v>231</v>
      </c>
      <c r="R2728" t="s">
        <v>3052</v>
      </c>
    </row>
    <row r="2729" spans="1:18">
      <c r="A2729">
        <v>2739</v>
      </c>
      <c r="B2729" t="s">
        <v>3055</v>
      </c>
      <c r="C2729" t="s">
        <v>36</v>
      </c>
      <c r="D2729" t="s">
        <v>22</v>
      </c>
      <c r="E2729" t="s">
        <v>2783</v>
      </c>
      <c r="F2729">
        <v>0</v>
      </c>
      <c r="G2729">
        <v>0</v>
      </c>
      <c r="H2729">
        <v>0</v>
      </c>
      <c r="I2729" t="s">
        <v>24</v>
      </c>
      <c r="J2729" t="s">
        <v>25</v>
      </c>
      <c r="K2729">
        <v>0</v>
      </c>
      <c r="L2729">
        <v>0</v>
      </c>
      <c r="M2729" t="s">
        <v>25</v>
      </c>
      <c r="N2729" t="s">
        <v>25</v>
      </c>
      <c r="O2729" t="s">
        <v>26</v>
      </c>
      <c r="P2729" t="s">
        <v>25</v>
      </c>
      <c r="Q2729" t="s">
        <v>231</v>
      </c>
      <c r="R2729" t="s">
        <v>3052</v>
      </c>
    </row>
    <row r="2730" spans="1:18">
      <c r="A2730">
        <v>2740</v>
      </c>
      <c r="B2730" t="s">
        <v>3056</v>
      </c>
      <c r="C2730" t="s">
        <v>36</v>
      </c>
      <c r="D2730" t="s">
        <v>217</v>
      </c>
      <c r="E2730" t="s">
        <v>321</v>
      </c>
      <c r="F2730">
        <v>0</v>
      </c>
      <c r="G2730">
        <v>0</v>
      </c>
      <c r="H2730">
        <v>0</v>
      </c>
      <c r="I2730" t="s">
        <v>24</v>
      </c>
      <c r="J2730" t="s">
        <v>25</v>
      </c>
      <c r="K2730">
        <v>0</v>
      </c>
      <c r="L2730">
        <v>0</v>
      </c>
      <c r="M2730" t="s">
        <v>25</v>
      </c>
      <c r="N2730" t="s">
        <v>25</v>
      </c>
      <c r="O2730" t="s">
        <v>26</v>
      </c>
      <c r="P2730" t="s">
        <v>25</v>
      </c>
      <c r="Q2730" t="s">
        <v>231</v>
      </c>
      <c r="R2730" t="s">
        <v>3057</v>
      </c>
    </row>
    <row r="2731" spans="1:18">
      <c r="A2731">
        <v>2741</v>
      </c>
      <c r="B2731" t="s">
        <v>3058</v>
      </c>
      <c r="C2731" t="s">
        <v>247</v>
      </c>
      <c r="D2731" t="s">
        <v>22</v>
      </c>
      <c r="E2731" t="s">
        <v>2332</v>
      </c>
      <c r="F2731">
        <v>24000</v>
      </c>
      <c r="G2731">
        <v>0</v>
      </c>
      <c r="H2731">
        <v>24000</v>
      </c>
      <c r="I2731" t="s">
        <v>24</v>
      </c>
      <c r="J2731" t="s">
        <v>25</v>
      </c>
      <c r="K2731">
        <v>0</v>
      </c>
      <c r="L2731">
        <v>0</v>
      </c>
      <c r="M2731" t="s">
        <v>25</v>
      </c>
      <c r="N2731" t="s">
        <v>25</v>
      </c>
      <c r="O2731" t="s">
        <v>26</v>
      </c>
      <c r="P2731" t="s">
        <v>25</v>
      </c>
      <c r="Q2731" t="s">
        <v>51</v>
      </c>
      <c r="R2731" t="s">
        <v>3057</v>
      </c>
    </row>
    <row r="2732" spans="1:18">
      <c r="A2732">
        <v>2742</v>
      </c>
      <c r="B2732" t="s">
        <v>3059</v>
      </c>
      <c r="C2732" t="s">
        <v>247</v>
      </c>
      <c r="D2732" t="s">
        <v>22</v>
      </c>
      <c r="E2732" t="s">
        <v>2332</v>
      </c>
      <c r="F2732">
        <v>25000</v>
      </c>
      <c r="G2732">
        <v>0</v>
      </c>
      <c r="H2732">
        <v>25000</v>
      </c>
      <c r="I2732" t="s">
        <v>24</v>
      </c>
      <c r="J2732" t="s">
        <v>25</v>
      </c>
      <c r="K2732">
        <v>0</v>
      </c>
      <c r="L2732">
        <v>0</v>
      </c>
      <c r="M2732" t="s">
        <v>25</v>
      </c>
      <c r="N2732" t="s">
        <v>25</v>
      </c>
      <c r="O2732" t="s">
        <v>26</v>
      </c>
      <c r="P2732" t="s">
        <v>25</v>
      </c>
      <c r="Q2732" t="s">
        <v>51</v>
      </c>
      <c r="R2732" t="s">
        <v>3057</v>
      </c>
    </row>
    <row r="2733" spans="1:18">
      <c r="A2733">
        <v>2743</v>
      </c>
      <c r="B2733" t="s">
        <v>3060</v>
      </c>
      <c r="C2733" t="s">
        <v>21</v>
      </c>
      <c r="D2733" t="s">
        <v>22</v>
      </c>
      <c r="E2733" t="s">
        <v>2332</v>
      </c>
      <c r="F2733">
        <v>58000</v>
      </c>
      <c r="G2733">
        <v>0</v>
      </c>
      <c r="H2733">
        <v>58000</v>
      </c>
      <c r="I2733" t="s">
        <v>24</v>
      </c>
      <c r="J2733" t="s">
        <v>25</v>
      </c>
      <c r="K2733">
        <v>0</v>
      </c>
      <c r="L2733">
        <v>0</v>
      </c>
      <c r="M2733" t="s">
        <v>25</v>
      </c>
      <c r="N2733" t="s">
        <v>25</v>
      </c>
      <c r="O2733" t="s">
        <v>26</v>
      </c>
      <c r="P2733" t="s">
        <v>25</v>
      </c>
      <c r="Q2733" t="s">
        <v>51</v>
      </c>
      <c r="R2733" t="s">
        <v>3057</v>
      </c>
    </row>
    <row r="2734" spans="1:18">
      <c r="A2734">
        <v>2744</v>
      </c>
      <c r="B2734" t="s">
        <v>3061</v>
      </c>
      <c r="C2734" t="s">
        <v>21</v>
      </c>
      <c r="D2734" t="s">
        <v>22</v>
      </c>
      <c r="E2734" t="s">
        <v>2332</v>
      </c>
      <c r="F2734">
        <v>58000</v>
      </c>
      <c r="G2734">
        <v>0</v>
      </c>
      <c r="H2734">
        <v>58000</v>
      </c>
      <c r="I2734" t="s">
        <v>24</v>
      </c>
      <c r="J2734" t="s">
        <v>25</v>
      </c>
      <c r="K2734">
        <v>0</v>
      </c>
      <c r="L2734">
        <v>0</v>
      </c>
      <c r="M2734" t="s">
        <v>25</v>
      </c>
      <c r="N2734" t="s">
        <v>25</v>
      </c>
      <c r="O2734" t="s">
        <v>26</v>
      </c>
      <c r="P2734" t="s">
        <v>25</v>
      </c>
      <c r="Q2734" t="s">
        <v>51</v>
      </c>
      <c r="R2734" t="s">
        <v>3057</v>
      </c>
    </row>
    <row r="2735" spans="1:18">
      <c r="A2735">
        <v>2745</v>
      </c>
      <c r="B2735" t="s">
        <v>3062</v>
      </c>
      <c r="C2735" t="s">
        <v>247</v>
      </c>
      <c r="D2735" t="s">
        <v>22</v>
      </c>
      <c r="E2735" t="s">
        <v>2332</v>
      </c>
      <c r="F2735">
        <v>24000</v>
      </c>
      <c r="G2735">
        <v>0</v>
      </c>
      <c r="H2735">
        <v>24000</v>
      </c>
      <c r="I2735" t="s">
        <v>24</v>
      </c>
      <c r="J2735" t="s">
        <v>25</v>
      </c>
      <c r="K2735">
        <v>0</v>
      </c>
      <c r="L2735">
        <v>0</v>
      </c>
      <c r="M2735" t="s">
        <v>25</v>
      </c>
      <c r="N2735" t="s">
        <v>25</v>
      </c>
      <c r="O2735" t="s">
        <v>26</v>
      </c>
      <c r="P2735" t="s">
        <v>25</v>
      </c>
      <c r="Q2735" t="s">
        <v>51</v>
      </c>
      <c r="R2735" t="s">
        <v>3057</v>
      </c>
    </row>
    <row r="2736" spans="1:18">
      <c r="A2736">
        <v>2746</v>
      </c>
      <c r="B2736" t="s">
        <v>3063</v>
      </c>
      <c r="C2736" t="s">
        <v>21</v>
      </c>
      <c r="D2736" t="s">
        <v>22</v>
      </c>
      <c r="E2736" t="s">
        <v>2332</v>
      </c>
      <c r="F2736">
        <v>25000</v>
      </c>
      <c r="G2736">
        <v>0</v>
      </c>
      <c r="H2736">
        <v>25000</v>
      </c>
      <c r="I2736" t="s">
        <v>24</v>
      </c>
      <c r="J2736" t="s">
        <v>25</v>
      </c>
      <c r="K2736">
        <v>0</v>
      </c>
      <c r="L2736">
        <v>0</v>
      </c>
      <c r="M2736" t="s">
        <v>25</v>
      </c>
      <c r="N2736" t="s">
        <v>25</v>
      </c>
      <c r="O2736" t="s">
        <v>26</v>
      </c>
      <c r="P2736" t="s">
        <v>25</v>
      </c>
      <c r="Q2736" t="s">
        <v>51</v>
      </c>
      <c r="R2736" t="s">
        <v>3057</v>
      </c>
    </row>
    <row r="2737" spans="1:18">
      <c r="A2737">
        <v>2747</v>
      </c>
      <c r="B2737" t="s">
        <v>3064</v>
      </c>
      <c r="C2737" t="s">
        <v>21</v>
      </c>
      <c r="D2737" t="s">
        <v>22</v>
      </c>
      <c r="E2737" t="s">
        <v>2332</v>
      </c>
      <c r="F2737">
        <v>58000</v>
      </c>
      <c r="G2737">
        <v>0</v>
      </c>
      <c r="H2737">
        <v>58000</v>
      </c>
      <c r="I2737" t="s">
        <v>24</v>
      </c>
      <c r="J2737" t="s">
        <v>25</v>
      </c>
      <c r="K2737">
        <v>0</v>
      </c>
      <c r="L2737">
        <v>0</v>
      </c>
      <c r="M2737" t="s">
        <v>25</v>
      </c>
      <c r="N2737" t="s">
        <v>25</v>
      </c>
      <c r="O2737" t="s">
        <v>26</v>
      </c>
      <c r="P2737" t="s">
        <v>25</v>
      </c>
      <c r="Q2737" t="s">
        <v>51</v>
      </c>
      <c r="R2737" t="s">
        <v>3057</v>
      </c>
    </row>
    <row r="2738" spans="1:18">
      <c r="A2738">
        <v>2748</v>
      </c>
      <c r="B2738" t="s">
        <v>3065</v>
      </c>
      <c r="C2738" t="s">
        <v>36</v>
      </c>
      <c r="D2738" t="s">
        <v>22</v>
      </c>
      <c r="E2738" t="s">
        <v>2783</v>
      </c>
      <c r="F2738">
        <v>0</v>
      </c>
      <c r="G2738">
        <v>0</v>
      </c>
      <c r="H2738">
        <v>0</v>
      </c>
      <c r="I2738" t="s">
        <v>24</v>
      </c>
      <c r="J2738" t="s">
        <v>25</v>
      </c>
      <c r="K2738">
        <v>0</v>
      </c>
      <c r="L2738">
        <v>0</v>
      </c>
      <c r="M2738" t="s">
        <v>25</v>
      </c>
      <c r="N2738" t="s">
        <v>25</v>
      </c>
      <c r="O2738" t="s">
        <v>26</v>
      </c>
      <c r="P2738" t="s">
        <v>25</v>
      </c>
      <c r="Q2738" t="s">
        <v>231</v>
      </c>
      <c r="R2738" t="s">
        <v>3066</v>
      </c>
    </row>
    <row r="2739" spans="1:18">
      <c r="A2739">
        <v>2749</v>
      </c>
      <c r="B2739" t="s">
        <v>3067</v>
      </c>
      <c r="C2739" t="s">
        <v>36</v>
      </c>
      <c r="D2739" t="s">
        <v>22</v>
      </c>
      <c r="E2739" t="s">
        <v>2783</v>
      </c>
      <c r="F2739">
        <v>0</v>
      </c>
      <c r="G2739">
        <v>0</v>
      </c>
      <c r="H2739">
        <v>0</v>
      </c>
      <c r="I2739" t="s">
        <v>24</v>
      </c>
      <c r="J2739" t="s">
        <v>25</v>
      </c>
      <c r="K2739">
        <v>0</v>
      </c>
      <c r="L2739">
        <v>0</v>
      </c>
      <c r="M2739" t="s">
        <v>25</v>
      </c>
      <c r="N2739" t="s">
        <v>25</v>
      </c>
      <c r="O2739" t="s">
        <v>26</v>
      </c>
      <c r="P2739" t="s">
        <v>25</v>
      </c>
      <c r="Q2739" t="s">
        <v>231</v>
      </c>
      <c r="R2739" t="s">
        <v>3066</v>
      </c>
    </row>
    <row r="2740" spans="1:18">
      <c r="A2740">
        <v>2750</v>
      </c>
      <c r="B2740" t="s">
        <v>3068</v>
      </c>
      <c r="C2740" t="s">
        <v>36</v>
      </c>
      <c r="D2740" t="s">
        <v>22</v>
      </c>
      <c r="E2740" t="s">
        <v>2783</v>
      </c>
      <c r="F2740">
        <v>0</v>
      </c>
      <c r="G2740">
        <v>0</v>
      </c>
      <c r="H2740">
        <v>0</v>
      </c>
      <c r="I2740" t="s">
        <v>24</v>
      </c>
      <c r="J2740" t="s">
        <v>25</v>
      </c>
      <c r="K2740">
        <v>0</v>
      </c>
      <c r="L2740">
        <v>0</v>
      </c>
      <c r="M2740" t="s">
        <v>25</v>
      </c>
      <c r="N2740" t="s">
        <v>25</v>
      </c>
      <c r="O2740" t="s">
        <v>26</v>
      </c>
      <c r="P2740" t="s">
        <v>25</v>
      </c>
      <c r="Q2740" t="s">
        <v>231</v>
      </c>
      <c r="R2740" t="s">
        <v>3066</v>
      </c>
    </row>
    <row r="2741" spans="1:18">
      <c r="A2741">
        <v>2751</v>
      </c>
      <c r="B2741" t="s">
        <v>3069</v>
      </c>
      <c r="C2741" t="s">
        <v>21</v>
      </c>
      <c r="D2741" t="s">
        <v>22</v>
      </c>
      <c r="E2741" t="s">
        <v>1166</v>
      </c>
      <c r="F2741">
        <v>0</v>
      </c>
      <c r="G2741">
        <v>0</v>
      </c>
      <c r="H2741">
        <v>0</v>
      </c>
      <c r="I2741" t="s">
        <v>24</v>
      </c>
      <c r="J2741" t="s">
        <v>25</v>
      </c>
      <c r="K2741">
        <v>0</v>
      </c>
      <c r="L2741">
        <v>0</v>
      </c>
      <c r="M2741" t="s">
        <v>25</v>
      </c>
      <c r="N2741" t="s">
        <v>25</v>
      </c>
      <c r="O2741" t="s">
        <v>26</v>
      </c>
      <c r="P2741" t="s">
        <v>25</v>
      </c>
      <c r="Q2741" t="s">
        <v>231</v>
      </c>
      <c r="R2741" t="s">
        <v>3066</v>
      </c>
    </row>
    <row r="2742" spans="1:18">
      <c r="A2742">
        <v>2752</v>
      </c>
      <c r="B2742" t="s">
        <v>3070</v>
      </c>
      <c r="C2742" t="s">
        <v>21</v>
      </c>
      <c r="D2742" t="s">
        <v>22</v>
      </c>
      <c r="E2742" t="s">
        <v>1166</v>
      </c>
      <c r="F2742">
        <v>0</v>
      </c>
      <c r="G2742">
        <v>0</v>
      </c>
      <c r="H2742">
        <v>0</v>
      </c>
      <c r="I2742" t="s">
        <v>24</v>
      </c>
      <c r="J2742" t="s">
        <v>25</v>
      </c>
      <c r="K2742">
        <v>0</v>
      </c>
      <c r="L2742">
        <v>0</v>
      </c>
      <c r="M2742" t="s">
        <v>25</v>
      </c>
      <c r="N2742" t="s">
        <v>25</v>
      </c>
      <c r="O2742" t="s">
        <v>26</v>
      </c>
      <c r="P2742" t="s">
        <v>25</v>
      </c>
      <c r="Q2742" t="s">
        <v>231</v>
      </c>
      <c r="R2742" t="s">
        <v>3066</v>
      </c>
    </row>
    <row r="2743" spans="1:18">
      <c r="A2743">
        <v>2753</v>
      </c>
      <c r="B2743" t="s">
        <v>3071</v>
      </c>
      <c r="C2743" t="s">
        <v>21</v>
      </c>
      <c r="D2743" t="s">
        <v>22</v>
      </c>
      <c r="E2743" t="s">
        <v>1166</v>
      </c>
      <c r="F2743">
        <v>0</v>
      </c>
      <c r="G2743">
        <v>0</v>
      </c>
      <c r="H2743">
        <v>0</v>
      </c>
      <c r="I2743" t="s">
        <v>24</v>
      </c>
      <c r="J2743" t="s">
        <v>25</v>
      </c>
      <c r="K2743">
        <v>0</v>
      </c>
      <c r="L2743">
        <v>0</v>
      </c>
      <c r="M2743" t="s">
        <v>25</v>
      </c>
      <c r="N2743" t="s">
        <v>25</v>
      </c>
      <c r="O2743" t="s">
        <v>26</v>
      </c>
      <c r="P2743" t="s">
        <v>25</v>
      </c>
      <c r="Q2743" t="s">
        <v>231</v>
      </c>
      <c r="R2743" t="s">
        <v>3066</v>
      </c>
    </row>
    <row r="2744" spans="1:18">
      <c r="A2744">
        <v>2754</v>
      </c>
      <c r="B2744" t="s">
        <v>3072</v>
      </c>
      <c r="C2744" t="s">
        <v>36</v>
      </c>
      <c r="D2744" t="s">
        <v>217</v>
      </c>
      <c r="E2744" t="s">
        <v>1467</v>
      </c>
      <c r="F2744">
        <v>0</v>
      </c>
      <c r="G2744">
        <v>0</v>
      </c>
      <c r="H2744">
        <v>0</v>
      </c>
      <c r="I2744" t="s">
        <v>24</v>
      </c>
      <c r="J2744" t="s">
        <v>25</v>
      </c>
      <c r="K2744">
        <v>0</v>
      </c>
      <c r="L2744">
        <v>0</v>
      </c>
      <c r="M2744" t="s">
        <v>25</v>
      </c>
      <c r="N2744" t="s">
        <v>25</v>
      </c>
      <c r="O2744" t="s">
        <v>26</v>
      </c>
      <c r="P2744" t="s">
        <v>25</v>
      </c>
      <c r="Q2744" t="s">
        <v>231</v>
      </c>
      <c r="R2744" t="s">
        <v>3066</v>
      </c>
    </row>
    <row r="2745" spans="1:18">
      <c r="A2745">
        <v>2755</v>
      </c>
      <c r="B2745" t="s">
        <v>3073</v>
      </c>
      <c r="C2745" t="s">
        <v>102</v>
      </c>
      <c r="D2745" t="s">
        <v>22</v>
      </c>
      <c r="E2745" t="s">
        <v>2783</v>
      </c>
      <c r="F2745">
        <v>0</v>
      </c>
      <c r="G2745">
        <v>0</v>
      </c>
      <c r="H2745">
        <v>0</v>
      </c>
      <c r="I2745" t="s">
        <v>24</v>
      </c>
      <c r="J2745" t="s">
        <v>25</v>
      </c>
      <c r="K2745">
        <v>0</v>
      </c>
      <c r="L2745">
        <v>0</v>
      </c>
      <c r="M2745" t="s">
        <v>25</v>
      </c>
      <c r="N2745" t="s">
        <v>25</v>
      </c>
      <c r="O2745" t="s">
        <v>26</v>
      </c>
      <c r="P2745" t="s">
        <v>25</v>
      </c>
      <c r="Q2745" t="s">
        <v>231</v>
      </c>
      <c r="R2745" t="s">
        <v>3074</v>
      </c>
    </row>
    <row r="2746" spans="1:18">
      <c r="A2746">
        <v>2756</v>
      </c>
      <c r="B2746" t="s">
        <v>3075</v>
      </c>
      <c r="C2746" t="s">
        <v>102</v>
      </c>
      <c r="D2746" t="s">
        <v>22</v>
      </c>
      <c r="E2746" t="s">
        <v>2783</v>
      </c>
      <c r="F2746">
        <v>0</v>
      </c>
      <c r="G2746">
        <v>0</v>
      </c>
      <c r="H2746">
        <v>0</v>
      </c>
      <c r="I2746" t="s">
        <v>24</v>
      </c>
      <c r="J2746" t="s">
        <v>25</v>
      </c>
      <c r="K2746">
        <v>0</v>
      </c>
      <c r="L2746">
        <v>0</v>
      </c>
      <c r="M2746" t="s">
        <v>25</v>
      </c>
      <c r="N2746" t="s">
        <v>25</v>
      </c>
      <c r="O2746" t="s">
        <v>26</v>
      </c>
      <c r="P2746" t="s">
        <v>25</v>
      </c>
      <c r="Q2746" t="s">
        <v>231</v>
      </c>
      <c r="R2746" t="s">
        <v>3074</v>
      </c>
    </row>
    <row r="2747" spans="1:18">
      <c r="A2747">
        <v>2757</v>
      </c>
      <c r="B2747" t="s">
        <v>3076</v>
      </c>
      <c r="C2747" t="s">
        <v>102</v>
      </c>
      <c r="D2747" t="s">
        <v>22</v>
      </c>
      <c r="E2747" t="s">
        <v>2783</v>
      </c>
      <c r="F2747">
        <v>0</v>
      </c>
      <c r="G2747">
        <v>0</v>
      </c>
      <c r="H2747">
        <v>0</v>
      </c>
      <c r="I2747" t="s">
        <v>24</v>
      </c>
      <c r="J2747" t="s">
        <v>25</v>
      </c>
      <c r="K2747">
        <v>0</v>
      </c>
      <c r="L2747">
        <v>0</v>
      </c>
      <c r="M2747" t="s">
        <v>25</v>
      </c>
      <c r="N2747" t="s">
        <v>25</v>
      </c>
      <c r="O2747" t="s">
        <v>26</v>
      </c>
      <c r="P2747" t="s">
        <v>25</v>
      </c>
      <c r="Q2747" t="s">
        <v>231</v>
      </c>
      <c r="R2747" t="s">
        <v>3074</v>
      </c>
    </row>
    <row r="2748" spans="1:18">
      <c r="A2748">
        <v>2758</v>
      </c>
      <c r="B2748" t="s">
        <v>3077</v>
      </c>
      <c r="C2748" t="s">
        <v>36</v>
      </c>
      <c r="D2748" t="s">
        <v>22</v>
      </c>
      <c r="E2748" t="s">
        <v>2783</v>
      </c>
      <c r="F2748">
        <v>0</v>
      </c>
      <c r="G2748">
        <v>0</v>
      </c>
      <c r="H2748">
        <v>0</v>
      </c>
      <c r="I2748" t="s">
        <v>24</v>
      </c>
      <c r="J2748" t="s">
        <v>25</v>
      </c>
      <c r="K2748">
        <v>0</v>
      </c>
      <c r="L2748">
        <v>0</v>
      </c>
      <c r="M2748" t="s">
        <v>25</v>
      </c>
      <c r="N2748" t="s">
        <v>25</v>
      </c>
      <c r="O2748" t="s">
        <v>26</v>
      </c>
      <c r="P2748" t="s">
        <v>25</v>
      </c>
      <c r="Q2748" t="s">
        <v>231</v>
      </c>
      <c r="R2748" t="s">
        <v>3074</v>
      </c>
    </row>
    <row r="2749" spans="1:18">
      <c r="A2749">
        <v>2759</v>
      </c>
      <c r="B2749" t="s">
        <v>3078</v>
      </c>
      <c r="C2749" t="s">
        <v>36</v>
      </c>
      <c r="D2749" t="s">
        <v>22</v>
      </c>
      <c r="E2749" t="s">
        <v>2783</v>
      </c>
      <c r="F2749">
        <v>0</v>
      </c>
      <c r="G2749">
        <v>0</v>
      </c>
      <c r="H2749">
        <v>0</v>
      </c>
      <c r="I2749" t="s">
        <v>24</v>
      </c>
      <c r="J2749" t="s">
        <v>25</v>
      </c>
      <c r="K2749">
        <v>0</v>
      </c>
      <c r="L2749">
        <v>0</v>
      </c>
      <c r="M2749" t="s">
        <v>25</v>
      </c>
      <c r="N2749" t="s">
        <v>25</v>
      </c>
      <c r="O2749" t="s">
        <v>26</v>
      </c>
      <c r="P2749" t="s">
        <v>25</v>
      </c>
      <c r="Q2749" t="s">
        <v>231</v>
      </c>
      <c r="R2749" t="s">
        <v>3074</v>
      </c>
    </row>
    <row r="2750" spans="1:18">
      <c r="A2750">
        <v>2760</v>
      </c>
      <c r="B2750" t="s">
        <v>3079</v>
      </c>
      <c r="C2750" t="s">
        <v>102</v>
      </c>
      <c r="D2750" t="s">
        <v>22</v>
      </c>
      <c r="E2750" t="s">
        <v>1166</v>
      </c>
      <c r="F2750">
        <v>0</v>
      </c>
      <c r="G2750">
        <v>0</v>
      </c>
      <c r="H2750">
        <v>0</v>
      </c>
      <c r="I2750" t="s">
        <v>24</v>
      </c>
      <c r="J2750" t="s">
        <v>25</v>
      </c>
      <c r="K2750">
        <v>0</v>
      </c>
      <c r="L2750">
        <v>0</v>
      </c>
      <c r="M2750" t="s">
        <v>25</v>
      </c>
      <c r="N2750" t="s">
        <v>25</v>
      </c>
      <c r="O2750" t="s">
        <v>26</v>
      </c>
      <c r="P2750" t="s">
        <v>25</v>
      </c>
      <c r="Q2750" t="s">
        <v>231</v>
      </c>
      <c r="R2750" t="s">
        <v>3074</v>
      </c>
    </row>
    <row r="2751" spans="1:18">
      <c r="A2751">
        <v>2761</v>
      </c>
      <c r="B2751" t="s">
        <v>3080</v>
      </c>
      <c r="C2751" t="s">
        <v>247</v>
      </c>
      <c r="D2751" t="s">
        <v>22</v>
      </c>
      <c r="E2751" t="s">
        <v>2332</v>
      </c>
      <c r="F2751">
        <v>1309</v>
      </c>
      <c r="G2751">
        <v>0</v>
      </c>
      <c r="H2751">
        <v>1309</v>
      </c>
      <c r="I2751" t="s">
        <v>24</v>
      </c>
      <c r="J2751" t="s">
        <v>25</v>
      </c>
      <c r="K2751">
        <v>0</v>
      </c>
      <c r="L2751">
        <v>0</v>
      </c>
      <c r="M2751" t="s">
        <v>25</v>
      </c>
      <c r="N2751" t="s">
        <v>25</v>
      </c>
      <c r="O2751" t="s">
        <v>26</v>
      </c>
      <c r="P2751" t="s">
        <v>25</v>
      </c>
      <c r="Q2751" t="s">
        <v>51</v>
      </c>
      <c r="R2751" t="s">
        <v>3081</v>
      </c>
    </row>
    <row r="2752" spans="1:18">
      <c r="A2752">
        <v>2762</v>
      </c>
      <c r="B2752" t="s">
        <v>3082</v>
      </c>
      <c r="C2752" t="s">
        <v>21</v>
      </c>
      <c r="D2752" t="s">
        <v>22</v>
      </c>
      <c r="E2752" t="s">
        <v>2332</v>
      </c>
      <c r="F2752">
        <v>12495</v>
      </c>
      <c r="G2752">
        <v>0</v>
      </c>
      <c r="H2752">
        <v>12495</v>
      </c>
      <c r="I2752" t="s">
        <v>24</v>
      </c>
      <c r="J2752" t="s">
        <v>25</v>
      </c>
      <c r="K2752">
        <v>0</v>
      </c>
      <c r="L2752">
        <v>0</v>
      </c>
      <c r="M2752" t="s">
        <v>25</v>
      </c>
      <c r="N2752" t="s">
        <v>25</v>
      </c>
      <c r="O2752" t="s">
        <v>26</v>
      </c>
      <c r="P2752" t="s">
        <v>25</v>
      </c>
      <c r="Q2752" t="s">
        <v>51</v>
      </c>
      <c r="R2752" t="s">
        <v>3081</v>
      </c>
    </row>
    <row r="2753" spans="1:18">
      <c r="A2753">
        <v>2763</v>
      </c>
      <c r="B2753" t="s">
        <v>3083</v>
      </c>
      <c r="C2753" t="s">
        <v>247</v>
      </c>
      <c r="D2753" t="s">
        <v>22</v>
      </c>
      <c r="E2753" t="s">
        <v>2332</v>
      </c>
      <c r="F2753">
        <v>11305</v>
      </c>
      <c r="G2753">
        <v>0</v>
      </c>
      <c r="H2753">
        <v>11305</v>
      </c>
      <c r="I2753" t="s">
        <v>24</v>
      </c>
      <c r="J2753" t="s">
        <v>25</v>
      </c>
      <c r="K2753">
        <v>0</v>
      </c>
      <c r="L2753">
        <v>0</v>
      </c>
      <c r="M2753" t="s">
        <v>25</v>
      </c>
      <c r="N2753" t="s">
        <v>25</v>
      </c>
      <c r="O2753" t="s">
        <v>26</v>
      </c>
      <c r="P2753" t="s">
        <v>25</v>
      </c>
      <c r="Q2753" t="s">
        <v>51</v>
      </c>
      <c r="R2753" t="s">
        <v>3081</v>
      </c>
    </row>
    <row r="2754" spans="1:18">
      <c r="A2754">
        <v>2764</v>
      </c>
      <c r="B2754" t="s">
        <v>3084</v>
      </c>
      <c r="C2754" t="s">
        <v>21</v>
      </c>
      <c r="D2754" t="s">
        <v>22</v>
      </c>
      <c r="E2754" t="s">
        <v>2332</v>
      </c>
      <c r="F2754">
        <v>19635</v>
      </c>
      <c r="G2754">
        <v>0</v>
      </c>
      <c r="H2754">
        <v>19635</v>
      </c>
      <c r="I2754" t="s">
        <v>24</v>
      </c>
      <c r="J2754" t="s">
        <v>25</v>
      </c>
      <c r="K2754">
        <v>0</v>
      </c>
      <c r="L2754">
        <v>0</v>
      </c>
      <c r="M2754" t="s">
        <v>25</v>
      </c>
      <c r="N2754" t="s">
        <v>25</v>
      </c>
      <c r="O2754" t="s">
        <v>26</v>
      </c>
      <c r="P2754" t="s">
        <v>25</v>
      </c>
      <c r="Q2754" t="s">
        <v>51</v>
      </c>
      <c r="R2754" t="s">
        <v>3081</v>
      </c>
    </row>
    <row r="2755" spans="1:18">
      <c r="A2755">
        <v>2765</v>
      </c>
      <c r="B2755" t="s">
        <v>3085</v>
      </c>
      <c r="C2755" t="s">
        <v>21</v>
      </c>
      <c r="D2755" t="s">
        <v>22</v>
      </c>
      <c r="E2755" t="s">
        <v>2332</v>
      </c>
      <c r="F2755">
        <v>212867</v>
      </c>
      <c r="G2755">
        <v>19</v>
      </c>
      <c r="H2755">
        <v>253311.73</v>
      </c>
      <c r="I2755" t="s">
        <v>24</v>
      </c>
      <c r="J2755" t="s">
        <v>25</v>
      </c>
      <c r="K2755">
        <v>0</v>
      </c>
      <c r="L2755">
        <v>0</v>
      </c>
      <c r="M2755" t="s">
        <v>25</v>
      </c>
      <c r="N2755" t="s">
        <v>25</v>
      </c>
      <c r="O2755" t="s">
        <v>26</v>
      </c>
      <c r="P2755" t="s">
        <v>25</v>
      </c>
      <c r="Q2755" t="s">
        <v>51</v>
      </c>
      <c r="R2755" t="s">
        <v>3081</v>
      </c>
    </row>
    <row r="2756" spans="1:18">
      <c r="A2756">
        <v>2766</v>
      </c>
      <c r="B2756" t="s">
        <v>3086</v>
      </c>
      <c r="C2756" t="s">
        <v>21</v>
      </c>
      <c r="D2756" t="s">
        <v>22</v>
      </c>
      <c r="E2756" t="s">
        <v>2332</v>
      </c>
      <c r="F2756">
        <v>30940</v>
      </c>
      <c r="G2756">
        <v>0</v>
      </c>
      <c r="H2756">
        <v>30940</v>
      </c>
      <c r="I2756" t="s">
        <v>24</v>
      </c>
      <c r="J2756" t="s">
        <v>25</v>
      </c>
      <c r="K2756">
        <v>0</v>
      </c>
      <c r="L2756">
        <v>0</v>
      </c>
      <c r="M2756" t="s">
        <v>25</v>
      </c>
      <c r="N2756" t="s">
        <v>25</v>
      </c>
      <c r="O2756" t="s">
        <v>26</v>
      </c>
      <c r="P2756" t="s">
        <v>25</v>
      </c>
      <c r="Q2756" t="s">
        <v>51</v>
      </c>
      <c r="R2756" t="s">
        <v>3081</v>
      </c>
    </row>
    <row r="2757" spans="1:18">
      <c r="A2757">
        <v>2767</v>
      </c>
      <c r="B2757" t="s">
        <v>3087</v>
      </c>
      <c r="C2757" t="s">
        <v>247</v>
      </c>
      <c r="D2757" t="s">
        <v>22</v>
      </c>
      <c r="E2757" t="s">
        <v>2332</v>
      </c>
      <c r="F2757">
        <v>27155</v>
      </c>
      <c r="G2757">
        <v>0</v>
      </c>
      <c r="H2757">
        <v>27155</v>
      </c>
      <c r="I2757" t="s">
        <v>24</v>
      </c>
      <c r="J2757" t="s">
        <v>25</v>
      </c>
      <c r="K2757">
        <v>0</v>
      </c>
      <c r="L2757">
        <v>0</v>
      </c>
      <c r="M2757" t="s">
        <v>25</v>
      </c>
      <c r="N2757" t="s">
        <v>25</v>
      </c>
      <c r="O2757" t="s">
        <v>26</v>
      </c>
      <c r="P2757" t="s">
        <v>25</v>
      </c>
      <c r="Q2757" t="s">
        <v>51</v>
      </c>
      <c r="R2757" t="s">
        <v>3088</v>
      </c>
    </row>
    <row r="2758" spans="1:18">
      <c r="A2758">
        <v>2768</v>
      </c>
      <c r="B2758" t="s">
        <v>3089</v>
      </c>
      <c r="C2758" t="s">
        <v>247</v>
      </c>
      <c r="D2758" t="s">
        <v>22</v>
      </c>
      <c r="E2758" t="s">
        <v>2332</v>
      </c>
      <c r="F2758">
        <v>63000</v>
      </c>
      <c r="G2758">
        <v>0</v>
      </c>
      <c r="H2758">
        <v>63000</v>
      </c>
      <c r="I2758" t="s">
        <v>24</v>
      </c>
      <c r="J2758" t="s">
        <v>25</v>
      </c>
      <c r="K2758">
        <v>0</v>
      </c>
      <c r="L2758">
        <v>0</v>
      </c>
      <c r="M2758" t="s">
        <v>25</v>
      </c>
      <c r="N2758" t="s">
        <v>25</v>
      </c>
      <c r="O2758" t="s">
        <v>26</v>
      </c>
      <c r="P2758" t="s">
        <v>25</v>
      </c>
      <c r="Q2758" t="s">
        <v>51</v>
      </c>
      <c r="R2758" t="s">
        <v>3090</v>
      </c>
    </row>
    <row r="2759" spans="1:18">
      <c r="A2759">
        <v>2769</v>
      </c>
      <c r="B2759" t="s">
        <v>3091</v>
      </c>
      <c r="C2759" t="s">
        <v>21</v>
      </c>
      <c r="D2759" t="s">
        <v>22</v>
      </c>
      <c r="E2759" t="s">
        <v>2332</v>
      </c>
      <c r="F2759">
        <v>57000</v>
      </c>
      <c r="G2759">
        <v>0</v>
      </c>
      <c r="H2759">
        <v>57000</v>
      </c>
      <c r="I2759" t="s">
        <v>24</v>
      </c>
      <c r="J2759" t="s">
        <v>25</v>
      </c>
      <c r="K2759">
        <v>0</v>
      </c>
      <c r="L2759">
        <v>0</v>
      </c>
      <c r="M2759" t="s">
        <v>25</v>
      </c>
      <c r="N2759" t="s">
        <v>25</v>
      </c>
      <c r="O2759" t="s">
        <v>26</v>
      </c>
      <c r="P2759" t="s">
        <v>25</v>
      </c>
      <c r="Q2759" t="s">
        <v>51</v>
      </c>
      <c r="R2759" t="s">
        <v>3090</v>
      </c>
    </row>
    <row r="2760" spans="1:18">
      <c r="A2760">
        <v>2770</v>
      </c>
      <c r="B2760" t="s">
        <v>3092</v>
      </c>
      <c r="C2760" t="s">
        <v>21</v>
      </c>
      <c r="D2760" t="s">
        <v>22</v>
      </c>
      <c r="E2760" t="s">
        <v>2332</v>
      </c>
      <c r="F2760">
        <v>57000</v>
      </c>
      <c r="G2760">
        <v>0</v>
      </c>
      <c r="H2760">
        <v>57000</v>
      </c>
      <c r="I2760" t="s">
        <v>24</v>
      </c>
      <c r="J2760" t="s">
        <v>25</v>
      </c>
      <c r="K2760">
        <v>0</v>
      </c>
      <c r="L2760">
        <v>0</v>
      </c>
      <c r="M2760" t="s">
        <v>25</v>
      </c>
      <c r="N2760" t="s">
        <v>25</v>
      </c>
      <c r="O2760" t="s">
        <v>26</v>
      </c>
      <c r="P2760" t="s">
        <v>25</v>
      </c>
      <c r="Q2760" t="s">
        <v>51</v>
      </c>
      <c r="R2760" t="s">
        <v>3090</v>
      </c>
    </row>
    <row r="2761" spans="1:18">
      <c r="A2761">
        <v>2771</v>
      </c>
      <c r="B2761" t="s">
        <v>3093</v>
      </c>
      <c r="C2761" t="s">
        <v>247</v>
      </c>
      <c r="D2761" t="s">
        <v>3094</v>
      </c>
      <c r="E2761" t="s">
        <v>2332</v>
      </c>
      <c r="F2761">
        <v>55000</v>
      </c>
      <c r="G2761">
        <v>0</v>
      </c>
      <c r="H2761">
        <v>55000</v>
      </c>
      <c r="I2761" t="s">
        <v>24</v>
      </c>
      <c r="J2761" t="s">
        <v>25</v>
      </c>
      <c r="K2761">
        <v>0</v>
      </c>
      <c r="L2761">
        <v>0</v>
      </c>
      <c r="M2761" t="s">
        <v>25</v>
      </c>
      <c r="N2761" t="s">
        <v>25</v>
      </c>
      <c r="O2761" t="s">
        <v>26</v>
      </c>
      <c r="P2761" t="s">
        <v>25</v>
      </c>
      <c r="Q2761" t="s">
        <v>51</v>
      </c>
      <c r="R2761" t="s">
        <v>3095</v>
      </c>
    </row>
    <row r="2762" spans="1:18">
      <c r="A2762">
        <v>2772</v>
      </c>
      <c r="B2762" t="s">
        <v>3096</v>
      </c>
      <c r="C2762" t="s">
        <v>36</v>
      </c>
      <c r="D2762" t="s">
        <v>217</v>
      </c>
      <c r="E2762" t="s">
        <v>1746</v>
      </c>
      <c r="F2762">
        <v>0</v>
      </c>
      <c r="G2762">
        <v>0</v>
      </c>
      <c r="H2762">
        <v>0</v>
      </c>
      <c r="I2762" t="s">
        <v>24</v>
      </c>
      <c r="J2762" t="s">
        <v>25</v>
      </c>
      <c r="K2762">
        <v>0</v>
      </c>
      <c r="L2762">
        <v>0</v>
      </c>
      <c r="M2762" t="s">
        <v>25</v>
      </c>
      <c r="N2762" t="s">
        <v>25</v>
      </c>
      <c r="O2762" t="s">
        <v>26</v>
      </c>
      <c r="P2762" t="s">
        <v>25</v>
      </c>
      <c r="Q2762" t="s">
        <v>231</v>
      </c>
      <c r="R2762" t="s">
        <v>3097</v>
      </c>
    </row>
    <row r="2763" spans="1:18">
      <c r="A2763">
        <v>2773</v>
      </c>
      <c r="B2763" t="s">
        <v>3098</v>
      </c>
      <c r="C2763" t="s">
        <v>36</v>
      </c>
      <c r="D2763" t="s">
        <v>22</v>
      </c>
      <c r="E2763" t="s">
        <v>1746</v>
      </c>
      <c r="F2763">
        <v>0</v>
      </c>
      <c r="G2763">
        <v>0</v>
      </c>
      <c r="H2763">
        <v>0</v>
      </c>
      <c r="I2763" t="s">
        <v>24</v>
      </c>
      <c r="J2763" t="s">
        <v>25</v>
      </c>
      <c r="K2763">
        <v>0</v>
      </c>
      <c r="L2763">
        <v>0</v>
      </c>
      <c r="M2763" t="s">
        <v>25</v>
      </c>
      <c r="N2763" t="s">
        <v>25</v>
      </c>
      <c r="O2763" t="s">
        <v>26</v>
      </c>
      <c r="P2763" t="s">
        <v>25</v>
      </c>
      <c r="Q2763" t="s">
        <v>231</v>
      </c>
      <c r="R2763" t="s">
        <v>3097</v>
      </c>
    </row>
    <row r="2764" spans="1:18">
      <c r="A2764">
        <v>2774</v>
      </c>
      <c r="B2764" t="s">
        <v>3099</v>
      </c>
      <c r="C2764" t="s">
        <v>247</v>
      </c>
      <c r="D2764" t="s">
        <v>302</v>
      </c>
      <c r="E2764" t="s">
        <v>2332</v>
      </c>
      <c r="F2764">
        <v>6480</v>
      </c>
      <c r="G2764">
        <v>0</v>
      </c>
      <c r="H2764">
        <v>6480</v>
      </c>
      <c r="I2764" t="s">
        <v>24</v>
      </c>
      <c r="J2764" t="s">
        <v>25</v>
      </c>
      <c r="K2764">
        <v>0</v>
      </c>
      <c r="L2764">
        <v>0</v>
      </c>
      <c r="M2764" t="s">
        <v>25</v>
      </c>
      <c r="N2764" t="s">
        <v>25</v>
      </c>
      <c r="O2764" t="s">
        <v>26</v>
      </c>
      <c r="P2764" t="s">
        <v>25</v>
      </c>
      <c r="Q2764" t="s">
        <v>51</v>
      </c>
      <c r="R2764" t="s">
        <v>3100</v>
      </c>
    </row>
    <row r="2765" spans="1:18">
      <c r="A2765">
        <v>2775</v>
      </c>
      <c r="B2765" t="s">
        <v>3101</v>
      </c>
      <c r="C2765" t="s">
        <v>21</v>
      </c>
      <c r="D2765" t="s">
        <v>22</v>
      </c>
      <c r="E2765" t="s">
        <v>2332</v>
      </c>
      <c r="F2765">
        <v>11106</v>
      </c>
      <c r="G2765">
        <v>0</v>
      </c>
      <c r="H2765">
        <v>11106</v>
      </c>
      <c r="I2765" t="s">
        <v>24</v>
      </c>
      <c r="J2765" t="s">
        <v>25</v>
      </c>
      <c r="K2765">
        <v>0</v>
      </c>
      <c r="L2765">
        <v>0</v>
      </c>
      <c r="M2765" t="s">
        <v>25</v>
      </c>
      <c r="N2765" t="s">
        <v>25</v>
      </c>
      <c r="O2765" t="s">
        <v>26</v>
      </c>
      <c r="P2765" t="s">
        <v>25</v>
      </c>
      <c r="Q2765" t="s">
        <v>51</v>
      </c>
      <c r="R2765" t="s">
        <v>3100</v>
      </c>
    </row>
    <row r="2766" spans="1:18">
      <c r="A2766">
        <v>2776</v>
      </c>
      <c r="B2766" t="s">
        <v>3102</v>
      </c>
      <c r="C2766" t="s">
        <v>21</v>
      </c>
      <c r="D2766" t="s">
        <v>22</v>
      </c>
      <c r="E2766" t="s">
        <v>2332</v>
      </c>
      <c r="F2766">
        <v>62283</v>
      </c>
      <c r="G2766">
        <v>0</v>
      </c>
      <c r="H2766">
        <v>62283</v>
      </c>
      <c r="I2766" t="s">
        <v>24</v>
      </c>
      <c r="J2766" t="s">
        <v>25</v>
      </c>
      <c r="K2766">
        <v>0</v>
      </c>
      <c r="L2766">
        <v>0</v>
      </c>
      <c r="M2766" t="s">
        <v>25</v>
      </c>
      <c r="N2766" t="s">
        <v>25</v>
      </c>
      <c r="O2766" t="s">
        <v>26</v>
      </c>
      <c r="P2766" t="s">
        <v>25</v>
      </c>
      <c r="Q2766" t="s">
        <v>51</v>
      </c>
      <c r="R2766" t="s">
        <v>3100</v>
      </c>
    </row>
    <row r="2767" spans="1:18">
      <c r="A2767">
        <v>2777</v>
      </c>
      <c r="B2767" t="s">
        <v>3103</v>
      </c>
      <c r="C2767" t="s">
        <v>21</v>
      </c>
      <c r="D2767" t="s">
        <v>22</v>
      </c>
      <c r="E2767" t="s">
        <v>2332</v>
      </c>
      <c r="F2767">
        <v>39054</v>
      </c>
      <c r="G2767">
        <v>0</v>
      </c>
      <c r="H2767">
        <v>39054</v>
      </c>
      <c r="I2767" t="s">
        <v>24</v>
      </c>
      <c r="J2767" t="s">
        <v>25</v>
      </c>
      <c r="K2767">
        <v>0</v>
      </c>
      <c r="L2767">
        <v>0</v>
      </c>
      <c r="M2767" t="s">
        <v>25</v>
      </c>
      <c r="N2767" t="s">
        <v>25</v>
      </c>
      <c r="O2767" t="s">
        <v>26</v>
      </c>
      <c r="P2767" t="s">
        <v>25</v>
      </c>
      <c r="Q2767" t="s">
        <v>51</v>
      </c>
      <c r="R2767" t="s">
        <v>3100</v>
      </c>
    </row>
    <row r="2768" spans="1:18">
      <c r="A2768">
        <v>2778</v>
      </c>
      <c r="B2768" t="s">
        <v>3104</v>
      </c>
      <c r="C2768" t="s">
        <v>21</v>
      </c>
      <c r="D2768" t="s">
        <v>22</v>
      </c>
      <c r="E2768" t="s">
        <v>2332</v>
      </c>
      <c r="F2768">
        <v>41253</v>
      </c>
      <c r="G2768">
        <v>0</v>
      </c>
      <c r="H2768">
        <v>41253</v>
      </c>
      <c r="I2768" t="s">
        <v>24</v>
      </c>
      <c r="J2768" t="s">
        <v>25</v>
      </c>
      <c r="K2768">
        <v>0</v>
      </c>
      <c r="L2768">
        <v>0</v>
      </c>
      <c r="M2768" t="s">
        <v>25</v>
      </c>
      <c r="N2768" t="s">
        <v>25</v>
      </c>
      <c r="O2768" t="s">
        <v>26</v>
      </c>
      <c r="P2768" t="s">
        <v>25</v>
      </c>
      <c r="Q2768" t="s">
        <v>51</v>
      </c>
      <c r="R2768" t="s">
        <v>3100</v>
      </c>
    </row>
    <row r="2769" spans="1:18">
      <c r="A2769">
        <v>2779</v>
      </c>
      <c r="B2769" t="s">
        <v>3105</v>
      </c>
      <c r="C2769" t="s">
        <v>21</v>
      </c>
      <c r="D2769" t="s">
        <v>22</v>
      </c>
      <c r="E2769" t="s">
        <v>2332</v>
      </c>
      <c r="F2769">
        <v>3375</v>
      </c>
      <c r="G2769">
        <v>0</v>
      </c>
      <c r="H2769">
        <v>3375</v>
      </c>
      <c r="I2769" t="s">
        <v>24</v>
      </c>
      <c r="J2769" t="s">
        <v>25</v>
      </c>
      <c r="K2769">
        <v>0</v>
      </c>
      <c r="L2769">
        <v>0</v>
      </c>
      <c r="M2769" t="s">
        <v>25</v>
      </c>
      <c r="N2769" t="s">
        <v>25</v>
      </c>
      <c r="O2769" t="s">
        <v>26</v>
      </c>
      <c r="P2769" t="s">
        <v>25</v>
      </c>
      <c r="Q2769" t="s">
        <v>51</v>
      </c>
      <c r="R2769" t="s">
        <v>3100</v>
      </c>
    </row>
    <row r="2770" spans="1:18">
      <c r="A2770">
        <v>2780</v>
      </c>
      <c r="B2770" t="s">
        <v>3106</v>
      </c>
      <c r="C2770" t="s">
        <v>21</v>
      </c>
      <c r="D2770" t="s">
        <v>22</v>
      </c>
      <c r="E2770" t="s">
        <v>2332</v>
      </c>
      <c r="F2770">
        <v>5950</v>
      </c>
      <c r="G2770">
        <v>0</v>
      </c>
      <c r="H2770">
        <v>5950</v>
      </c>
      <c r="I2770" t="s">
        <v>24</v>
      </c>
      <c r="J2770" t="s">
        <v>25</v>
      </c>
      <c r="K2770">
        <v>0</v>
      </c>
      <c r="L2770">
        <v>0</v>
      </c>
      <c r="M2770" t="s">
        <v>25</v>
      </c>
      <c r="N2770" t="s">
        <v>25</v>
      </c>
      <c r="O2770" t="s">
        <v>26</v>
      </c>
      <c r="P2770" t="s">
        <v>25</v>
      </c>
      <c r="Q2770" t="s">
        <v>51</v>
      </c>
      <c r="R2770" t="s">
        <v>3100</v>
      </c>
    </row>
    <row r="2771" spans="1:18">
      <c r="A2771">
        <v>2781</v>
      </c>
      <c r="B2771" t="s">
        <v>3107</v>
      </c>
      <c r="C2771" t="s">
        <v>21</v>
      </c>
      <c r="D2771" t="s">
        <v>22</v>
      </c>
      <c r="E2771" t="s">
        <v>2332</v>
      </c>
      <c r="F2771">
        <v>4100</v>
      </c>
      <c r="G2771">
        <v>0</v>
      </c>
      <c r="H2771">
        <v>4100</v>
      </c>
      <c r="I2771" t="s">
        <v>24</v>
      </c>
      <c r="J2771" t="s">
        <v>25</v>
      </c>
      <c r="K2771">
        <v>0</v>
      </c>
      <c r="L2771">
        <v>0</v>
      </c>
      <c r="M2771" t="s">
        <v>25</v>
      </c>
      <c r="N2771" t="s">
        <v>25</v>
      </c>
      <c r="O2771" t="s">
        <v>26</v>
      </c>
      <c r="P2771" t="s">
        <v>25</v>
      </c>
      <c r="Q2771" t="s">
        <v>51</v>
      </c>
      <c r="R2771" t="s">
        <v>3100</v>
      </c>
    </row>
    <row r="2772" spans="1:18">
      <c r="A2772">
        <v>2782</v>
      </c>
      <c r="B2772" t="s">
        <v>3108</v>
      </c>
      <c r="C2772" t="s">
        <v>21</v>
      </c>
      <c r="D2772" t="s">
        <v>22</v>
      </c>
      <c r="E2772" t="s">
        <v>2332</v>
      </c>
      <c r="F2772">
        <v>39270</v>
      </c>
      <c r="G2772">
        <v>0</v>
      </c>
      <c r="H2772">
        <v>39270</v>
      </c>
      <c r="I2772" t="s">
        <v>24</v>
      </c>
      <c r="J2772" t="s">
        <v>25</v>
      </c>
      <c r="K2772">
        <v>0</v>
      </c>
      <c r="L2772">
        <v>0</v>
      </c>
      <c r="M2772" t="s">
        <v>25</v>
      </c>
      <c r="N2772" t="s">
        <v>25</v>
      </c>
      <c r="O2772" t="s">
        <v>26</v>
      </c>
      <c r="P2772" t="s">
        <v>25</v>
      </c>
      <c r="Q2772" t="s">
        <v>51</v>
      </c>
      <c r="R2772" t="s">
        <v>3100</v>
      </c>
    </row>
    <row r="2773" spans="1:18">
      <c r="A2773">
        <v>2783</v>
      </c>
      <c r="B2773" t="s">
        <v>3109</v>
      </c>
      <c r="C2773" t="s">
        <v>21</v>
      </c>
      <c r="D2773" t="s">
        <v>22</v>
      </c>
      <c r="E2773" t="s">
        <v>2332</v>
      </c>
      <c r="F2773">
        <v>101150</v>
      </c>
      <c r="G2773">
        <v>0</v>
      </c>
      <c r="H2773">
        <v>101150</v>
      </c>
      <c r="I2773" t="s">
        <v>24</v>
      </c>
      <c r="J2773" t="s">
        <v>25</v>
      </c>
      <c r="K2773">
        <v>0</v>
      </c>
      <c r="L2773">
        <v>0</v>
      </c>
      <c r="M2773" t="s">
        <v>25</v>
      </c>
      <c r="N2773" t="s">
        <v>25</v>
      </c>
      <c r="O2773" t="s">
        <v>26</v>
      </c>
      <c r="P2773" t="s">
        <v>25</v>
      </c>
      <c r="Q2773" t="s">
        <v>51</v>
      </c>
      <c r="R2773" t="s">
        <v>3100</v>
      </c>
    </row>
    <row r="2774" spans="1:18">
      <c r="A2774">
        <v>2784</v>
      </c>
      <c r="B2774" t="s">
        <v>3110</v>
      </c>
      <c r="C2774" t="s">
        <v>21</v>
      </c>
      <c r="D2774" t="s">
        <v>22</v>
      </c>
      <c r="E2774" t="s">
        <v>2332</v>
      </c>
      <c r="F2774">
        <v>26775</v>
      </c>
      <c r="G2774">
        <v>0</v>
      </c>
      <c r="H2774">
        <v>26775</v>
      </c>
      <c r="I2774" t="s">
        <v>24</v>
      </c>
      <c r="J2774" t="s">
        <v>25</v>
      </c>
      <c r="K2774">
        <v>0</v>
      </c>
      <c r="L2774">
        <v>0</v>
      </c>
      <c r="M2774" t="s">
        <v>25</v>
      </c>
      <c r="N2774" t="s">
        <v>25</v>
      </c>
      <c r="O2774" t="s">
        <v>26</v>
      </c>
      <c r="P2774" t="s">
        <v>25</v>
      </c>
      <c r="Q2774" t="s">
        <v>51</v>
      </c>
      <c r="R2774" t="s">
        <v>3100</v>
      </c>
    </row>
    <row r="2775" spans="1:18">
      <c r="A2775">
        <v>2785</v>
      </c>
      <c r="B2775" t="s">
        <v>3111</v>
      </c>
      <c r="C2775" t="s">
        <v>21</v>
      </c>
      <c r="D2775" t="s">
        <v>22</v>
      </c>
      <c r="E2775" t="s">
        <v>2332</v>
      </c>
      <c r="F2775">
        <v>9282</v>
      </c>
      <c r="G2775">
        <v>0</v>
      </c>
      <c r="H2775">
        <v>9282</v>
      </c>
      <c r="I2775" t="s">
        <v>24</v>
      </c>
      <c r="J2775" t="s">
        <v>25</v>
      </c>
      <c r="K2775">
        <v>0</v>
      </c>
      <c r="L2775">
        <v>0</v>
      </c>
      <c r="M2775" t="s">
        <v>25</v>
      </c>
      <c r="N2775" t="s">
        <v>25</v>
      </c>
      <c r="O2775" t="s">
        <v>26</v>
      </c>
      <c r="P2775" t="s">
        <v>25</v>
      </c>
      <c r="Q2775" t="s">
        <v>51</v>
      </c>
      <c r="R2775" t="s">
        <v>3100</v>
      </c>
    </row>
    <row r="2776" spans="1:18">
      <c r="A2776">
        <v>2786</v>
      </c>
      <c r="B2776" t="s">
        <v>3112</v>
      </c>
      <c r="C2776" t="s">
        <v>21</v>
      </c>
      <c r="D2776" t="s">
        <v>22</v>
      </c>
      <c r="E2776" t="s">
        <v>2332</v>
      </c>
      <c r="F2776">
        <v>20000</v>
      </c>
      <c r="G2776">
        <v>0</v>
      </c>
      <c r="H2776">
        <v>20000</v>
      </c>
      <c r="I2776" t="s">
        <v>24</v>
      </c>
      <c r="J2776" t="s">
        <v>25</v>
      </c>
      <c r="K2776">
        <v>0</v>
      </c>
      <c r="L2776">
        <v>0</v>
      </c>
      <c r="M2776" t="s">
        <v>25</v>
      </c>
      <c r="N2776" t="s">
        <v>25</v>
      </c>
      <c r="O2776" t="s">
        <v>26</v>
      </c>
      <c r="P2776" t="s">
        <v>25</v>
      </c>
      <c r="Q2776" t="s">
        <v>51</v>
      </c>
      <c r="R2776" t="s">
        <v>3100</v>
      </c>
    </row>
    <row r="2777" spans="1:18">
      <c r="A2777">
        <v>2787</v>
      </c>
      <c r="B2777" t="s">
        <v>3113</v>
      </c>
      <c r="C2777" t="s">
        <v>21</v>
      </c>
      <c r="D2777" t="s">
        <v>22</v>
      </c>
      <c r="E2777" t="s">
        <v>2332</v>
      </c>
      <c r="F2777">
        <v>40000</v>
      </c>
      <c r="G2777">
        <v>0</v>
      </c>
      <c r="H2777">
        <v>40000</v>
      </c>
      <c r="I2777" t="s">
        <v>24</v>
      </c>
      <c r="J2777" t="s">
        <v>25</v>
      </c>
      <c r="K2777">
        <v>0</v>
      </c>
      <c r="L2777">
        <v>0</v>
      </c>
      <c r="M2777" t="s">
        <v>25</v>
      </c>
      <c r="N2777" t="s">
        <v>25</v>
      </c>
      <c r="O2777" t="s">
        <v>26</v>
      </c>
      <c r="P2777" t="s">
        <v>25</v>
      </c>
      <c r="Q2777" t="s">
        <v>51</v>
      </c>
      <c r="R2777" t="s">
        <v>3100</v>
      </c>
    </row>
    <row r="2778" spans="1:18">
      <c r="A2778">
        <v>2788</v>
      </c>
      <c r="B2778" t="s">
        <v>3114</v>
      </c>
      <c r="C2778" t="s">
        <v>21</v>
      </c>
      <c r="D2778" t="s">
        <v>22</v>
      </c>
      <c r="E2778" t="s">
        <v>2332</v>
      </c>
      <c r="F2778">
        <v>25000</v>
      </c>
      <c r="G2778">
        <v>0</v>
      </c>
      <c r="H2778">
        <v>25000</v>
      </c>
      <c r="I2778" t="s">
        <v>24</v>
      </c>
      <c r="J2778" t="s">
        <v>25</v>
      </c>
      <c r="K2778">
        <v>0</v>
      </c>
      <c r="L2778">
        <v>0</v>
      </c>
      <c r="M2778" t="s">
        <v>25</v>
      </c>
      <c r="N2778" t="s">
        <v>25</v>
      </c>
      <c r="O2778" t="s">
        <v>26</v>
      </c>
      <c r="P2778" t="s">
        <v>25</v>
      </c>
      <c r="Q2778" t="s">
        <v>51</v>
      </c>
      <c r="R2778" t="s">
        <v>3100</v>
      </c>
    </row>
    <row r="2779" spans="1:18">
      <c r="A2779">
        <v>2789</v>
      </c>
      <c r="B2779" t="s">
        <v>3115</v>
      </c>
      <c r="C2779" t="s">
        <v>21</v>
      </c>
      <c r="D2779" t="s">
        <v>22</v>
      </c>
      <c r="E2779" t="s">
        <v>2332</v>
      </c>
      <c r="F2779">
        <v>25000</v>
      </c>
      <c r="G2779">
        <v>0</v>
      </c>
      <c r="H2779">
        <v>25000</v>
      </c>
      <c r="I2779" t="s">
        <v>24</v>
      </c>
      <c r="J2779" t="s">
        <v>25</v>
      </c>
      <c r="K2779">
        <v>0</v>
      </c>
      <c r="L2779">
        <v>0</v>
      </c>
      <c r="M2779" t="s">
        <v>25</v>
      </c>
      <c r="N2779" t="s">
        <v>25</v>
      </c>
      <c r="O2779" t="s">
        <v>26</v>
      </c>
      <c r="P2779" t="s">
        <v>25</v>
      </c>
      <c r="Q2779" t="s">
        <v>51</v>
      </c>
      <c r="R2779" t="s">
        <v>3100</v>
      </c>
    </row>
    <row r="2780" spans="1:18">
      <c r="A2780">
        <v>2790</v>
      </c>
      <c r="B2780" t="s">
        <v>3116</v>
      </c>
      <c r="C2780" t="s">
        <v>21</v>
      </c>
      <c r="D2780" t="s">
        <v>22</v>
      </c>
      <c r="E2780" t="s">
        <v>2332</v>
      </c>
      <c r="F2780">
        <v>14000</v>
      </c>
      <c r="G2780">
        <v>0</v>
      </c>
      <c r="H2780">
        <v>14000</v>
      </c>
      <c r="I2780" t="s">
        <v>24</v>
      </c>
      <c r="J2780" t="s">
        <v>25</v>
      </c>
      <c r="K2780">
        <v>0</v>
      </c>
      <c r="L2780">
        <v>0</v>
      </c>
      <c r="M2780" t="s">
        <v>25</v>
      </c>
      <c r="N2780" t="s">
        <v>25</v>
      </c>
      <c r="O2780" t="s">
        <v>26</v>
      </c>
      <c r="P2780" t="s">
        <v>25</v>
      </c>
      <c r="Q2780" t="s">
        <v>51</v>
      </c>
      <c r="R2780" t="s">
        <v>3100</v>
      </c>
    </row>
    <row r="2781" spans="1:18">
      <c r="A2781">
        <v>2791</v>
      </c>
      <c r="B2781" t="s">
        <v>3117</v>
      </c>
      <c r="C2781" t="s">
        <v>21</v>
      </c>
      <c r="D2781" t="s">
        <v>22</v>
      </c>
      <c r="E2781" t="s">
        <v>2332</v>
      </c>
      <c r="F2781">
        <v>12000</v>
      </c>
      <c r="G2781">
        <v>0</v>
      </c>
      <c r="H2781">
        <v>12000</v>
      </c>
      <c r="I2781" t="s">
        <v>24</v>
      </c>
      <c r="J2781" t="s">
        <v>25</v>
      </c>
      <c r="K2781">
        <v>0</v>
      </c>
      <c r="L2781">
        <v>0</v>
      </c>
      <c r="M2781" t="s">
        <v>25</v>
      </c>
      <c r="N2781" t="s">
        <v>25</v>
      </c>
      <c r="O2781" t="s">
        <v>26</v>
      </c>
      <c r="P2781" t="s">
        <v>25</v>
      </c>
      <c r="Q2781" t="s">
        <v>51</v>
      </c>
      <c r="R2781" t="s">
        <v>3100</v>
      </c>
    </row>
    <row r="2782" spans="1:18">
      <c r="A2782">
        <v>2792</v>
      </c>
      <c r="B2782" t="s">
        <v>3118</v>
      </c>
      <c r="C2782" t="s">
        <v>21</v>
      </c>
      <c r="D2782" t="s">
        <v>22</v>
      </c>
      <c r="E2782" t="s">
        <v>2332</v>
      </c>
      <c r="F2782">
        <v>35000</v>
      </c>
      <c r="G2782">
        <v>0</v>
      </c>
      <c r="H2782">
        <v>35000</v>
      </c>
      <c r="I2782" t="s">
        <v>24</v>
      </c>
      <c r="J2782" t="s">
        <v>25</v>
      </c>
      <c r="K2782">
        <v>0</v>
      </c>
      <c r="L2782">
        <v>0</v>
      </c>
      <c r="M2782" t="s">
        <v>25</v>
      </c>
      <c r="N2782" t="s">
        <v>25</v>
      </c>
      <c r="O2782" t="s">
        <v>26</v>
      </c>
      <c r="P2782" t="s">
        <v>25</v>
      </c>
      <c r="Q2782" t="s">
        <v>51</v>
      </c>
      <c r="R2782" t="s">
        <v>3100</v>
      </c>
    </row>
    <row r="2783" spans="1:18">
      <c r="A2783">
        <v>2793</v>
      </c>
      <c r="B2783" t="s">
        <v>3119</v>
      </c>
      <c r="C2783" t="s">
        <v>21</v>
      </c>
      <c r="D2783" t="s">
        <v>22</v>
      </c>
      <c r="E2783" t="s">
        <v>2332</v>
      </c>
      <c r="F2783">
        <v>20000</v>
      </c>
      <c r="G2783">
        <v>0</v>
      </c>
      <c r="H2783">
        <v>20000</v>
      </c>
      <c r="I2783" t="s">
        <v>24</v>
      </c>
      <c r="J2783" t="s">
        <v>25</v>
      </c>
      <c r="K2783">
        <v>0</v>
      </c>
      <c r="L2783">
        <v>0</v>
      </c>
      <c r="M2783" t="s">
        <v>25</v>
      </c>
      <c r="N2783" t="s">
        <v>25</v>
      </c>
      <c r="O2783" t="s">
        <v>26</v>
      </c>
      <c r="P2783" t="s">
        <v>25</v>
      </c>
      <c r="Q2783" t="s">
        <v>51</v>
      </c>
      <c r="R2783" t="s">
        <v>3100</v>
      </c>
    </row>
    <row r="2784" spans="1:18">
      <c r="A2784">
        <v>2794</v>
      </c>
      <c r="B2784" t="s">
        <v>3120</v>
      </c>
      <c r="C2784" t="s">
        <v>247</v>
      </c>
      <c r="D2784" t="s">
        <v>22</v>
      </c>
      <c r="E2784" t="s">
        <v>2332</v>
      </c>
      <c r="F2784">
        <v>34986</v>
      </c>
      <c r="G2784">
        <v>0</v>
      </c>
      <c r="H2784">
        <v>34986</v>
      </c>
      <c r="I2784" t="s">
        <v>24</v>
      </c>
      <c r="J2784" t="s">
        <v>25</v>
      </c>
      <c r="K2784">
        <v>0</v>
      </c>
      <c r="L2784">
        <v>0</v>
      </c>
      <c r="M2784" t="s">
        <v>25</v>
      </c>
      <c r="N2784" t="s">
        <v>25</v>
      </c>
      <c r="O2784" t="s">
        <v>26</v>
      </c>
      <c r="P2784" t="s">
        <v>25</v>
      </c>
      <c r="Q2784" t="s">
        <v>51</v>
      </c>
      <c r="R2784" t="s">
        <v>3121</v>
      </c>
    </row>
    <row r="2785" spans="1:18">
      <c r="A2785">
        <v>2795</v>
      </c>
      <c r="B2785" t="s">
        <v>3122</v>
      </c>
      <c r="C2785" t="s">
        <v>21</v>
      </c>
      <c r="D2785" t="s">
        <v>22</v>
      </c>
      <c r="E2785" t="s">
        <v>2332</v>
      </c>
      <c r="F2785">
        <v>3570</v>
      </c>
      <c r="G2785">
        <v>0</v>
      </c>
      <c r="H2785">
        <v>3570</v>
      </c>
      <c r="I2785" t="s">
        <v>24</v>
      </c>
      <c r="J2785" t="s">
        <v>25</v>
      </c>
      <c r="K2785">
        <v>0</v>
      </c>
      <c r="L2785">
        <v>0</v>
      </c>
      <c r="M2785" t="s">
        <v>25</v>
      </c>
      <c r="N2785" t="s">
        <v>25</v>
      </c>
      <c r="O2785" t="s">
        <v>26</v>
      </c>
      <c r="P2785" t="s">
        <v>25</v>
      </c>
      <c r="Q2785" t="s">
        <v>51</v>
      </c>
      <c r="R2785" t="s">
        <v>3121</v>
      </c>
    </row>
    <row r="2786" spans="1:18">
      <c r="A2786">
        <v>2796</v>
      </c>
      <c r="B2786" t="s">
        <v>3123</v>
      </c>
      <c r="C2786" t="s">
        <v>21</v>
      </c>
      <c r="D2786" t="s">
        <v>22</v>
      </c>
      <c r="E2786" t="s">
        <v>2332</v>
      </c>
      <c r="F2786">
        <v>3570</v>
      </c>
      <c r="G2786">
        <v>0</v>
      </c>
      <c r="H2786">
        <v>3570</v>
      </c>
      <c r="I2786" t="s">
        <v>24</v>
      </c>
      <c r="J2786" t="s">
        <v>25</v>
      </c>
      <c r="K2786">
        <v>0</v>
      </c>
      <c r="L2786">
        <v>0</v>
      </c>
      <c r="M2786" t="s">
        <v>25</v>
      </c>
      <c r="N2786" t="s">
        <v>25</v>
      </c>
      <c r="O2786" t="s">
        <v>26</v>
      </c>
      <c r="P2786" t="s">
        <v>25</v>
      </c>
      <c r="Q2786" t="s">
        <v>51</v>
      </c>
      <c r="R2786" t="s">
        <v>3121</v>
      </c>
    </row>
    <row r="2787" spans="1:18">
      <c r="A2787">
        <v>2797</v>
      </c>
      <c r="B2787" t="s">
        <v>3124</v>
      </c>
      <c r="C2787" t="s">
        <v>247</v>
      </c>
      <c r="D2787" t="s">
        <v>310</v>
      </c>
      <c r="E2787" t="s">
        <v>2332</v>
      </c>
      <c r="F2787">
        <v>35900</v>
      </c>
      <c r="G2787">
        <v>0</v>
      </c>
      <c r="H2787">
        <v>35900</v>
      </c>
      <c r="I2787" t="s">
        <v>24</v>
      </c>
      <c r="J2787" t="s">
        <v>25</v>
      </c>
      <c r="K2787">
        <v>0</v>
      </c>
      <c r="L2787">
        <v>0</v>
      </c>
      <c r="M2787" t="s">
        <v>25</v>
      </c>
      <c r="N2787" t="s">
        <v>25</v>
      </c>
      <c r="O2787" t="s">
        <v>26</v>
      </c>
      <c r="P2787" t="s">
        <v>25</v>
      </c>
      <c r="Q2787" t="s">
        <v>51</v>
      </c>
      <c r="R2787" t="s">
        <v>3121</v>
      </c>
    </row>
    <row r="2788" spans="1:18">
      <c r="A2788">
        <v>2798</v>
      </c>
      <c r="B2788" t="s">
        <v>3125</v>
      </c>
      <c r="C2788" t="s">
        <v>21</v>
      </c>
      <c r="D2788" t="s">
        <v>22</v>
      </c>
      <c r="E2788" t="s">
        <v>2332</v>
      </c>
      <c r="F2788">
        <v>375000</v>
      </c>
      <c r="G2788">
        <v>0</v>
      </c>
      <c r="H2788">
        <v>375000</v>
      </c>
      <c r="I2788" t="s">
        <v>24</v>
      </c>
      <c r="J2788" t="s">
        <v>25</v>
      </c>
      <c r="K2788">
        <v>0</v>
      </c>
      <c r="L2788">
        <v>0</v>
      </c>
      <c r="M2788" t="s">
        <v>25</v>
      </c>
      <c r="N2788" t="s">
        <v>25</v>
      </c>
      <c r="O2788" t="s">
        <v>26</v>
      </c>
      <c r="P2788" t="s">
        <v>25</v>
      </c>
      <c r="Q2788" t="s">
        <v>51</v>
      </c>
      <c r="R2788" t="s">
        <v>3121</v>
      </c>
    </row>
    <row r="2789" spans="1:18">
      <c r="A2789">
        <v>2799</v>
      </c>
      <c r="B2789" t="s">
        <v>3126</v>
      </c>
      <c r="C2789" t="s">
        <v>21</v>
      </c>
      <c r="D2789" t="s">
        <v>22</v>
      </c>
      <c r="E2789" t="s">
        <v>2332</v>
      </c>
      <c r="F2789">
        <v>53000</v>
      </c>
      <c r="G2789">
        <v>0</v>
      </c>
      <c r="H2789">
        <v>53000</v>
      </c>
      <c r="I2789" t="s">
        <v>24</v>
      </c>
      <c r="J2789" t="s">
        <v>25</v>
      </c>
      <c r="K2789">
        <v>0</v>
      </c>
      <c r="L2789">
        <v>0</v>
      </c>
      <c r="M2789" t="s">
        <v>25</v>
      </c>
      <c r="N2789" t="s">
        <v>25</v>
      </c>
      <c r="O2789" t="s">
        <v>26</v>
      </c>
      <c r="P2789" t="s">
        <v>25</v>
      </c>
      <c r="Q2789" t="s">
        <v>51</v>
      </c>
      <c r="R2789" t="s">
        <v>3121</v>
      </c>
    </row>
    <row r="2790" spans="1:18">
      <c r="A2790">
        <v>2800</v>
      </c>
      <c r="B2790" t="s">
        <v>3127</v>
      </c>
      <c r="C2790" t="s">
        <v>21</v>
      </c>
      <c r="D2790" t="s">
        <v>22</v>
      </c>
      <c r="E2790" t="s">
        <v>2332</v>
      </c>
      <c r="F2790">
        <v>53900</v>
      </c>
      <c r="G2790">
        <v>0</v>
      </c>
      <c r="H2790">
        <v>53900</v>
      </c>
      <c r="I2790" t="s">
        <v>24</v>
      </c>
      <c r="J2790" t="s">
        <v>25</v>
      </c>
      <c r="K2790">
        <v>0</v>
      </c>
      <c r="L2790">
        <v>0</v>
      </c>
      <c r="M2790" t="s">
        <v>25</v>
      </c>
      <c r="N2790" t="s">
        <v>25</v>
      </c>
      <c r="O2790" t="s">
        <v>26</v>
      </c>
      <c r="P2790" t="s">
        <v>25</v>
      </c>
      <c r="Q2790" t="s">
        <v>51</v>
      </c>
      <c r="R2790" t="s">
        <v>3121</v>
      </c>
    </row>
    <row r="2791" spans="1:18">
      <c r="A2791">
        <v>2801</v>
      </c>
      <c r="B2791" t="s">
        <v>3128</v>
      </c>
      <c r="C2791" t="s">
        <v>247</v>
      </c>
      <c r="D2791" t="s">
        <v>22</v>
      </c>
      <c r="E2791" t="s">
        <v>2332</v>
      </c>
      <c r="F2791">
        <v>6000000</v>
      </c>
      <c r="G2791">
        <v>0</v>
      </c>
      <c r="H2791">
        <v>6000000</v>
      </c>
      <c r="I2791" t="s">
        <v>24</v>
      </c>
      <c r="J2791" t="s">
        <v>25</v>
      </c>
      <c r="K2791">
        <v>0</v>
      </c>
      <c r="L2791">
        <v>0</v>
      </c>
      <c r="M2791" t="s">
        <v>25</v>
      </c>
      <c r="N2791" t="s">
        <v>25</v>
      </c>
      <c r="O2791" t="s">
        <v>26</v>
      </c>
      <c r="P2791" t="s">
        <v>25</v>
      </c>
      <c r="Q2791" t="s">
        <v>51</v>
      </c>
      <c r="R2791" t="s">
        <v>3121</v>
      </c>
    </row>
    <row r="2792" spans="1:18">
      <c r="A2792">
        <v>2802</v>
      </c>
      <c r="B2792" t="s">
        <v>3129</v>
      </c>
      <c r="C2792" t="s">
        <v>21</v>
      </c>
      <c r="D2792" t="s">
        <v>22</v>
      </c>
      <c r="E2792" t="s">
        <v>2332</v>
      </c>
      <c r="F2792">
        <v>144000</v>
      </c>
      <c r="G2792">
        <v>0</v>
      </c>
      <c r="H2792">
        <v>144000</v>
      </c>
      <c r="I2792" t="s">
        <v>24</v>
      </c>
      <c r="J2792" t="s">
        <v>25</v>
      </c>
      <c r="K2792">
        <v>0</v>
      </c>
      <c r="L2792">
        <v>0</v>
      </c>
      <c r="M2792" t="s">
        <v>25</v>
      </c>
      <c r="N2792" t="s">
        <v>25</v>
      </c>
      <c r="O2792" t="s">
        <v>26</v>
      </c>
      <c r="P2792" t="s">
        <v>25</v>
      </c>
      <c r="Q2792" t="s">
        <v>51</v>
      </c>
      <c r="R2792" t="s">
        <v>3121</v>
      </c>
    </row>
    <row r="2793" spans="1:18">
      <c r="A2793">
        <v>2803</v>
      </c>
      <c r="B2793" t="s">
        <v>3130</v>
      </c>
      <c r="C2793" t="s">
        <v>247</v>
      </c>
      <c r="D2793" t="s">
        <v>22</v>
      </c>
      <c r="E2793" t="s">
        <v>2332</v>
      </c>
      <c r="F2793">
        <v>144000</v>
      </c>
      <c r="G2793">
        <v>0</v>
      </c>
      <c r="H2793">
        <v>144000</v>
      </c>
      <c r="I2793" t="s">
        <v>24</v>
      </c>
      <c r="J2793" t="s">
        <v>25</v>
      </c>
      <c r="K2793">
        <v>0</v>
      </c>
      <c r="L2793">
        <v>0</v>
      </c>
      <c r="M2793" t="s">
        <v>25</v>
      </c>
      <c r="N2793" t="s">
        <v>25</v>
      </c>
      <c r="O2793" t="s">
        <v>26</v>
      </c>
      <c r="P2793" t="s">
        <v>25</v>
      </c>
      <c r="Q2793" t="s">
        <v>51</v>
      </c>
      <c r="R2793" t="s">
        <v>3121</v>
      </c>
    </row>
    <row r="2794" spans="1:18">
      <c r="A2794">
        <v>2804</v>
      </c>
      <c r="B2794" t="s">
        <v>3131</v>
      </c>
      <c r="C2794" t="s">
        <v>21</v>
      </c>
      <c r="D2794" t="s">
        <v>22</v>
      </c>
      <c r="E2794" t="s">
        <v>2332</v>
      </c>
      <c r="F2794">
        <v>144000</v>
      </c>
      <c r="G2794">
        <v>0</v>
      </c>
      <c r="H2794">
        <v>144000</v>
      </c>
      <c r="I2794" t="s">
        <v>24</v>
      </c>
      <c r="J2794" t="s">
        <v>25</v>
      </c>
      <c r="K2794">
        <v>0</v>
      </c>
      <c r="L2794">
        <v>0</v>
      </c>
      <c r="M2794" t="s">
        <v>25</v>
      </c>
      <c r="N2794" t="s">
        <v>25</v>
      </c>
      <c r="O2794" t="s">
        <v>26</v>
      </c>
      <c r="P2794" t="s">
        <v>25</v>
      </c>
      <c r="Q2794" t="s">
        <v>51</v>
      </c>
      <c r="R2794" t="s">
        <v>3121</v>
      </c>
    </row>
    <row r="2795" spans="1:18">
      <c r="A2795">
        <v>2805</v>
      </c>
      <c r="B2795" t="s">
        <v>3132</v>
      </c>
      <c r="C2795" t="s">
        <v>247</v>
      </c>
      <c r="D2795" t="s">
        <v>22</v>
      </c>
      <c r="E2795" t="s">
        <v>2332</v>
      </c>
      <c r="F2795">
        <v>6188</v>
      </c>
      <c r="G2795">
        <v>0</v>
      </c>
      <c r="H2795">
        <v>6188</v>
      </c>
      <c r="I2795" t="s">
        <v>24</v>
      </c>
      <c r="J2795" t="s">
        <v>25</v>
      </c>
      <c r="K2795">
        <v>0</v>
      </c>
      <c r="L2795">
        <v>0</v>
      </c>
      <c r="M2795" t="s">
        <v>25</v>
      </c>
      <c r="N2795" t="s">
        <v>25</v>
      </c>
      <c r="O2795" t="s">
        <v>26</v>
      </c>
      <c r="P2795" t="s">
        <v>25</v>
      </c>
      <c r="Q2795" t="s">
        <v>51</v>
      </c>
      <c r="R2795" t="s">
        <v>3133</v>
      </c>
    </row>
    <row r="2796" spans="1:18">
      <c r="A2796">
        <v>2806</v>
      </c>
      <c r="B2796" t="s">
        <v>3134</v>
      </c>
      <c r="C2796" t="s">
        <v>21</v>
      </c>
      <c r="D2796" t="s">
        <v>22</v>
      </c>
      <c r="E2796" t="s">
        <v>2332</v>
      </c>
      <c r="F2796">
        <v>7616</v>
      </c>
      <c r="G2796">
        <v>0</v>
      </c>
      <c r="H2796">
        <v>7616</v>
      </c>
      <c r="I2796" t="s">
        <v>24</v>
      </c>
      <c r="J2796" t="s">
        <v>25</v>
      </c>
      <c r="K2796">
        <v>0</v>
      </c>
      <c r="L2796">
        <v>0</v>
      </c>
      <c r="M2796" t="s">
        <v>25</v>
      </c>
      <c r="N2796" t="s">
        <v>25</v>
      </c>
      <c r="O2796" t="s">
        <v>26</v>
      </c>
      <c r="P2796" t="s">
        <v>25</v>
      </c>
      <c r="Q2796" t="s">
        <v>51</v>
      </c>
      <c r="R2796" t="s">
        <v>3133</v>
      </c>
    </row>
    <row r="2797" spans="1:18">
      <c r="A2797">
        <v>2807</v>
      </c>
      <c r="B2797" t="s">
        <v>3135</v>
      </c>
      <c r="C2797" t="s">
        <v>21</v>
      </c>
      <c r="D2797" t="s">
        <v>22</v>
      </c>
      <c r="E2797" t="s">
        <v>2332</v>
      </c>
      <c r="F2797">
        <v>5712</v>
      </c>
      <c r="G2797">
        <v>0</v>
      </c>
      <c r="H2797">
        <v>5712</v>
      </c>
      <c r="I2797" t="s">
        <v>24</v>
      </c>
      <c r="J2797" t="s">
        <v>25</v>
      </c>
      <c r="K2797">
        <v>0</v>
      </c>
      <c r="L2797">
        <v>0</v>
      </c>
      <c r="M2797" t="s">
        <v>25</v>
      </c>
      <c r="N2797" t="s">
        <v>25</v>
      </c>
      <c r="O2797" t="s">
        <v>26</v>
      </c>
      <c r="P2797" t="s">
        <v>25</v>
      </c>
      <c r="Q2797" t="s">
        <v>51</v>
      </c>
      <c r="R2797" t="s">
        <v>3133</v>
      </c>
    </row>
    <row r="2798" spans="1:18">
      <c r="A2798">
        <v>2808</v>
      </c>
      <c r="B2798" t="s">
        <v>3136</v>
      </c>
      <c r="C2798" t="s">
        <v>21</v>
      </c>
      <c r="D2798" t="s">
        <v>22</v>
      </c>
      <c r="E2798" t="s">
        <v>2332</v>
      </c>
      <c r="F2798">
        <v>18921</v>
      </c>
      <c r="G2798">
        <v>0</v>
      </c>
      <c r="H2798">
        <v>18921</v>
      </c>
      <c r="I2798" t="s">
        <v>24</v>
      </c>
      <c r="J2798" t="s">
        <v>25</v>
      </c>
      <c r="K2798">
        <v>0</v>
      </c>
      <c r="L2798">
        <v>0</v>
      </c>
      <c r="M2798" t="s">
        <v>25</v>
      </c>
      <c r="N2798" t="s">
        <v>25</v>
      </c>
      <c r="O2798" t="s">
        <v>26</v>
      </c>
      <c r="P2798" t="s">
        <v>25</v>
      </c>
      <c r="Q2798" t="s">
        <v>51</v>
      </c>
      <c r="R2798" t="s">
        <v>3133</v>
      </c>
    </row>
    <row r="2799" spans="1:18">
      <c r="A2799">
        <v>2809</v>
      </c>
      <c r="B2799" t="s">
        <v>3137</v>
      </c>
      <c r="C2799" t="s">
        <v>21</v>
      </c>
      <c r="D2799" t="s">
        <v>22</v>
      </c>
      <c r="E2799" t="s">
        <v>2332</v>
      </c>
      <c r="F2799">
        <v>18921</v>
      </c>
      <c r="G2799">
        <v>0</v>
      </c>
      <c r="H2799">
        <v>18921</v>
      </c>
      <c r="I2799" t="s">
        <v>24</v>
      </c>
      <c r="J2799" t="s">
        <v>25</v>
      </c>
      <c r="K2799">
        <v>0</v>
      </c>
      <c r="L2799">
        <v>0</v>
      </c>
      <c r="M2799" t="s">
        <v>25</v>
      </c>
      <c r="N2799" t="s">
        <v>25</v>
      </c>
      <c r="O2799" t="s">
        <v>26</v>
      </c>
      <c r="P2799" t="s">
        <v>25</v>
      </c>
      <c r="Q2799" t="s">
        <v>51</v>
      </c>
      <c r="R2799" t="s">
        <v>3133</v>
      </c>
    </row>
    <row r="2800" spans="1:18">
      <c r="A2800">
        <v>2810</v>
      </c>
      <c r="B2800" t="s">
        <v>3138</v>
      </c>
      <c r="C2800" t="s">
        <v>21</v>
      </c>
      <c r="D2800" t="s">
        <v>22</v>
      </c>
      <c r="E2800" t="s">
        <v>2332</v>
      </c>
      <c r="F2800">
        <v>32750</v>
      </c>
      <c r="G2800">
        <v>0</v>
      </c>
      <c r="H2800">
        <v>32750</v>
      </c>
      <c r="I2800" t="s">
        <v>24</v>
      </c>
      <c r="J2800" t="s">
        <v>25</v>
      </c>
      <c r="K2800">
        <v>0</v>
      </c>
      <c r="L2800">
        <v>0</v>
      </c>
      <c r="M2800" t="s">
        <v>25</v>
      </c>
      <c r="N2800" t="s">
        <v>25</v>
      </c>
      <c r="O2800" t="s">
        <v>26</v>
      </c>
      <c r="P2800" t="s">
        <v>25</v>
      </c>
      <c r="Q2800" t="s">
        <v>51</v>
      </c>
      <c r="R2800" t="s">
        <v>3133</v>
      </c>
    </row>
    <row r="2801" spans="1:18">
      <c r="A2801">
        <v>2811</v>
      </c>
      <c r="B2801" t="s">
        <v>3139</v>
      </c>
      <c r="C2801" t="s">
        <v>21</v>
      </c>
      <c r="D2801" t="s">
        <v>22</v>
      </c>
      <c r="E2801" t="s">
        <v>2332</v>
      </c>
      <c r="F2801">
        <v>10650</v>
      </c>
      <c r="G2801">
        <v>0</v>
      </c>
      <c r="H2801">
        <v>10650</v>
      </c>
      <c r="I2801" t="s">
        <v>24</v>
      </c>
      <c r="J2801" t="s">
        <v>25</v>
      </c>
      <c r="K2801">
        <v>0</v>
      </c>
      <c r="L2801">
        <v>0</v>
      </c>
      <c r="M2801" t="s">
        <v>25</v>
      </c>
      <c r="N2801" t="s">
        <v>25</v>
      </c>
      <c r="O2801" t="s">
        <v>26</v>
      </c>
      <c r="P2801" t="s">
        <v>25</v>
      </c>
      <c r="Q2801" t="s">
        <v>51</v>
      </c>
      <c r="R2801" t="s">
        <v>3133</v>
      </c>
    </row>
    <row r="2802" spans="1:18">
      <c r="A2802">
        <v>2812</v>
      </c>
      <c r="B2802" t="s">
        <v>3140</v>
      </c>
      <c r="C2802" t="s">
        <v>21</v>
      </c>
      <c r="D2802" t="s">
        <v>22</v>
      </c>
      <c r="E2802" t="s">
        <v>2332</v>
      </c>
      <c r="F2802">
        <v>28500</v>
      </c>
      <c r="G2802">
        <v>0</v>
      </c>
      <c r="H2802">
        <v>28500</v>
      </c>
      <c r="I2802" t="s">
        <v>24</v>
      </c>
      <c r="J2802" t="s">
        <v>25</v>
      </c>
      <c r="K2802">
        <v>0</v>
      </c>
      <c r="L2802">
        <v>0</v>
      </c>
      <c r="M2802" t="s">
        <v>25</v>
      </c>
      <c r="N2802" t="s">
        <v>25</v>
      </c>
      <c r="O2802" t="s">
        <v>26</v>
      </c>
      <c r="P2802" t="s">
        <v>25</v>
      </c>
      <c r="Q2802" t="s">
        <v>51</v>
      </c>
      <c r="R2802" t="s">
        <v>3133</v>
      </c>
    </row>
    <row r="2803" spans="1:18">
      <c r="A2803">
        <v>2813</v>
      </c>
      <c r="B2803" t="s">
        <v>3141</v>
      </c>
      <c r="C2803" t="s">
        <v>21</v>
      </c>
      <c r="D2803" t="s">
        <v>22</v>
      </c>
      <c r="E2803" t="s">
        <v>2332</v>
      </c>
      <c r="F2803">
        <v>49980</v>
      </c>
      <c r="G2803">
        <v>0</v>
      </c>
      <c r="H2803">
        <v>49980</v>
      </c>
      <c r="I2803" t="s">
        <v>24</v>
      </c>
      <c r="J2803" t="s">
        <v>25</v>
      </c>
      <c r="K2803">
        <v>0</v>
      </c>
      <c r="L2803">
        <v>0</v>
      </c>
      <c r="M2803" t="s">
        <v>25</v>
      </c>
      <c r="N2803" t="s">
        <v>25</v>
      </c>
      <c r="O2803" t="s">
        <v>26</v>
      </c>
      <c r="P2803" t="s">
        <v>25</v>
      </c>
      <c r="Q2803" t="s">
        <v>51</v>
      </c>
      <c r="R2803" t="s">
        <v>3133</v>
      </c>
    </row>
    <row r="2804" spans="1:18">
      <c r="A2804">
        <v>2814</v>
      </c>
      <c r="B2804" t="s">
        <v>3142</v>
      </c>
      <c r="C2804" t="s">
        <v>247</v>
      </c>
      <c r="D2804" t="s">
        <v>22</v>
      </c>
      <c r="E2804" t="s">
        <v>2332</v>
      </c>
      <c r="F2804">
        <v>61260</v>
      </c>
      <c r="G2804">
        <v>0</v>
      </c>
      <c r="H2804">
        <v>61260</v>
      </c>
      <c r="I2804" t="s">
        <v>24</v>
      </c>
      <c r="J2804" t="s">
        <v>25</v>
      </c>
      <c r="K2804">
        <v>0</v>
      </c>
      <c r="L2804">
        <v>0</v>
      </c>
      <c r="M2804" t="s">
        <v>25</v>
      </c>
      <c r="N2804" t="s">
        <v>25</v>
      </c>
      <c r="O2804" t="s">
        <v>26</v>
      </c>
      <c r="P2804" t="s">
        <v>25</v>
      </c>
      <c r="Q2804" t="s">
        <v>51</v>
      </c>
      <c r="R2804" t="s">
        <v>3143</v>
      </c>
    </row>
    <row r="2805" spans="1:18">
      <c r="A2805">
        <v>2815</v>
      </c>
      <c r="B2805" t="s">
        <v>3144</v>
      </c>
      <c r="C2805" t="s">
        <v>21</v>
      </c>
      <c r="D2805" t="s">
        <v>22</v>
      </c>
      <c r="E2805" t="s">
        <v>2332</v>
      </c>
      <c r="F2805">
        <v>43081</v>
      </c>
      <c r="G2805">
        <v>0</v>
      </c>
      <c r="H2805">
        <v>43081</v>
      </c>
      <c r="I2805" t="s">
        <v>24</v>
      </c>
      <c r="J2805" t="s">
        <v>25</v>
      </c>
      <c r="K2805">
        <v>0</v>
      </c>
      <c r="L2805">
        <v>0</v>
      </c>
      <c r="M2805" t="s">
        <v>25</v>
      </c>
      <c r="N2805" t="s">
        <v>25</v>
      </c>
      <c r="O2805" t="s">
        <v>26</v>
      </c>
      <c r="P2805" t="s">
        <v>25</v>
      </c>
      <c r="Q2805" t="s">
        <v>51</v>
      </c>
      <c r="R2805" t="s">
        <v>3143</v>
      </c>
    </row>
    <row r="2806" spans="1:18">
      <c r="A2806">
        <v>2816</v>
      </c>
      <c r="B2806" t="s">
        <v>3145</v>
      </c>
      <c r="C2806" t="s">
        <v>21</v>
      </c>
      <c r="D2806" t="s">
        <v>22</v>
      </c>
      <c r="E2806" t="s">
        <v>2332</v>
      </c>
      <c r="F2806">
        <v>800000</v>
      </c>
      <c r="G2806">
        <v>0</v>
      </c>
      <c r="H2806">
        <v>800000</v>
      </c>
      <c r="I2806" t="s">
        <v>24</v>
      </c>
      <c r="J2806" t="s">
        <v>25</v>
      </c>
      <c r="K2806">
        <v>0</v>
      </c>
      <c r="L2806">
        <v>0</v>
      </c>
      <c r="M2806" t="s">
        <v>25</v>
      </c>
      <c r="N2806" t="s">
        <v>25</v>
      </c>
      <c r="O2806" t="s">
        <v>26</v>
      </c>
      <c r="P2806" t="s">
        <v>25</v>
      </c>
      <c r="Q2806" t="s">
        <v>51</v>
      </c>
      <c r="R2806" t="s">
        <v>3143</v>
      </c>
    </row>
    <row r="2807" spans="1:18">
      <c r="A2807">
        <v>2817</v>
      </c>
      <c r="B2807" t="s">
        <v>3146</v>
      </c>
      <c r="C2807" t="s">
        <v>247</v>
      </c>
      <c r="D2807" t="s">
        <v>22</v>
      </c>
      <c r="E2807" t="s">
        <v>2332</v>
      </c>
      <c r="F2807">
        <v>32844</v>
      </c>
      <c r="G2807">
        <v>0</v>
      </c>
      <c r="H2807">
        <v>32844</v>
      </c>
      <c r="I2807" t="s">
        <v>24</v>
      </c>
      <c r="J2807" t="s">
        <v>25</v>
      </c>
      <c r="K2807">
        <v>0</v>
      </c>
      <c r="L2807">
        <v>0</v>
      </c>
      <c r="M2807" t="s">
        <v>25</v>
      </c>
      <c r="N2807" t="s">
        <v>25</v>
      </c>
      <c r="O2807" t="s">
        <v>26</v>
      </c>
      <c r="P2807" t="s">
        <v>25</v>
      </c>
      <c r="Q2807" t="s">
        <v>51</v>
      </c>
      <c r="R2807" t="s">
        <v>3143</v>
      </c>
    </row>
    <row r="2808" spans="1:18">
      <c r="A2808">
        <v>2818</v>
      </c>
      <c r="B2808" t="s">
        <v>3147</v>
      </c>
      <c r="C2808" t="s">
        <v>247</v>
      </c>
      <c r="D2808" t="s">
        <v>22</v>
      </c>
      <c r="E2808" t="s">
        <v>2332</v>
      </c>
      <c r="F2808">
        <v>30000</v>
      </c>
      <c r="G2808">
        <v>0</v>
      </c>
      <c r="H2808">
        <v>30000</v>
      </c>
      <c r="I2808" t="s">
        <v>24</v>
      </c>
      <c r="J2808" t="s">
        <v>25</v>
      </c>
      <c r="K2808">
        <v>0</v>
      </c>
      <c r="L2808">
        <v>0</v>
      </c>
      <c r="M2808" t="s">
        <v>25</v>
      </c>
      <c r="N2808" t="s">
        <v>25</v>
      </c>
      <c r="O2808" t="s">
        <v>26</v>
      </c>
      <c r="P2808" t="s">
        <v>25</v>
      </c>
      <c r="Q2808" t="s">
        <v>51</v>
      </c>
      <c r="R2808" t="s">
        <v>3148</v>
      </c>
    </row>
    <row r="2809" spans="1:18">
      <c r="A2809">
        <v>2819</v>
      </c>
      <c r="B2809" t="s">
        <v>3149</v>
      </c>
      <c r="C2809" t="s">
        <v>21</v>
      </c>
      <c r="D2809" t="s">
        <v>22</v>
      </c>
      <c r="E2809" t="s">
        <v>2332</v>
      </c>
      <c r="F2809">
        <v>13000</v>
      </c>
      <c r="G2809">
        <v>0</v>
      </c>
      <c r="H2809">
        <v>13000</v>
      </c>
      <c r="I2809" t="s">
        <v>24</v>
      </c>
      <c r="J2809" t="s">
        <v>25</v>
      </c>
      <c r="K2809">
        <v>0</v>
      </c>
      <c r="L2809">
        <v>0</v>
      </c>
      <c r="M2809" t="s">
        <v>25</v>
      </c>
      <c r="N2809" t="s">
        <v>25</v>
      </c>
      <c r="O2809" t="s">
        <v>26</v>
      </c>
      <c r="P2809" t="s">
        <v>25</v>
      </c>
      <c r="Q2809" t="s">
        <v>51</v>
      </c>
      <c r="R2809" t="s">
        <v>3148</v>
      </c>
    </row>
    <row r="2810" spans="1:18">
      <c r="A2810">
        <v>2820</v>
      </c>
      <c r="B2810" t="s">
        <v>3150</v>
      </c>
      <c r="C2810" t="s">
        <v>247</v>
      </c>
      <c r="D2810" t="s">
        <v>22</v>
      </c>
      <c r="E2810" t="s">
        <v>2332</v>
      </c>
      <c r="F2810">
        <v>170000</v>
      </c>
      <c r="G2810">
        <v>0</v>
      </c>
      <c r="H2810">
        <v>170000</v>
      </c>
      <c r="I2810" t="s">
        <v>24</v>
      </c>
      <c r="J2810" t="s">
        <v>25</v>
      </c>
      <c r="K2810">
        <v>0</v>
      </c>
      <c r="L2810">
        <v>0</v>
      </c>
      <c r="M2810" t="s">
        <v>25</v>
      </c>
      <c r="N2810" t="s">
        <v>25</v>
      </c>
      <c r="O2810" t="s">
        <v>26</v>
      </c>
      <c r="P2810" t="s">
        <v>25</v>
      </c>
      <c r="Q2810" t="s">
        <v>51</v>
      </c>
      <c r="R2810" t="s">
        <v>3148</v>
      </c>
    </row>
    <row r="2811" spans="1:18">
      <c r="A2811">
        <v>2821</v>
      </c>
      <c r="B2811" t="s">
        <v>3151</v>
      </c>
      <c r="C2811" t="s">
        <v>21</v>
      </c>
      <c r="D2811" t="s">
        <v>22</v>
      </c>
      <c r="E2811" t="s">
        <v>2332</v>
      </c>
      <c r="F2811">
        <v>26000</v>
      </c>
      <c r="G2811">
        <v>0</v>
      </c>
      <c r="H2811">
        <v>26000</v>
      </c>
      <c r="I2811" t="s">
        <v>24</v>
      </c>
      <c r="J2811" t="s">
        <v>25</v>
      </c>
      <c r="K2811">
        <v>0</v>
      </c>
      <c r="L2811">
        <v>0</v>
      </c>
      <c r="M2811" t="s">
        <v>25</v>
      </c>
      <c r="N2811" t="s">
        <v>25</v>
      </c>
      <c r="O2811" t="s">
        <v>26</v>
      </c>
      <c r="P2811" t="s">
        <v>25</v>
      </c>
      <c r="Q2811" t="s">
        <v>51</v>
      </c>
      <c r="R2811" t="s">
        <v>3148</v>
      </c>
    </row>
    <row r="2812" spans="1:18">
      <c r="A2812">
        <v>2822</v>
      </c>
      <c r="B2812" t="s">
        <v>3152</v>
      </c>
      <c r="C2812" t="s">
        <v>247</v>
      </c>
      <c r="D2812" t="s">
        <v>22</v>
      </c>
      <c r="E2812" t="s">
        <v>2332</v>
      </c>
      <c r="F2812">
        <v>724388</v>
      </c>
      <c r="G2812">
        <v>0</v>
      </c>
      <c r="H2812">
        <v>724388</v>
      </c>
      <c r="I2812" t="s">
        <v>24</v>
      </c>
      <c r="J2812" t="s">
        <v>25</v>
      </c>
      <c r="K2812">
        <v>0</v>
      </c>
      <c r="L2812">
        <v>0</v>
      </c>
      <c r="M2812" t="s">
        <v>25</v>
      </c>
      <c r="N2812" t="s">
        <v>25</v>
      </c>
      <c r="O2812" t="s">
        <v>26</v>
      </c>
      <c r="P2812" t="s">
        <v>25</v>
      </c>
      <c r="Q2812" t="s">
        <v>51</v>
      </c>
      <c r="R2812" t="s">
        <v>3153</v>
      </c>
    </row>
    <row r="2813" spans="1:18">
      <c r="A2813">
        <v>2823</v>
      </c>
      <c r="B2813" t="s">
        <v>3154</v>
      </c>
      <c r="C2813" t="s">
        <v>247</v>
      </c>
      <c r="D2813" t="s">
        <v>22</v>
      </c>
      <c r="E2813" t="s">
        <v>2332</v>
      </c>
      <c r="F2813">
        <v>318</v>
      </c>
      <c r="G2813">
        <v>0</v>
      </c>
      <c r="H2813">
        <v>318</v>
      </c>
      <c r="I2813" t="s">
        <v>24</v>
      </c>
      <c r="J2813" t="s">
        <v>25</v>
      </c>
      <c r="K2813">
        <v>0</v>
      </c>
      <c r="L2813">
        <v>0</v>
      </c>
      <c r="M2813" t="s">
        <v>25</v>
      </c>
      <c r="N2813" t="s">
        <v>25</v>
      </c>
      <c r="O2813" t="s">
        <v>26</v>
      </c>
      <c r="P2813" t="s">
        <v>25</v>
      </c>
      <c r="Q2813" t="s">
        <v>51</v>
      </c>
      <c r="R2813" t="s">
        <v>3155</v>
      </c>
    </row>
    <row r="2814" spans="1:18">
      <c r="A2814">
        <v>2824</v>
      </c>
      <c r="B2814" t="s">
        <v>3156</v>
      </c>
      <c r="C2814" t="s">
        <v>247</v>
      </c>
      <c r="D2814" t="s">
        <v>22</v>
      </c>
      <c r="E2814" t="s">
        <v>2332</v>
      </c>
      <c r="F2814">
        <v>3213</v>
      </c>
      <c r="G2814">
        <v>0</v>
      </c>
      <c r="H2814">
        <v>3213</v>
      </c>
      <c r="I2814" t="s">
        <v>24</v>
      </c>
      <c r="J2814" t="s">
        <v>25</v>
      </c>
      <c r="K2814">
        <v>0</v>
      </c>
      <c r="L2814">
        <v>0</v>
      </c>
      <c r="M2814" t="s">
        <v>25</v>
      </c>
      <c r="N2814" t="s">
        <v>25</v>
      </c>
      <c r="O2814" t="s">
        <v>26</v>
      </c>
      <c r="P2814" t="s">
        <v>25</v>
      </c>
      <c r="Q2814" t="s">
        <v>51</v>
      </c>
      <c r="R2814" t="s">
        <v>3155</v>
      </c>
    </row>
    <row r="2815" spans="1:18">
      <c r="A2815">
        <v>2825</v>
      </c>
      <c r="B2815" t="s">
        <v>3157</v>
      </c>
      <c r="C2815" t="s">
        <v>21</v>
      </c>
      <c r="D2815" t="s">
        <v>22</v>
      </c>
      <c r="E2815" t="s">
        <v>2332</v>
      </c>
      <c r="F2815">
        <v>248000</v>
      </c>
      <c r="G2815">
        <v>0</v>
      </c>
      <c r="H2815">
        <v>248000</v>
      </c>
      <c r="I2815" t="s">
        <v>24</v>
      </c>
      <c r="J2815" t="s">
        <v>25</v>
      </c>
      <c r="K2815">
        <v>0</v>
      </c>
      <c r="L2815">
        <v>0</v>
      </c>
      <c r="M2815" t="s">
        <v>25</v>
      </c>
      <c r="N2815" t="s">
        <v>25</v>
      </c>
      <c r="O2815" t="s">
        <v>26</v>
      </c>
      <c r="P2815" t="s">
        <v>25</v>
      </c>
      <c r="Q2815" t="s">
        <v>51</v>
      </c>
      <c r="R2815" t="s">
        <v>3155</v>
      </c>
    </row>
    <row r="2816" spans="1:18">
      <c r="A2816">
        <v>2826</v>
      </c>
      <c r="B2816" t="s">
        <v>3158</v>
      </c>
      <c r="C2816" t="s">
        <v>247</v>
      </c>
      <c r="D2816" t="s">
        <v>32</v>
      </c>
      <c r="E2816" t="s">
        <v>2332</v>
      </c>
      <c r="F2816">
        <v>11329</v>
      </c>
      <c r="G2816">
        <v>0</v>
      </c>
      <c r="H2816">
        <v>11329</v>
      </c>
      <c r="I2816" t="s">
        <v>24</v>
      </c>
      <c r="J2816" t="s">
        <v>25</v>
      </c>
      <c r="K2816">
        <v>0</v>
      </c>
      <c r="L2816">
        <v>0</v>
      </c>
      <c r="M2816" t="s">
        <v>25</v>
      </c>
      <c r="N2816" t="s">
        <v>25</v>
      </c>
      <c r="O2816" t="s">
        <v>26</v>
      </c>
      <c r="P2816" t="s">
        <v>25</v>
      </c>
      <c r="Q2816" t="s">
        <v>51</v>
      </c>
      <c r="R2816" t="s">
        <v>3159</v>
      </c>
    </row>
    <row r="2817" spans="1:18">
      <c r="A2817">
        <v>2827</v>
      </c>
      <c r="B2817" t="s">
        <v>3160</v>
      </c>
      <c r="C2817" t="s">
        <v>21</v>
      </c>
      <c r="D2817" t="s">
        <v>22</v>
      </c>
      <c r="E2817" t="s">
        <v>2332</v>
      </c>
      <c r="F2817">
        <v>14875</v>
      </c>
      <c r="G2817">
        <v>0</v>
      </c>
      <c r="H2817">
        <v>14875</v>
      </c>
      <c r="I2817" t="s">
        <v>24</v>
      </c>
      <c r="J2817" t="s">
        <v>25</v>
      </c>
      <c r="K2817">
        <v>0</v>
      </c>
      <c r="L2817">
        <v>0</v>
      </c>
      <c r="M2817" t="s">
        <v>25</v>
      </c>
      <c r="N2817" t="s">
        <v>25</v>
      </c>
      <c r="O2817" t="s">
        <v>26</v>
      </c>
      <c r="P2817" t="s">
        <v>25</v>
      </c>
      <c r="Q2817" t="s">
        <v>51</v>
      </c>
      <c r="R2817" t="s">
        <v>3159</v>
      </c>
    </row>
    <row r="2818" spans="1:18">
      <c r="A2818">
        <v>2828</v>
      </c>
      <c r="B2818" t="s">
        <v>3161</v>
      </c>
      <c r="C2818" t="s">
        <v>21</v>
      </c>
      <c r="D2818" t="s">
        <v>22</v>
      </c>
      <c r="E2818" t="s">
        <v>2332</v>
      </c>
      <c r="F2818">
        <v>184926</v>
      </c>
      <c r="G2818">
        <v>0</v>
      </c>
      <c r="H2818">
        <v>184926</v>
      </c>
      <c r="I2818" t="s">
        <v>24</v>
      </c>
      <c r="J2818" t="s">
        <v>25</v>
      </c>
      <c r="K2818">
        <v>0</v>
      </c>
      <c r="L2818">
        <v>0</v>
      </c>
      <c r="M2818" t="s">
        <v>25</v>
      </c>
      <c r="N2818" t="s">
        <v>25</v>
      </c>
      <c r="O2818" t="s">
        <v>26</v>
      </c>
      <c r="P2818" t="s">
        <v>25</v>
      </c>
      <c r="Q2818" t="s">
        <v>51</v>
      </c>
      <c r="R2818" t="s">
        <v>3159</v>
      </c>
    </row>
    <row r="2819" spans="1:18">
      <c r="A2819">
        <v>2829</v>
      </c>
      <c r="B2819" t="s">
        <v>3162</v>
      </c>
      <c r="C2819" t="s">
        <v>21</v>
      </c>
      <c r="D2819" t="s">
        <v>32</v>
      </c>
      <c r="E2819" t="s">
        <v>2332</v>
      </c>
      <c r="F2819">
        <v>11329</v>
      </c>
      <c r="G2819">
        <v>0</v>
      </c>
      <c r="H2819">
        <v>11329</v>
      </c>
      <c r="I2819" t="s">
        <v>24</v>
      </c>
      <c r="J2819" t="s">
        <v>25</v>
      </c>
      <c r="K2819">
        <v>0</v>
      </c>
      <c r="L2819">
        <v>0</v>
      </c>
      <c r="M2819" t="s">
        <v>25</v>
      </c>
      <c r="N2819" t="s">
        <v>25</v>
      </c>
      <c r="O2819" t="s">
        <v>26</v>
      </c>
      <c r="P2819" t="s">
        <v>25</v>
      </c>
      <c r="Q2819" t="s">
        <v>51</v>
      </c>
      <c r="R2819" t="s">
        <v>3159</v>
      </c>
    </row>
    <row r="2820" spans="1:18">
      <c r="A2820">
        <v>2830</v>
      </c>
      <c r="B2820" t="s">
        <v>3163</v>
      </c>
      <c r="C2820" t="s">
        <v>36</v>
      </c>
      <c r="D2820" t="s">
        <v>22</v>
      </c>
      <c r="E2820" t="s">
        <v>338</v>
      </c>
      <c r="F2820">
        <v>0</v>
      </c>
      <c r="G2820">
        <v>0</v>
      </c>
      <c r="H2820">
        <v>0</v>
      </c>
      <c r="I2820" t="s">
        <v>24</v>
      </c>
      <c r="J2820" t="s">
        <v>25</v>
      </c>
      <c r="K2820">
        <v>0</v>
      </c>
      <c r="L2820">
        <v>0</v>
      </c>
      <c r="M2820" t="s">
        <v>25</v>
      </c>
      <c r="N2820" t="s">
        <v>25</v>
      </c>
      <c r="O2820" t="s">
        <v>26</v>
      </c>
      <c r="P2820" t="s">
        <v>25</v>
      </c>
      <c r="Q2820" t="s">
        <v>231</v>
      </c>
      <c r="R2820" t="s">
        <v>339</v>
      </c>
    </row>
    <row r="2821" spans="1:18">
      <c r="A2821">
        <v>2831</v>
      </c>
      <c r="B2821" t="s">
        <v>3164</v>
      </c>
      <c r="C2821" t="s">
        <v>320</v>
      </c>
      <c r="D2821" t="s">
        <v>22</v>
      </c>
      <c r="E2821" t="s">
        <v>321</v>
      </c>
      <c r="F2821">
        <v>0</v>
      </c>
      <c r="G2821">
        <v>0</v>
      </c>
      <c r="H2821">
        <v>0</v>
      </c>
      <c r="I2821" t="s">
        <v>24</v>
      </c>
      <c r="J2821" t="s">
        <v>25</v>
      </c>
      <c r="K2821">
        <v>0</v>
      </c>
      <c r="L2821">
        <v>0</v>
      </c>
      <c r="M2821" t="s">
        <v>25</v>
      </c>
      <c r="N2821" t="s">
        <v>25</v>
      </c>
      <c r="O2821" t="s">
        <v>26</v>
      </c>
      <c r="P2821" t="s">
        <v>25</v>
      </c>
      <c r="Q2821" t="s">
        <v>231</v>
      </c>
      <c r="R2821" t="s">
        <v>339</v>
      </c>
    </row>
    <row r="2822" spans="1:18">
      <c r="A2822">
        <v>2832</v>
      </c>
      <c r="B2822" t="s">
        <v>3165</v>
      </c>
      <c r="C2822" t="s">
        <v>36</v>
      </c>
      <c r="D2822" t="s">
        <v>22</v>
      </c>
      <c r="E2822" t="s">
        <v>1166</v>
      </c>
      <c r="F2822">
        <v>0</v>
      </c>
      <c r="G2822">
        <v>0</v>
      </c>
      <c r="H2822">
        <v>0</v>
      </c>
      <c r="I2822" t="s">
        <v>24</v>
      </c>
      <c r="J2822" t="s">
        <v>25</v>
      </c>
      <c r="K2822">
        <v>0</v>
      </c>
      <c r="L2822">
        <v>0</v>
      </c>
      <c r="M2822" t="s">
        <v>25</v>
      </c>
      <c r="N2822" t="s">
        <v>25</v>
      </c>
      <c r="O2822" t="s">
        <v>26</v>
      </c>
      <c r="P2822" t="s">
        <v>25</v>
      </c>
      <c r="Q2822" t="s">
        <v>231</v>
      </c>
      <c r="R2822" t="s">
        <v>339</v>
      </c>
    </row>
    <row r="2823" spans="1:18">
      <c r="A2823">
        <v>2833</v>
      </c>
      <c r="B2823" t="s">
        <v>3166</v>
      </c>
      <c r="C2823" t="s">
        <v>36</v>
      </c>
      <c r="D2823" t="s">
        <v>217</v>
      </c>
      <c r="E2823" t="s">
        <v>1578</v>
      </c>
      <c r="F2823">
        <v>0</v>
      </c>
      <c r="G2823">
        <v>0</v>
      </c>
      <c r="H2823">
        <v>0</v>
      </c>
      <c r="I2823" t="s">
        <v>24</v>
      </c>
      <c r="J2823" t="s">
        <v>25</v>
      </c>
      <c r="K2823">
        <v>0</v>
      </c>
      <c r="L2823">
        <v>0</v>
      </c>
      <c r="M2823" t="s">
        <v>25</v>
      </c>
      <c r="N2823" t="s">
        <v>25</v>
      </c>
      <c r="O2823" t="s">
        <v>26</v>
      </c>
      <c r="P2823" t="s">
        <v>25</v>
      </c>
      <c r="Q2823" t="s">
        <v>231</v>
      </c>
      <c r="R2823" t="s">
        <v>2093</v>
      </c>
    </row>
    <row r="2824" spans="1:18">
      <c r="A2824">
        <v>2834</v>
      </c>
      <c r="B2824" t="s">
        <v>3167</v>
      </c>
      <c r="C2824" t="s">
        <v>21</v>
      </c>
      <c r="D2824" t="s">
        <v>22</v>
      </c>
      <c r="E2824" t="s">
        <v>1578</v>
      </c>
      <c r="F2824">
        <v>0</v>
      </c>
      <c r="G2824">
        <v>0</v>
      </c>
      <c r="H2824">
        <v>0</v>
      </c>
      <c r="I2824" t="s">
        <v>24</v>
      </c>
      <c r="J2824" t="s">
        <v>25</v>
      </c>
      <c r="K2824">
        <v>0</v>
      </c>
      <c r="L2824">
        <v>0</v>
      </c>
      <c r="M2824" t="s">
        <v>25</v>
      </c>
      <c r="N2824" t="s">
        <v>25</v>
      </c>
      <c r="O2824" t="s">
        <v>26</v>
      </c>
      <c r="P2824" t="s">
        <v>25</v>
      </c>
      <c r="Q2824" t="s">
        <v>231</v>
      </c>
      <c r="R2824" t="s">
        <v>2093</v>
      </c>
    </row>
    <row r="2825" spans="1:18">
      <c r="A2825">
        <v>2835</v>
      </c>
      <c r="B2825" t="s">
        <v>3168</v>
      </c>
      <c r="C2825" t="s">
        <v>21</v>
      </c>
      <c r="D2825" t="s">
        <v>22</v>
      </c>
      <c r="E2825" t="s">
        <v>1578</v>
      </c>
      <c r="F2825">
        <v>0</v>
      </c>
      <c r="G2825">
        <v>0</v>
      </c>
      <c r="H2825">
        <v>0</v>
      </c>
      <c r="I2825" t="s">
        <v>24</v>
      </c>
      <c r="J2825" t="s">
        <v>25</v>
      </c>
      <c r="K2825">
        <v>0</v>
      </c>
      <c r="L2825">
        <v>0</v>
      </c>
      <c r="M2825" t="s">
        <v>25</v>
      </c>
      <c r="N2825" t="s">
        <v>25</v>
      </c>
      <c r="O2825" t="s">
        <v>26</v>
      </c>
      <c r="P2825" t="s">
        <v>25</v>
      </c>
      <c r="Q2825" t="s">
        <v>231</v>
      </c>
      <c r="R2825" t="s">
        <v>2093</v>
      </c>
    </row>
    <row r="2826" spans="1:18">
      <c r="A2826">
        <v>2836</v>
      </c>
      <c r="B2826" t="s">
        <v>3169</v>
      </c>
      <c r="C2826" t="s">
        <v>247</v>
      </c>
      <c r="D2826" t="s">
        <v>22</v>
      </c>
      <c r="E2826" t="s">
        <v>2332</v>
      </c>
      <c r="F2826">
        <v>45815</v>
      </c>
      <c r="G2826">
        <v>19</v>
      </c>
      <c r="H2826">
        <v>54519.85</v>
      </c>
      <c r="I2826" t="s">
        <v>24</v>
      </c>
      <c r="J2826" t="s">
        <v>25</v>
      </c>
      <c r="K2826">
        <v>0</v>
      </c>
      <c r="L2826">
        <v>0</v>
      </c>
      <c r="M2826" t="s">
        <v>25</v>
      </c>
      <c r="N2826" t="s">
        <v>25</v>
      </c>
      <c r="O2826" t="s">
        <v>26</v>
      </c>
      <c r="P2826" t="s">
        <v>25</v>
      </c>
      <c r="Q2826" t="s">
        <v>51</v>
      </c>
      <c r="R2826" t="s">
        <v>3170</v>
      </c>
    </row>
    <row r="2827" spans="1:18">
      <c r="A2827">
        <v>2837</v>
      </c>
      <c r="B2827" t="s">
        <v>3171</v>
      </c>
      <c r="C2827" t="s">
        <v>21</v>
      </c>
      <c r="D2827" t="s">
        <v>22</v>
      </c>
      <c r="E2827" t="s">
        <v>2332</v>
      </c>
      <c r="F2827">
        <v>30940</v>
      </c>
      <c r="G2827">
        <v>0</v>
      </c>
      <c r="H2827">
        <v>30940</v>
      </c>
      <c r="I2827" t="s">
        <v>24</v>
      </c>
      <c r="J2827" t="s">
        <v>25</v>
      </c>
      <c r="K2827">
        <v>0</v>
      </c>
      <c r="L2827">
        <v>0</v>
      </c>
      <c r="M2827" t="s">
        <v>25</v>
      </c>
      <c r="N2827" t="s">
        <v>25</v>
      </c>
      <c r="O2827" t="s">
        <v>26</v>
      </c>
      <c r="P2827" t="s">
        <v>25</v>
      </c>
      <c r="Q2827" t="s">
        <v>51</v>
      </c>
      <c r="R2827" t="s">
        <v>3170</v>
      </c>
    </row>
    <row r="2828" spans="1:18">
      <c r="A2828">
        <v>2838</v>
      </c>
      <c r="B2828" t="s">
        <v>3172</v>
      </c>
      <c r="C2828" t="s">
        <v>247</v>
      </c>
      <c r="D2828" t="s">
        <v>22</v>
      </c>
      <c r="E2828" t="s">
        <v>2332</v>
      </c>
      <c r="F2828">
        <v>213010</v>
      </c>
      <c r="G2828">
        <v>0</v>
      </c>
      <c r="H2828">
        <v>213010</v>
      </c>
      <c r="I2828" t="s">
        <v>24</v>
      </c>
      <c r="J2828" t="s">
        <v>25</v>
      </c>
      <c r="K2828">
        <v>0</v>
      </c>
      <c r="L2828">
        <v>0</v>
      </c>
      <c r="M2828" t="s">
        <v>25</v>
      </c>
      <c r="N2828" t="s">
        <v>25</v>
      </c>
      <c r="O2828" t="s">
        <v>26</v>
      </c>
      <c r="P2828" t="s">
        <v>25</v>
      </c>
      <c r="Q2828" t="s">
        <v>51</v>
      </c>
      <c r="R2828" t="s">
        <v>3173</v>
      </c>
    </row>
    <row r="2829" spans="1:18">
      <c r="A2829">
        <v>2839</v>
      </c>
      <c r="B2829" t="s">
        <v>3174</v>
      </c>
      <c r="C2829" t="s">
        <v>21</v>
      </c>
      <c r="D2829" t="s">
        <v>22</v>
      </c>
      <c r="E2829" t="s">
        <v>2332</v>
      </c>
      <c r="F2829">
        <v>42483</v>
      </c>
      <c r="G2829">
        <v>0</v>
      </c>
      <c r="H2829">
        <v>42483</v>
      </c>
      <c r="I2829" t="s">
        <v>24</v>
      </c>
      <c r="J2829" t="s">
        <v>25</v>
      </c>
      <c r="K2829">
        <v>0</v>
      </c>
      <c r="L2829">
        <v>0</v>
      </c>
      <c r="M2829" t="s">
        <v>25</v>
      </c>
      <c r="N2829" t="s">
        <v>25</v>
      </c>
      <c r="O2829" t="s">
        <v>26</v>
      </c>
      <c r="P2829" t="s">
        <v>25</v>
      </c>
      <c r="Q2829" t="s">
        <v>51</v>
      </c>
      <c r="R2829" t="s">
        <v>3173</v>
      </c>
    </row>
    <row r="2830" spans="1:18">
      <c r="A2830">
        <v>2840</v>
      </c>
      <c r="B2830" t="s">
        <v>3175</v>
      </c>
      <c r="C2830" t="s">
        <v>21</v>
      </c>
      <c r="D2830" t="s">
        <v>22</v>
      </c>
      <c r="E2830" t="s">
        <v>2332</v>
      </c>
      <c r="F2830">
        <v>17017</v>
      </c>
      <c r="G2830">
        <v>0</v>
      </c>
      <c r="H2830">
        <v>17017</v>
      </c>
      <c r="I2830" t="s">
        <v>24</v>
      </c>
      <c r="J2830" t="s">
        <v>25</v>
      </c>
      <c r="K2830">
        <v>0</v>
      </c>
      <c r="L2830">
        <v>0</v>
      </c>
      <c r="M2830" t="s">
        <v>25</v>
      </c>
      <c r="N2830" t="s">
        <v>25</v>
      </c>
      <c r="O2830" t="s">
        <v>26</v>
      </c>
      <c r="P2830" t="s">
        <v>25</v>
      </c>
      <c r="Q2830" t="s">
        <v>51</v>
      </c>
      <c r="R2830" t="s">
        <v>3173</v>
      </c>
    </row>
    <row r="2831" spans="1:18">
      <c r="A2831">
        <v>2841</v>
      </c>
      <c r="B2831" t="s">
        <v>3176</v>
      </c>
      <c r="C2831" t="s">
        <v>21</v>
      </c>
      <c r="D2831" t="s">
        <v>22</v>
      </c>
      <c r="E2831" t="s">
        <v>2332</v>
      </c>
      <c r="F2831">
        <v>14280</v>
      </c>
      <c r="G2831">
        <v>0</v>
      </c>
      <c r="H2831">
        <v>14280</v>
      </c>
      <c r="I2831" t="s">
        <v>24</v>
      </c>
      <c r="J2831" t="s">
        <v>25</v>
      </c>
      <c r="K2831">
        <v>0</v>
      </c>
      <c r="L2831">
        <v>0</v>
      </c>
      <c r="M2831" t="s">
        <v>25</v>
      </c>
      <c r="N2831" t="s">
        <v>25</v>
      </c>
      <c r="O2831" t="s">
        <v>26</v>
      </c>
      <c r="P2831" t="s">
        <v>25</v>
      </c>
      <c r="Q2831" t="s">
        <v>51</v>
      </c>
      <c r="R2831" t="s">
        <v>3173</v>
      </c>
    </row>
    <row r="2832" spans="1:18">
      <c r="A2832">
        <v>2842</v>
      </c>
      <c r="B2832" t="s">
        <v>3177</v>
      </c>
      <c r="C2832" t="s">
        <v>21</v>
      </c>
      <c r="D2832" t="s">
        <v>22</v>
      </c>
      <c r="E2832" t="s">
        <v>2332</v>
      </c>
      <c r="F2832">
        <v>14280</v>
      </c>
      <c r="G2832">
        <v>0</v>
      </c>
      <c r="H2832">
        <v>14280</v>
      </c>
      <c r="I2832" t="s">
        <v>24</v>
      </c>
      <c r="J2832" t="s">
        <v>25</v>
      </c>
      <c r="K2832">
        <v>0</v>
      </c>
      <c r="L2832">
        <v>0</v>
      </c>
      <c r="M2832" t="s">
        <v>25</v>
      </c>
      <c r="N2832" t="s">
        <v>25</v>
      </c>
      <c r="O2832" t="s">
        <v>26</v>
      </c>
      <c r="P2832" t="s">
        <v>25</v>
      </c>
      <c r="Q2832" t="s">
        <v>51</v>
      </c>
      <c r="R2832" t="s">
        <v>3173</v>
      </c>
    </row>
    <row r="2833" spans="1:18">
      <c r="A2833">
        <v>2843</v>
      </c>
      <c r="B2833" t="s">
        <v>3178</v>
      </c>
      <c r="C2833" t="s">
        <v>21</v>
      </c>
      <c r="D2833" t="s">
        <v>22</v>
      </c>
      <c r="E2833" t="s">
        <v>2332</v>
      </c>
      <c r="F2833">
        <v>5910730</v>
      </c>
      <c r="G2833">
        <v>0</v>
      </c>
      <c r="H2833">
        <v>5910730</v>
      </c>
      <c r="I2833" t="s">
        <v>24</v>
      </c>
      <c r="J2833" t="s">
        <v>25</v>
      </c>
      <c r="K2833">
        <v>0</v>
      </c>
      <c r="L2833">
        <v>0</v>
      </c>
      <c r="M2833" t="s">
        <v>25</v>
      </c>
      <c r="N2833" t="s">
        <v>25</v>
      </c>
      <c r="O2833" t="s">
        <v>26</v>
      </c>
      <c r="P2833" t="s">
        <v>25</v>
      </c>
      <c r="Q2833" t="s">
        <v>51</v>
      </c>
      <c r="R2833" t="s">
        <v>3173</v>
      </c>
    </row>
    <row r="2834" spans="1:18">
      <c r="A2834">
        <v>2844</v>
      </c>
      <c r="B2834" t="s">
        <v>3179</v>
      </c>
      <c r="C2834" t="s">
        <v>247</v>
      </c>
      <c r="D2834" t="s">
        <v>283</v>
      </c>
      <c r="E2834" t="s">
        <v>2332</v>
      </c>
      <c r="F2834">
        <v>16508</v>
      </c>
      <c r="G2834">
        <v>0</v>
      </c>
      <c r="H2834">
        <v>16508</v>
      </c>
      <c r="I2834" t="s">
        <v>24</v>
      </c>
      <c r="J2834" t="s">
        <v>25</v>
      </c>
      <c r="K2834">
        <v>0</v>
      </c>
      <c r="L2834">
        <v>0</v>
      </c>
      <c r="M2834" t="s">
        <v>25</v>
      </c>
      <c r="N2834" t="s">
        <v>25</v>
      </c>
      <c r="O2834" t="s">
        <v>26</v>
      </c>
      <c r="P2834" t="s">
        <v>25</v>
      </c>
      <c r="Q2834" t="s">
        <v>51</v>
      </c>
      <c r="R2834" t="s">
        <v>3180</v>
      </c>
    </row>
    <row r="2835" spans="1:18">
      <c r="A2835">
        <v>2845</v>
      </c>
      <c r="B2835" t="s">
        <v>3181</v>
      </c>
      <c r="C2835" t="s">
        <v>21</v>
      </c>
      <c r="D2835" t="s">
        <v>22</v>
      </c>
      <c r="E2835" t="s">
        <v>2332</v>
      </c>
      <c r="F2835">
        <v>16508</v>
      </c>
      <c r="G2835">
        <v>0</v>
      </c>
      <c r="H2835">
        <v>16508</v>
      </c>
      <c r="I2835" t="s">
        <v>24</v>
      </c>
      <c r="J2835" t="s">
        <v>25</v>
      </c>
      <c r="K2835">
        <v>0</v>
      </c>
      <c r="L2835">
        <v>0</v>
      </c>
      <c r="M2835" t="s">
        <v>25</v>
      </c>
      <c r="N2835" t="s">
        <v>25</v>
      </c>
      <c r="O2835" t="s">
        <v>26</v>
      </c>
      <c r="P2835" t="s">
        <v>25</v>
      </c>
      <c r="Q2835" t="s">
        <v>51</v>
      </c>
      <c r="R2835" t="s">
        <v>3180</v>
      </c>
    </row>
    <row r="2836" spans="1:18">
      <c r="A2836">
        <v>2846</v>
      </c>
      <c r="B2836" t="s">
        <v>3182</v>
      </c>
      <c r="C2836" t="s">
        <v>21</v>
      </c>
      <c r="D2836" t="s">
        <v>22</v>
      </c>
      <c r="E2836" t="s">
        <v>2332</v>
      </c>
      <c r="F2836">
        <v>50400</v>
      </c>
      <c r="G2836">
        <v>0</v>
      </c>
      <c r="H2836">
        <v>50400</v>
      </c>
      <c r="I2836" t="s">
        <v>24</v>
      </c>
      <c r="J2836" t="s">
        <v>25</v>
      </c>
      <c r="K2836">
        <v>0</v>
      </c>
      <c r="L2836">
        <v>0</v>
      </c>
      <c r="M2836" t="s">
        <v>25</v>
      </c>
      <c r="N2836" t="s">
        <v>25</v>
      </c>
      <c r="O2836" t="s">
        <v>26</v>
      </c>
      <c r="P2836" t="s">
        <v>25</v>
      </c>
      <c r="Q2836" t="s">
        <v>51</v>
      </c>
      <c r="R2836" t="s">
        <v>3180</v>
      </c>
    </row>
    <row r="2837" spans="1:18">
      <c r="A2837">
        <v>2847</v>
      </c>
      <c r="B2837" t="s">
        <v>3183</v>
      </c>
      <c r="C2837" t="s">
        <v>21</v>
      </c>
      <c r="D2837" t="s">
        <v>22</v>
      </c>
      <c r="E2837" t="s">
        <v>2332</v>
      </c>
      <c r="F2837">
        <v>50400</v>
      </c>
      <c r="G2837">
        <v>0</v>
      </c>
      <c r="H2837">
        <v>50400</v>
      </c>
      <c r="I2837" t="s">
        <v>24</v>
      </c>
      <c r="J2837" t="s">
        <v>25</v>
      </c>
      <c r="K2837">
        <v>0</v>
      </c>
      <c r="L2837">
        <v>0</v>
      </c>
      <c r="M2837" t="s">
        <v>25</v>
      </c>
      <c r="N2837" t="s">
        <v>25</v>
      </c>
      <c r="O2837" t="s">
        <v>26</v>
      </c>
      <c r="P2837" t="s">
        <v>25</v>
      </c>
      <c r="Q2837" t="s">
        <v>51</v>
      </c>
      <c r="R2837" t="s">
        <v>3180</v>
      </c>
    </row>
    <row r="2838" spans="1:18">
      <c r="A2838">
        <v>2848</v>
      </c>
      <c r="B2838" t="s">
        <v>3184</v>
      </c>
      <c r="C2838" t="s">
        <v>21</v>
      </c>
      <c r="D2838" t="s">
        <v>22</v>
      </c>
      <c r="E2838" t="s">
        <v>2332</v>
      </c>
      <c r="F2838">
        <v>50400</v>
      </c>
      <c r="G2838">
        <v>0</v>
      </c>
      <c r="H2838">
        <v>50400</v>
      </c>
      <c r="I2838" t="s">
        <v>24</v>
      </c>
      <c r="J2838" t="s">
        <v>25</v>
      </c>
      <c r="K2838">
        <v>0</v>
      </c>
      <c r="L2838">
        <v>0</v>
      </c>
      <c r="M2838" t="s">
        <v>25</v>
      </c>
      <c r="N2838" t="s">
        <v>25</v>
      </c>
      <c r="O2838" t="s">
        <v>26</v>
      </c>
      <c r="P2838" t="s">
        <v>25</v>
      </c>
      <c r="Q2838" t="s">
        <v>51</v>
      </c>
      <c r="R2838" t="s">
        <v>3180</v>
      </c>
    </row>
    <row r="2839" spans="1:18">
      <c r="A2839">
        <v>2849</v>
      </c>
      <c r="B2839" t="s">
        <v>3185</v>
      </c>
      <c r="C2839" t="s">
        <v>21</v>
      </c>
      <c r="D2839" t="s">
        <v>22</v>
      </c>
      <c r="E2839" t="s">
        <v>2332</v>
      </c>
      <c r="F2839">
        <v>50400</v>
      </c>
      <c r="G2839">
        <v>0</v>
      </c>
      <c r="H2839">
        <v>50400</v>
      </c>
      <c r="I2839" t="s">
        <v>24</v>
      </c>
      <c r="J2839" t="s">
        <v>25</v>
      </c>
      <c r="K2839">
        <v>0</v>
      </c>
      <c r="L2839">
        <v>0</v>
      </c>
      <c r="M2839" t="s">
        <v>25</v>
      </c>
      <c r="N2839" t="s">
        <v>25</v>
      </c>
      <c r="O2839" t="s">
        <v>26</v>
      </c>
      <c r="P2839" t="s">
        <v>25</v>
      </c>
      <c r="Q2839" t="s">
        <v>51</v>
      </c>
      <c r="R2839" t="s">
        <v>3180</v>
      </c>
    </row>
    <row r="2840" spans="1:18">
      <c r="A2840">
        <v>2850</v>
      </c>
      <c r="B2840" t="s">
        <v>3186</v>
      </c>
      <c r="C2840" t="s">
        <v>21</v>
      </c>
      <c r="D2840" t="s">
        <v>22</v>
      </c>
      <c r="E2840" t="s">
        <v>2332</v>
      </c>
      <c r="F2840">
        <v>5300</v>
      </c>
      <c r="G2840">
        <v>0</v>
      </c>
      <c r="H2840">
        <v>5300</v>
      </c>
      <c r="I2840" t="s">
        <v>24</v>
      </c>
      <c r="J2840" t="s">
        <v>25</v>
      </c>
      <c r="K2840">
        <v>0</v>
      </c>
      <c r="L2840">
        <v>0</v>
      </c>
      <c r="M2840" t="s">
        <v>25</v>
      </c>
      <c r="N2840" t="s">
        <v>25</v>
      </c>
      <c r="O2840" t="s">
        <v>26</v>
      </c>
      <c r="P2840" t="s">
        <v>25</v>
      </c>
      <c r="Q2840" t="s">
        <v>51</v>
      </c>
      <c r="R2840" t="s">
        <v>3180</v>
      </c>
    </row>
    <row r="2841" spans="1:18">
      <c r="A2841">
        <v>2851</v>
      </c>
      <c r="B2841" t="s">
        <v>3187</v>
      </c>
      <c r="C2841" t="s">
        <v>21</v>
      </c>
      <c r="D2841" t="s">
        <v>22</v>
      </c>
      <c r="E2841" t="s">
        <v>2332</v>
      </c>
      <c r="F2841">
        <v>31943</v>
      </c>
      <c r="G2841">
        <v>0</v>
      </c>
      <c r="H2841">
        <v>31943</v>
      </c>
      <c r="I2841" t="s">
        <v>24</v>
      </c>
      <c r="J2841" t="s">
        <v>25</v>
      </c>
      <c r="K2841">
        <v>0</v>
      </c>
      <c r="L2841">
        <v>0</v>
      </c>
      <c r="M2841" t="s">
        <v>25</v>
      </c>
      <c r="N2841" t="s">
        <v>25</v>
      </c>
      <c r="O2841" t="s">
        <v>26</v>
      </c>
      <c r="P2841" t="s">
        <v>25</v>
      </c>
      <c r="Q2841" t="s">
        <v>51</v>
      </c>
      <c r="R2841" t="s">
        <v>3180</v>
      </c>
    </row>
    <row r="2842" spans="1:18">
      <c r="A2842">
        <v>2852</v>
      </c>
      <c r="B2842" t="s">
        <v>3188</v>
      </c>
      <c r="C2842" t="s">
        <v>247</v>
      </c>
      <c r="D2842" t="s">
        <v>22</v>
      </c>
      <c r="E2842" t="s">
        <v>2332</v>
      </c>
      <c r="F2842">
        <v>50000</v>
      </c>
      <c r="G2842">
        <v>0</v>
      </c>
      <c r="H2842">
        <v>50000</v>
      </c>
      <c r="I2842" t="s">
        <v>24</v>
      </c>
      <c r="J2842" t="s">
        <v>25</v>
      </c>
      <c r="K2842">
        <v>0</v>
      </c>
      <c r="L2842">
        <v>0</v>
      </c>
      <c r="M2842" t="s">
        <v>25</v>
      </c>
      <c r="N2842" t="s">
        <v>25</v>
      </c>
      <c r="O2842" t="s">
        <v>26</v>
      </c>
      <c r="P2842" t="s">
        <v>25</v>
      </c>
      <c r="Q2842" t="s">
        <v>51</v>
      </c>
      <c r="R2842" t="s">
        <v>3189</v>
      </c>
    </row>
    <row r="2843" spans="1:18">
      <c r="A2843">
        <v>2853</v>
      </c>
      <c r="B2843" t="s">
        <v>3190</v>
      </c>
      <c r="C2843" t="s">
        <v>102</v>
      </c>
      <c r="D2843" t="s">
        <v>22</v>
      </c>
      <c r="E2843" t="s">
        <v>338</v>
      </c>
      <c r="F2843">
        <v>0</v>
      </c>
      <c r="G2843">
        <v>0</v>
      </c>
      <c r="H2843">
        <v>0</v>
      </c>
      <c r="I2843" t="s">
        <v>24</v>
      </c>
      <c r="J2843" t="s">
        <v>25</v>
      </c>
      <c r="K2843">
        <v>0</v>
      </c>
      <c r="L2843">
        <v>0</v>
      </c>
      <c r="M2843" t="s">
        <v>25</v>
      </c>
      <c r="N2843" t="s">
        <v>25</v>
      </c>
      <c r="O2843" t="s">
        <v>26</v>
      </c>
      <c r="P2843" t="s">
        <v>25</v>
      </c>
      <c r="Q2843" t="s">
        <v>231</v>
      </c>
      <c r="R2843" t="s">
        <v>3191</v>
      </c>
    </row>
    <row r="2844" spans="1:18">
      <c r="A2844">
        <v>2854</v>
      </c>
      <c r="B2844" t="s">
        <v>3192</v>
      </c>
      <c r="C2844" t="s">
        <v>247</v>
      </c>
      <c r="D2844" t="s">
        <v>22</v>
      </c>
      <c r="E2844" t="s">
        <v>2332</v>
      </c>
      <c r="F2844">
        <v>133280</v>
      </c>
      <c r="G2844">
        <v>0</v>
      </c>
      <c r="H2844">
        <v>133280</v>
      </c>
      <c r="I2844" t="s">
        <v>24</v>
      </c>
      <c r="J2844" t="s">
        <v>25</v>
      </c>
      <c r="K2844">
        <v>0</v>
      </c>
      <c r="L2844">
        <v>0</v>
      </c>
      <c r="M2844" t="s">
        <v>25</v>
      </c>
      <c r="N2844" t="s">
        <v>25</v>
      </c>
      <c r="O2844" t="s">
        <v>26</v>
      </c>
      <c r="P2844" t="s">
        <v>25</v>
      </c>
      <c r="Q2844" t="s">
        <v>51</v>
      </c>
      <c r="R2844" t="s">
        <v>3193</v>
      </c>
    </row>
    <row r="2845" spans="1:18">
      <c r="A2845">
        <v>2855</v>
      </c>
      <c r="B2845" t="s">
        <v>3194</v>
      </c>
      <c r="C2845" t="s">
        <v>21</v>
      </c>
      <c r="D2845" t="s">
        <v>22</v>
      </c>
      <c r="E2845" t="s">
        <v>2332</v>
      </c>
      <c r="F2845">
        <v>405790</v>
      </c>
      <c r="G2845">
        <v>0</v>
      </c>
      <c r="H2845">
        <v>405790</v>
      </c>
      <c r="I2845" t="s">
        <v>24</v>
      </c>
      <c r="J2845" t="s">
        <v>25</v>
      </c>
      <c r="K2845">
        <v>0</v>
      </c>
      <c r="L2845">
        <v>0</v>
      </c>
      <c r="M2845" t="s">
        <v>25</v>
      </c>
      <c r="N2845" t="s">
        <v>25</v>
      </c>
      <c r="O2845" t="s">
        <v>26</v>
      </c>
      <c r="P2845" t="s">
        <v>25</v>
      </c>
      <c r="Q2845" t="s">
        <v>51</v>
      </c>
      <c r="R2845" t="s">
        <v>3193</v>
      </c>
    </row>
    <row r="2846" spans="1:18">
      <c r="A2846">
        <v>2856</v>
      </c>
      <c r="B2846" t="s">
        <v>3195</v>
      </c>
      <c r="C2846" t="s">
        <v>247</v>
      </c>
      <c r="D2846" t="s">
        <v>22</v>
      </c>
      <c r="E2846" t="s">
        <v>2332</v>
      </c>
      <c r="F2846">
        <v>405790</v>
      </c>
      <c r="G2846">
        <v>0</v>
      </c>
      <c r="H2846">
        <v>405790</v>
      </c>
      <c r="I2846" t="s">
        <v>24</v>
      </c>
      <c r="J2846" t="s">
        <v>25</v>
      </c>
      <c r="K2846">
        <v>0</v>
      </c>
      <c r="L2846">
        <v>0</v>
      </c>
      <c r="M2846" t="s">
        <v>25</v>
      </c>
      <c r="N2846" t="s">
        <v>25</v>
      </c>
      <c r="O2846" t="s">
        <v>26</v>
      </c>
      <c r="P2846" t="s">
        <v>25</v>
      </c>
      <c r="Q2846" t="s">
        <v>51</v>
      </c>
      <c r="R2846" t="s">
        <v>3193</v>
      </c>
    </row>
    <row r="2847" spans="1:18">
      <c r="A2847">
        <v>2857</v>
      </c>
      <c r="B2847" t="s">
        <v>3196</v>
      </c>
      <c r="C2847" t="s">
        <v>21</v>
      </c>
      <c r="D2847" t="s">
        <v>22</v>
      </c>
      <c r="E2847" t="s">
        <v>2332</v>
      </c>
      <c r="F2847">
        <v>36000</v>
      </c>
      <c r="G2847">
        <v>0</v>
      </c>
      <c r="H2847">
        <v>36000</v>
      </c>
      <c r="I2847" t="s">
        <v>24</v>
      </c>
      <c r="J2847" t="s">
        <v>25</v>
      </c>
      <c r="K2847">
        <v>0</v>
      </c>
      <c r="L2847">
        <v>0</v>
      </c>
      <c r="M2847" t="s">
        <v>25</v>
      </c>
      <c r="N2847" t="s">
        <v>25</v>
      </c>
      <c r="O2847" t="s">
        <v>26</v>
      </c>
      <c r="P2847" t="s">
        <v>25</v>
      </c>
      <c r="Q2847" t="s">
        <v>51</v>
      </c>
      <c r="R2847" t="s">
        <v>3193</v>
      </c>
    </row>
    <row r="2848" spans="1:18">
      <c r="A2848">
        <v>2858</v>
      </c>
      <c r="B2848" t="s">
        <v>3197</v>
      </c>
      <c r="C2848" t="s">
        <v>21</v>
      </c>
      <c r="D2848" t="s">
        <v>22</v>
      </c>
      <c r="E2848" t="s">
        <v>2332</v>
      </c>
      <c r="F2848">
        <v>30000</v>
      </c>
      <c r="G2848">
        <v>0</v>
      </c>
      <c r="H2848">
        <v>30000</v>
      </c>
      <c r="I2848" t="s">
        <v>24</v>
      </c>
      <c r="J2848" t="s">
        <v>25</v>
      </c>
      <c r="K2848">
        <v>0</v>
      </c>
      <c r="L2848">
        <v>0</v>
      </c>
      <c r="M2848" t="s">
        <v>25</v>
      </c>
      <c r="N2848" t="s">
        <v>25</v>
      </c>
      <c r="O2848" t="s">
        <v>26</v>
      </c>
      <c r="P2848" t="s">
        <v>25</v>
      </c>
      <c r="Q2848" t="s">
        <v>51</v>
      </c>
      <c r="R2848" t="s">
        <v>3193</v>
      </c>
    </row>
    <row r="2849" spans="1:18">
      <c r="A2849">
        <v>2859</v>
      </c>
      <c r="B2849" t="s">
        <v>3198</v>
      </c>
      <c r="C2849" t="s">
        <v>21</v>
      </c>
      <c r="D2849" t="s">
        <v>22</v>
      </c>
      <c r="E2849" t="s">
        <v>2332</v>
      </c>
      <c r="F2849">
        <v>22000</v>
      </c>
      <c r="G2849">
        <v>0</v>
      </c>
      <c r="H2849">
        <v>22000</v>
      </c>
      <c r="I2849" t="s">
        <v>24</v>
      </c>
      <c r="J2849" t="s">
        <v>25</v>
      </c>
      <c r="K2849">
        <v>0</v>
      </c>
      <c r="L2849">
        <v>0</v>
      </c>
      <c r="M2849" t="s">
        <v>25</v>
      </c>
      <c r="N2849" t="s">
        <v>25</v>
      </c>
      <c r="O2849" t="s">
        <v>26</v>
      </c>
      <c r="P2849" t="s">
        <v>25</v>
      </c>
      <c r="Q2849" t="s">
        <v>51</v>
      </c>
      <c r="R2849" t="s">
        <v>3193</v>
      </c>
    </row>
    <row r="2850" spans="1:18">
      <c r="A2850">
        <v>2860</v>
      </c>
      <c r="B2850" t="s">
        <v>3199</v>
      </c>
      <c r="C2850" t="s">
        <v>21</v>
      </c>
      <c r="D2850" t="s">
        <v>22</v>
      </c>
      <c r="E2850" t="s">
        <v>2332</v>
      </c>
      <c r="F2850">
        <v>290000</v>
      </c>
      <c r="G2850">
        <v>0</v>
      </c>
      <c r="H2850">
        <v>290000</v>
      </c>
      <c r="I2850" t="s">
        <v>24</v>
      </c>
      <c r="J2850" t="s">
        <v>25</v>
      </c>
      <c r="K2850">
        <v>0</v>
      </c>
      <c r="L2850">
        <v>0</v>
      </c>
      <c r="M2850" t="s">
        <v>25</v>
      </c>
      <c r="N2850" t="s">
        <v>25</v>
      </c>
      <c r="O2850" t="s">
        <v>26</v>
      </c>
      <c r="P2850" t="s">
        <v>25</v>
      </c>
      <c r="Q2850" t="s">
        <v>51</v>
      </c>
      <c r="R2850" t="s">
        <v>3193</v>
      </c>
    </row>
    <row r="2851" spans="1:18">
      <c r="A2851">
        <v>2861</v>
      </c>
      <c r="B2851" t="s">
        <v>3200</v>
      </c>
      <c r="C2851" t="s">
        <v>21</v>
      </c>
      <c r="D2851" t="s">
        <v>22</v>
      </c>
      <c r="E2851" t="s">
        <v>2332</v>
      </c>
      <c r="F2851">
        <v>22000</v>
      </c>
      <c r="G2851">
        <v>0</v>
      </c>
      <c r="H2851">
        <v>22000</v>
      </c>
      <c r="I2851" t="s">
        <v>24</v>
      </c>
      <c r="J2851" t="s">
        <v>25</v>
      </c>
      <c r="K2851">
        <v>0</v>
      </c>
      <c r="L2851">
        <v>0</v>
      </c>
      <c r="M2851" t="s">
        <v>25</v>
      </c>
      <c r="N2851" t="s">
        <v>25</v>
      </c>
      <c r="O2851" t="s">
        <v>26</v>
      </c>
      <c r="P2851" t="s">
        <v>25</v>
      </c>
      <c r="Q2851" t="s">
        <v>51</v>
      </c>
      <c r="R2851" t="s">
        <v>3193</v>
      </c>
    </row>
    <row r="2852" spans="1:18">
      <c r="A2852">
        <v>2862</v>
      </c>
      <c r="B2852" t="s">
        <v>3201</v>
      </c>
      <c r="C2852" t="s">
        <v>21</v>
      </c>
      <c r="D2852" t="s">
        <v>22</v>
      </c>
      <c r="E2852" t="s">
        <v>2332</v>
      </c>
      <c r="F2852">
        <v>205000</v>
      </c>
      <c r="G2852">
        <v>0</v>
      </c>
      <c r="H2852">
        <v>205000</v>
      </c>
      <c r="I2852" t="s">
        <v>24</v>
      </c>
      <c r="J2852" t="s">
        <v>25</v>
      </c>
      <c r="K2852">
        <v>0</v>
      </c>
      <c r="L2852">
        <v>0</v>
      </c>
      <c r="M2852" t="s">
        <v>25</v>
      </c>
      <c r="N2852" t="s">
        <v>25</v>
      </c>
      <c r="O2852" t="s">
        <v>26</v>
      </c>
      <c r="P2852" t="s">
        <v>25</v>
      </c>
      <c r="Q2852" t="s">
        <v>51</v>
      </c>
      <c r="R2852" t="s">
        <v>3193</v>
      </c>
    </row>
    <row r="2853" spans="1:18">
      <c r="A2853">
        <v>2863</v>
      </c>
      <c r="B2853" t="s">
        <v>3202</v>
      </c>
      <c r="C2853" t="s">
        <v>21</v>
      </c>
      <c r="D2853" t="s">
        <v>22</v>
      </c>
      <c r="E2853" t="s">
        <v>2332</v>
      </c>
      <c r="F2853">
        <v>117120</v>
      </c>
      <c r="G2853">
        <v>0</v>
      </c>
      <c r="H2853">
        <v>117120</v>
      </c>
      <c r="I2853" t="s">
        <v>24</v>
      </c>
      <c r="J2853" t="s">
        <v>25</v>
      </c>
      <c r="K2853">
        <v>0</v>
      </c>
      <c r="L2853">
        <v>0</v>
      </c>
      <c r="M2853" t="s">
        <v>25</v>
      </c>
      <c r="N2853" t="s">
        <v>25</v>
      </c>
      <c r="O2853" t="s">
        <v>26</v>
      </c>
      <c r="P2853" t="s">
        <v>25</v>
      </c>
      <c r="Q2853" t="s">
        <v>51</v>
      </c>
      <c r="R2853" t="s">
        <v>3193</v>
      </c>
    </row>
    <row r="2854" spans="1:18">
      <c r="A2854">
        <v>2864</v>
      </c>
      <c r="B2854" t="s">
        <v>3203</v>
      </c>
      <c r="C2854" t="s">
        <v>21</v>
      </c>
      <c r="D2854" t="s">
        <v>22</v>
      </c>
      <c r="E2854" t="s">
        <v>2332</v>
      </c>
      <c r="F2854">
        <v>22020</v>
      </c>
      <c r="G2854">
        <v>0</v>
      </c>
      <c r="H2854">
        <v>22020</v>
      </c>
      <c r="I2854" t="s">
        <v>24</v>
      </c>
      <c r="J2854" t="s">
        <v>25</v>
      </c>
      <c r="K2854">
        <v>0</v>
      </c>
      <c r="L2854">
        <v>0</v>
      </c>
      <c r="M2854" t="s">
        <v>25</v>
      </c>
      <c r="N2854" t="s">
        <v>25</v>
      </c>
      <c r="O2854" t="s">
        <v>26</v>
      </c>
      <c r="P2854" t="s">
        <v>25</v>
      </c>
      <c r="Q2854" t="s">
        <v>51</v>
      </c>
      <c r="R2854" t="s">
        <v>3193</v>
      </c>
    </row>
    <row r="2855" spans="1:18">
      <c r="A2855">
        <v>2865</v>
      </c>
      <c r="B2855" t="s">
        <v>3204</v>
      </c>
      <c r="C2855" t="s">
        <v>247</v>
      </c>
      <c r="D2855" t="s">
        <v>22</v>
      </c>
      <c r="E2855" t="s">
        <v>2332</v>
      </c>
      <c r="F2855">
        <v>25000</v>
      </c>
      <c r="G2855">
        <v>0</v>
      </c>
      <c r="H2855">
        <v>25000</v>
      </c>
      <c r="I2855" t="s">
        <v>24</v>
      </c>
      <c r="J2855" t="s">
        <v>25</v>
      </c>
      <c r="K2855">
        <v>0</v>
      </c>
      <c r="L2855">
        <v>0</v>
      </c>
      <c r="M2855" t="s">
        <v>25</v>
      </c>
      <c r="N2855" t="s">
        <v>25</v>
      </c>
      <c r="O2855" t="s">
        <v>26</v>
      </c>
      <c r="P2855" t="s">
        <v>25</v>
      </c>
      <c r="Q2855" t="s">
        <v>51</v>
      </c>
      <c r="R2855" t="s">
        <v>3205</v>
      </c>
    </row>
    <row r="2856" spans="1:18">
      <c r="A2856">
        <v>2866</v>
      </c>
      <c r="B2856" t="s">
        <v>3206</v>
      </c>
      <c r="C2856" t="s">
        <v>247</v>
      </c>
      <c r="D2856" t="s">
        <v>22</v>
      </c>
      <c r="E2856" t="s">
        <v>2332</v>
      </c>
      <c r="F2856">
        <v>147560</v>
      </c>
      <c r="G2856">
        <v>0</v>
      </c>
      <c r="H2856">
        <v>147560</v>
      </c>
      <c r="I2856" t="s">
        <v>24</v>
      </c>
      <c r="J2856" t="s">
        <v>25</v>
      </c>
      <c r="K2856">
        <v>0</v>
      </c>
      <c r="L2856">
        <v>0</v>
      </c>
      <c r="M2856" t="s">
        <v>25</v>
      </c>
      <c r="N2856" t="s">
        <v>25</v>
      </c>
      <c r="O2856" t="s">
        <v>26</v>
      </c>
      <c r="P2856" t="s">
        <v>25</v>
      </c>
      <c r="Q2856" t="s">
        <v>51</v>
      </c>
      <c r="R2856" t="s">
        <v>3207</v>
      </c>
    </row>
    <row r="2857" spans="1:18">
      <c r="A2857">
        <v>2867</v>
      </c>
      <c r="B2857" t="s">
        <v>3208</v>
      </c>
      <c r="C2857" t="s">
        <v>21</v>
      </c>
      <c r="D2857" t="s">
        <v>22</v>
      </c>
      <c r="E2857" t="s">
        <v>2332</v>
      </c>
      <c r="F2857">
        <v>158270</v>
      </c>
      <c r="G2857">
        <v>0</v>
      </c>
      <c r="H2857">
        <v>158270</v>
      </c>
      <c r="I2857" t="s">
        <v>24</v>
      </c>
      <c r="J2857" t="s">
        <v>25</v>
      </c>
      <c r="K2857">
        <v>0</v>
      </c>
      <c r="L2857">
        <v>0</v>
      </c>
      <c r="M2857" t="s">
        <v>25</v>
      </c>
      <c r="N2857" t="s">
        <v>25</v>
      </c>
      <c r="O2857" t="s">
        <v>26</v>
      </c>
      <c r="P2857" t="s">
        <v>25</v>
      </c>
      <c r="Q2857" t="s">
        <v>51</v>
      </c>
      <c r="R2857" t="s">
        <v>3207</v>
      </c>
    </row>
    <row r="2858" spans="1:18">
      <c r="A2858">
        <v>2868</v>
      </c>
      <c r="B2858" t="s">
        <v>3209</v>
      </c>
      <c r="C2858" t="s">
        <v>21</v>
      </c>
      <c r="D2858" t="s">
        <v>22</v>
      </c>
      <c r="E2858" t="s">
        <v>2332</v>
      </c>
      <c r="F2858">
        <v>240800</v>
      </c>
      <c r="G2858">
        <v>0</v>
      </c>
      <c r="H2858">
        <v>240800</v>
      </c>
      <c r="I2858" t="s">
        <v>24</v>
      </c>
      <c r="J2858" t="s">
        <v>25</v>
      </c>
      <c r="K2858">
        <v>0</v>
      </c>
      <c r="L2858">
        <v>0</v>
      </c>
      <c r="M2858" t="s">
        <v>25</v>
      </c>
      <c r="N2858" t="s">
        <v>25</v>
      </c>
      <c r="O2858" t="s">
        <v>26</v>
      </c>
      <c r="P2858" t="s">
        <v>25</v>
      </c>
      <c r="Q2858" t="s">
        <v>51</v>
      </c>
      <c r="R2858" t="s">
        <v>3207</v>
      </c>
    </row>
    <row r="2859" spans="1:18">
      <c r="A2859">
        <v>2869</v>
      </c>
      <c r="B2859" t="s">
        <v>3210</v>
      </c>
      <c r="C2859" t="s">
        <v>247</v>
      </c>
      <c r="D2859" t="s">
        <v>22</v>
      </c>
      <c r="E2859" t="s">
        <v>2953</v>
      </c>
      <c r="F2859">
        <v>0</v>
      </c>
      <c r="G2859">
        <v>0</v>
      </c>
      <c r="H2859">
        <v>0</v>
      </c>
      <c r="I2859" t="s">
        <v>24</v>
      </c>
      <c r="J2859" t="s">
        <v>25</v>
      </c>
      <c r="K2859">
        <v>0</v>
      </c>
      <c r="L2859">
        <v>0</v>
      </c>
      <c r="M2859" t="s">
        <v>25</v>
      </c>
      <c r="N2859" t="s">
        <v>25</v>
      </c>
      <c r="O2859" t="s">
        <v>26</v>
      </c>
      <c r="P2859" t="s">
        <v>25</v>
      </c>
      <c r="Q2859" t="s">
        <v>231</v>
      </c>
      <c r="R2859" t="s">
        <v>3211</v>
      </c>
    </row>
    <row r="2860" spans="1:18">
      <c r="A2860">
        <v>2870</v>
      </c>
      <c r="B2860" t="s">
        <v>3212</v>
      </c>
      <c r="C2860" t="s">
        <v>247</v>
      </c>
      <c r="D2860" t="s">
        <v>22</v>
      </c>
      <c r="E2860" t="s">
        <v>2953</v>
      </c>
      <c r="F2860">
        <v>0</v>
      </c>
      <c r="G2860">
        <v>0</v>
      </c>
      <c r="H2860">
        <v>0</v>
      </c>
      <c r="I2860" t="s">
        <v>24</v>
      </c>
      <c r="J2860" t="s">
        <v>25</v>
      </c>
      <c r="K2860">
        <v>0</v>
      </c>
      <c r="L2860">
        <v>0</v>
      </c>
      <c r="M2860" t="s">
        <v>25</v>
      </c>
      <c r="N2860" t="s">
        <v>25</v>
      </c>
      <c r="O2860" t="s">
        <v>26</v>
      </c>
      <c r="P2860" t="s">
        <v>25</v>
      </c>
      <c r="Q2860" t="s">
        <v>231</v>
      </c>
      <c r="R2860" t="s">
        <v>3211</v>
      </c>
    </row>
    <row r="2861" spans="1:18">
      <c r="A2861">
        <v>2871</v>
      </c>
      <c r="B2861" t="s">
        <v>3213</v>
      </c>
      <c r="C2861" t="s">
        <v>247</v>
      </c>
      <c r="D2861" t="s">
        <v>22</v>
      </c>
      <c r="E2861" t="s">
        <v>2332</v>
      </c>
      <c r="F2861">
        <v>6610000</v>
      </c>
      <c r="G2861">
        <v>0</v>
      </c>
      <c r="H2861">
        <v>6610000</v>
      </c>
      <c r="I2861" t="s">
        <v>24</v>
      </c>
      <c r="J2861" t="s">
        <v>25</v>
      </c>
      <c r="K2861">
        <v>0</v>
      </c>
      <c r="L2861">
        <v>0</v>
      </c>
      <c r="M2861" t="s">
        <v>25</v>
      </c>
      <c r="N2861" t="s">
        <v>25</v>
      </c>
      <c r="O2861" t="s">
        <v>26</v>
      </c>
      <c r="P2861" t="s">
        <v>25</v>
      </c>
      <c r="Q2861" t="s">
        <v>51</v>
      </c>
      <c r="R2861" t="s">
        <v>3214</v>
      </c>
    </row>
    <row r="2862" spans="1:18">
      <c r="A2862">
        <v>2872</v>
      </c>
      <c r="B2862" t="s">
        <v>3215</v>
      </c>
      <c r="C2862" t="s">
        <v>247</v>
      </c>
      <c r="D2862" t="s">
        <v>22</v>
      </c>
      <c r="E2862" t="s">
        <v>2332</v>
      </c>
      <c r="F2862">
        <v>386393</v>
      </c>
      <c r="G2862">
        <v>0</v>
      </c>
      <c r="H2862">
        <v>386393</v>
      </c>
      <c r="I2862" t="s">
        <v>24</v>
      </c>
      <c r="J2862" t="s">
        <v>25</v>
      </c>
      <c r="K2862">
        <v>0</v>
      </c>
      <c r="L2862">
        <v>0</v>
      </c>
      <c r="M2862" t="s">
        <v>25</v>
      </c>
      <c r="N2862" t="s">
        <v>25</v>
      </c>
      <c r="O2862" t="s">
        <v>26</v>
      </c>
      <c r="P2862" t="s">
        <v>25</v>
      </c>
      <c r="Q2862" t="s">
        <v>51</v>
      </c>
      <c r="R2862" t="s">
        <v>3214</v>
      </c>
    </row>
    <row r="2863" spans="1:18">
      <c r="A2863">
        <v>2873</v>
      </c>
      <c r="B2863" t="s">
        <v>3216</v>
      </c>
      <c r="C2863" t="s">
        <v>21</v>
      </c>
      <c r="D2863" t="s">
        <v>22</v>
      </c>
      <c r="E2863" t="s">
        <v>2332</v>
      </c>
      <c r="F2863">
        <v>347718</v>
      </c>
      <c r="G2863">
        <v>0</v>
      </c>
      <c r="H2863">
        <v>347718</v>
      </c>
      <c r="I2863" t="s">
        <v>24</v>
      </c>
      <c r="J2863" t="s">
        <v>25</v>
      </c>
      <c r="K2863">
        <v>0</v>
      </c>
      <c r="L2863">
        <v>0</v>
      </c>
      <c r="M2863" t="s">
        <v>25</v>
      </c>
      <c r="N2863" t="s">
        <v>25</v>
      </c>
      <c r="O2863" t="s">
        <v>26</v>
      </c>
      <c r="P2863" t="s">
        <v>25</v>
      </c>
      <c r="Q2863" t="s">
        <v>51</v>
      </c>
      <c r="R2863" t="s">
        <v>3214</v>
      </c>
    </row>
    <row r="2864" spans="1:18">
      <c r="A2864">
        <v>2874</v>
      </c>
      <c r="B2864" t="s">
        <v>3217</v>
      </c>
      <c r="C2864" t="s">
        <v>21</v>
      </c>
      <c r="D2864" t="s">
        <v>22</v>
      </c>
      <c r="E2864" t="s">
        <v>2332</v>
      </c>
      <c r="F2864">
        <v>1200000</v>
      </c>
      <c r="G2864">
        <v>0</v>
      </c>
      <c r="H2864">
        <v>1200000</v>
      </c>
      <c r="I2864" t="s">
        <v>24</v>
      </c>
      <c r="J2864" t="s">
        <v>25</v>
      </c>
      <c r="K2864">
        <v>0</v>
      </c>
      <c r="L2864">
        <v>0</v>
      </c>
      <c r="M2864" t="s">
        <v>25</v>
      </c>
      <c r="N2864" t="s">
        <v>25</v>
      </c>
      <c r="O2864" t="s">
        <v>26</v>
      </c>
      <c r="P2864" t="s">
        <v>25</v>
      </c>
      <c r="Q2864" t="s">
        <v>51</v>
      </c>
      <c r="R2864" t="s">
        <v>3214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9823-7BEB-41C3-9173-F0A839BC3E6D}">
  <dimension ref="A1:C26"/>
  <sheetViews>
    <sheetView showGridLines="0" topLeftCell="B1" workbookViewId="0">
      <selection activeCell="C9" sqref="C9"/>
    </sheetView>
  </sheetViews>
  <sheetFormatPr defaultColWidth="8.7109375" defaultRowHeight="14.45"/>
  <cols>
    <col min="1" max="1" width="26" bestFit="1" customWidth="1"/>
    <col min="2" max="2" width="29.5703125" bestFit="1" customWidth="1"/>
    <col min="3" max="3" width="149.7109375" bestFit="1" customWidth="1"/>
  </cols>
  <sheetData>
    <row r="1" spans="1:3">
      <c r="A1" s="7" t="s">
        <v>3218</v>
      </c>
      <c r="B1" s="7" t="s">
        <v>3219</v>
      </c>
      <c r="C1" s="7" t="s">
        <v>3220</v>
      </c>
    </row>
    <row r="2" spans="1:3">
      <c r="A2" s="2" t="s">
        <v>3221</v>
      </c>
      <c r="B2" s="2" t="s">
        <v>3222</v>
      </c>
      <c r="C2" s="2" t="s">
        <v>3223</v>
      </c>
    </row>
    <row r="3" spans="1:3">
      <c r="A3" s="2" t="s">
        <v>3224</v>
      </c>
      <c r="B3" s="2" t="s">
        <v>3222</v>
      </c>
      <c r="C3" s="2" t="s">
        <v>3225</v>
      </c>
    </row>
    <row r="4" spans="1:3">
      <c r="A4" s="2" t="s">
        <v>3226</v>
      </c>
      <c r="B4" s="2" t="s">
        <v>3222</v>
      </c>
      <c r="C4" s="2" t="s">
        <v>3227</v>
      </c>
    </row>
    <row r="5" spans="1:3">
      <c r="A5" s="2" t="s">
        <v>3228</v>
      </c>
      <c r="B5" s="2" t="s">
        <v>3222</v>
      </c>
      <c r="C5" s="2" t="s">
        <v>3229</v>
      </c>
    </row>
    <row r="6" spans="1:3">
      <c r="A6" s="2" t="s">
        <v>3230</v>
      </c>
      <c r="B6" s="2" t="s">
        <v>3231</v>
      </c>
      <c r="C6" s="2" t="s">
        <v>3232</v>
      </c>
    </row>
    <row r="7" spans="1:3">
      <c r="A7" s="17" t="s">
        <v>3233</v>
      </c>
      <c r="B7" s="17" t="s">
        <v>3222</v>
      </c>
      <c r="C7" s="17" t="s">
        <v>3234</v>
      </c>
    </row>
    <row r="8" spans="1:3">
      <c r="A8" s="17" t="s">
        <v>3235</v>
      </c>
      <c r="B8" s="17" t="s">
        <v>3222</v>
      </c>
      <c r="C8" s="17" t="s">
        <v>3236</v>
      </c>
    </row>
    <row r="9" spans="1:3">
      <c r="A9" s="2" t="s">
        <v>3237</v>
      </c>
      <c r="B9" s="2" t="s">
        <v>3231</v>
      </c>
      <c r="C9" s="2" t="s">
        <v>3238</v>
      </c>
    </row>
    <row r="10" spans="1:3">
      <c r="A10" s="2" t="s">
        <v>3239</v>
      </c>
      <c r="B10" s="2" t="s">
        <v>3222</v>
      </c>
      <c r="C10" s="2" t="s">
        <v>3240</v>
      </c>
    </row>
    <row r="11" spans="1:3">
      <c r="A11" s="2" t="s">
        <v>3241</v>
      </c>
      <c r="B11" s="2" t="s">
        <v>3222</v>
      </c>
      <c r="C11" s="2" t="s">
        <v>3242</v>
      </c>
    </row>
    <row r="12" spans="1:3">
      <c r="A12" s="2" t="s">
        <v>3243</v>
      </c>
      <c r="B12" s="2" t="s">
        <v>3222</v>
      </c>
      <c r="C12" s="2" t="s">
        <v>3244</v>
      </c>
    </row>
    <row r="13" spans="1:3">
      <c r="A13" s="2" t="s">
        <v>3245</v>
      </c>
      <c r="B13" s="2" t="s">
        <v>3222</v>
      </c>
      <c r="C13" s="2" t="s">
        <v>3246</v>
      </c>
    </row>
    <row r="14" spans="1:3">
      <c r="A14" s="2" t="s">
        <v>2040</v>
      </c>
      <c r="B14" s="2" t="s">
        <v>3222</v>
      </c>
      <c r="C14" s="2" t="s">
        <v>3247</v>
      </c>
    </row>
    <row r="15" spans="1:3">
      <c r="A15" s="2" t="s">
        <v>3248</v>
      </c>
      <c r="B15" s="2" t="s">
        <v>3222</v>
      </c>
      <c r="C15" s="2" t="s">
        <v>3249</v>
      </c>
    </row>
    <row r="16" spans="1:3">
      <c r="A16" s="2" t="s">
        <v>3250</v>
      </c>
      <c r="B16" s="2" t="s">
        <v>3222</v>
      </c>
      <c r="C16" s="2" t="s">
        <v>3251</v>
      </c>
    </row>
    <row r="17" spans="1:3">
      <c r="A17" s="2" t="s">
        <v>3252</v>
      </c>
      <c r="B17" s="2" t="s">
        <v>3222</v>
      </c>
      <c r="C17" s="2" t="s">
        <v>3253</v>
      </c>
    </row>
    <row r="22" spans="1:3">
      <c r="A22" s="7" t="s">
        <v>3254</v>
      </c>
      <c r="B22" s="7" t="s">
        <v>3255</v>
      </c>
    </row>
    <row r="23" spans="1:3">
      <c r="A23" s="2" t="s">
        <v>3256</v>
      </c>
      <c r="B23" s="2" t="s">
        <v>3257</v>
      </c>
    </row>
    <row r="24" spans="1:3">
      <c r="A24" s="2" t="s">
        <v>3258</v>
      </c>
      <c r="B24" s="2" t="s">
        <v>3259</v>
      </c>
    </row>
    <row r="25" spans="1:3">
      <c r="A25" s="2" t="s">
        <v>3260</v>
      </c>
      <c r="B25" s="2" t="s">
        <v>3259</v>
      </c>
    </row>
    <row r="26" spans="1:3">
      <c r="A26" s="2" t="s">
        <v>3261</v>
      </c>
      <c r="B26" s="2" t="s">
        <v>3262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6161-68A0-46BB-BA54-6A43A82F75AD}">
  <dimension ref="A2:Y72"/>
  <sheetViews>
    <sheetView showGridLines="0" workbookViewId="0">
      <selection activeCell="M8" sqref="M8"/>
    </sheetView>
  </sheetViews>
  <sheetFormatPr defaultColWidth="8.7109375" defaultRowHeight="14.45"/>
  <cols>
    <col min="1" max="1" width="33" customWidth="1"/>
    <col min="2" max="2" width="41.140625" bestFit="1" customWidth="1"/>
    <col min="3" max="3" width="60.28515625" bestFit="1" customWidth="1"/>
    <col min="4" max="4" width="36.7109375" bestFit="1" customWidth="1"/>
    <col min="5" max="5" width="7.140625" bestFit="1" customWidth="1"/>
    <col min="6" max="6" width="12.85546875" bestFit="1" customWidth="1"/>
    <col min="7" max="7" width="14.85546875" style="12" bestFit="1" customWidth="1"/>
    <col min="8" max="8" width="14.85546875" style="12" customWidth="1"/>
    <col min="9" max="9" width="14.5703125" style="12" bestFit="1" customWidth="1"/>
    <col min="10" max="10" width="51.5703125" bestFit="1" customWidth="1"/>
    <col min="11" max="11" width="38.85546875" bestFit="1" customWidth="1"/>
    <col min="12" max="12" width="40.140625" bestFit="1" customWidth="1"/>
    <col min="13" max="13" width="20.7109375" bestFit="1" customWidth="1"/>
    <col min="14" max="25" width="13.85546875" customWidth="1"/>
  </cols>
  <sheetData>
    <row r="2" spans="1:25">
      <c r="B2" s="1" t="s">
        <v>3263</v>
      </c>
      <c r="C2" s="6"/>
    </row>
    <row r="3" spans="1:25">
      <c r="B3" s="2" t="s">
        <v>3264</v>
      </c>
      <c r="C3" s="8" t="s">
        <v>3265</v>
      </c>
    </row>
    <row r="4" spans="1:25">
      <c r="B4" s="2" t="s">
        <v>3266</v>
      </c>
      <c r="C4" s="10">
        <v>0.08</v>
      </c>
    </row>
    <row r="5" spans="1:25">
      <c r="B5" s="2" t="s">
        <v>3267</v>
      </c>
      <c r="C5" s="9" t="s">
        <v>3268</v>
      </c>
    </row>
    <row r="6" spans="1:25">
      <c r="G6" s="13"/>
      <c r="H6" s="13"/>
      <c r="I6" s="13"/>
    </row>
    <row r="7" spans="1:25" ht="24.6" customHeight="1">
      <c r="A7" s="14" t="s">
        <v>3269</v>
      </c>
      <c r="B7" s="14" t="s">
        <v>3270</v>
      </c>
      <c r="C7" s="14" t="s">
        <v>3271</v>
      </c>
      <c r="D7" s="14" t="s">
        <v>1</v>
      </c>
      <c r="E7" s="14" t="s">
        <v>3272</v>
      </c>
      <c r="F7" s="14" t="s">
        <v>3273</v>
      </c>
      <c r="G7" s="14" t="s">
        <v>3274</v>
      </c>
      <c r="H7" s="14" t="s">
        <v>3275</v>
      </c>
      <c r="I7" s="14" t="s">
        <v>3276</v>
      </c>
      <c r="J7" s="14" t="s">
        <v>3277</v>
      </c>
      <c r="K7" s="14" t="s">
        <v>3278</v>
      </c>
      <c r="L7" s="14" t="s">
        <v>3279</v>
      </c>
      <c r="M7" s="14" t="s">
        <v>3280</v>
      </c>
      <c r="N7" s="14" t="s">
        <v>3281</v>
      </c>
      <c r="O7" s="14" t="s">
        <v>3282</v>
      </c>
      <c r="P7" s="14" t="s">
        <v>3283</v>
      </c>
      <c r="Q7" s="14" t="s">
        <v>3284</v>
      </c>
      <c r="R7" s="14" t="s">
        <v>3285</v>
      </c>
      <c r="S7" s="14" t="s">
        <v>3286</v>
      </c>
      <c r="T7" s="14" t="s">
        <v>3287</v>
      </c>
      <c r="U7" s="14" t="s">
        <v>3288</v>
      </c>
      <c r="V7" s="14" t="s">
        <v>3289</v>
      </c>
      <c r="W7" s="14" t="s">
        <v>3290</v>
      </c>
      <c r="X7" s="14" t="s">
        <v>3291</v>
      </c>
      <c r="Y7" s="14" t="s">
        <v>3292</v>
      </c>
    </row>
    <row r="8" spans="1:25">
      <c r="A8" s="2" t="str">
        <f>Capítulos!$A$2</f>
        <v>ADMINISTRACION</v>
      </c>
      <c r="B8" s="2" t="s">
        <v>3293</v>
      </c>
      <c r="C8" s="2" t="s">
        <v>3294</v>
      </c>
      <c r="D8" s="2" t="s">
        <v>3295</v>
      </c>
      <c r="E8" s="2" t="s">
        <v>3296</v>
      </c>
      <c r="F8" s="2">
        <v>12</v>
      </c>
      <c r="G8" s="3">
        <v>11305000</v>
      </c>
      <c r="H8" s="3">
        <f t="shared" ref="H8:H13" si="0">G8*(1+$C$3)</f>
        <v>11757200</v>
      </c>
      <c r="I8" s="3">
        <f>+F8*H8</f>
        <v>141086400</v>
      </c>
      <c r="J8" s="2" t="s">
        <v>3297</v>
      </c>
      <c r="K8" s="2" t="s">
        <v>3298</v>
      </c>
      <c r="L8" s="3" t="s">
        <v>3299</v>
      </c>
      <c r="M8" s="3">
        <f t="shared" ref="M8:M18" si="1">SUM(N8:Y8)</f>
        <v>141086400</v>
      </c>
      <c r="N8" s="3">
        <f>+I8/$F8</f>
        <v>11757200</v>
      </c>
      <c r="O8" s="3">
        <f t="shared" ref="O8:Y8" si="2">+$I$8/$F$8</f>
        <v>11757200</v>
      </c>
      <c r="P8" s="3">
        <f t="shared" si="2"/>
        <v>11757200</v>
      </c>
      <c r="Q8" s="3">
        <f t="shared" si="2"/>
        <v>11757200</v>
      </c>
      <c r="R8" s="3">
        <f t="shared" si="2"/>
        <v>11757200</v>
      </c>
      <c r="S8" s="3">
        <f t="shared" si="2"/>
        <v>11757200</v>
      </c>
      <c r="T8" s="3">
        <f t="shared" si="2"/>
        <v>11757200</v>
      </c>
      <c r="U8" s="3">
        <f t="shared" si="2"/>
        <v>11757200</v>
      </c>
      <c r="V8" s="3">
        <f t="shared" si="2"/>
        <v>11757200</v>
      </c>
      <c r="W8" s="3">
        <f t="shared" si="2"/>
        <v>11757200</v>
      </c>
      <c r="X8" s="3">
        <f t="shared" si="2"/>
        <v>11757200</v>
      </c>
      <c r="Y8" s="3">
        <f t="shared" si="2"/>
        <v>11757200</v>
      </c>
    </row>
    <row r="9" spans="1:25">
      <c r="A9" s="2" t="str">
        <f>Capítulos!$A$2</f>
        <v>ADMINISTRACION</v>
      </c>
      <c r="B9" s="2" t="s">
        <v>3293</v>
      </c>
      <c r="C9" s="2" t="s">
        <v>3300</v>
      </c>
      <c r="D9" s="2" t="s">
        <v>3301</v>
      </c>
      <c r="E9" s="2" t="s">
        <v>3296</v>
      </c>
      <c r="F9" s="2">
        <v>12</v>
      </c>
      <c r="G9" s="3">
        <v>2258812</v>
      </c>
      <c r="H9" s="3">
        <f t="shared" si="0"/>
        <v>2349164.48</v>
      </c>
      <c r="I9" s="3">
        <f>+F9*H9</f>
        <v>28189973.759999998</v>
      </c>
      <c r="J9" s="2" t="s">
        <v>3297</v>
      </c>
      <c r="K9" s="2" t="s">
        <v>3298</v>
      </c>
      <c r="L9" s="3" t="s">
        <v>3302</v>
      </c>
      <c r="M9" s="3">
        <f t="shared" si="1"/>
        <v>28189973.760000002</v>
      </c>
      <c r="N9" s="3">
        <f>+$I$9/$F$9</f>
        <v>2349164.48</v>
      </c>
      <c r="O9" s="3">
        <f t="shared" ref="O9:Y9" si="3">+$I$9/$F$9</f>
        <v>2349164.48</v>
      </c>
      <c r="P9" s="3">
        <f t="shared" si="3"/>
        <v>2349164.48</v>
      </c>
      <c r="Q9" s="3">
        <f t="shared" si="3"/>
        <v>2349164.48</v>
      </c>
      <c r="R9" s="3">
        <f t="shared" si="3"/>
        <v>2349164.48</v>
      </c>
      <c r="S9" s="3">
        <f t="shared" si="3"/>
        <v>2349164.48</v>
      </c>
      <c r="T9" s="3">
        <f t="shared" si="3"/>
        <v>2349164.48</v>
      </c>
      <c r="U9" s="3">
        <f t="shared" si="3"/>
        <v>2349164.48</v>
      </c>
      <c r="V9" s="3">
        <f t="shared" si="3"/>
        <v>2349164.48</v>
      </c>
      <c r="W9" s="3">
        <f t="shared" si="3"/>
        <v>2349164.48</v>
      </c>
      <c r="X9" s="3">
        <f t="shared" si="3"/>
        <v>2349164.48</v>
      </c>
      <c r="Y9" s="3">
        <f t="shared" si="3"/>
        <v>2349164.48</v>
      </c>
    </row>
    <row r="10" spans="1:25">
      <c r="A10" s="2" t="str">
        <f>Capítulos!$A$2</f>
        <v>ADMINISTRACION</v>
      </c>
      <c r="B10" s="2" t="s">
        <v>3303</v>
      </c>
      <c r="C10" s="2" t="s">
        <v>3304</v>
      </c>
      <c r="D10" s="5" t="s">
        <v>3305</v>
      </c>
      <c r="E10" s="2" t="s">
        <v>3306</v>
      </c>
      <c r="F10" s="2">
        <v>10</v>
      </c>
      <c r="G10" s="3">
        <v>5000</v>
      </c>
      <c r="H10" s="3">
        <f t="shared" si="0"/>
        <v>5200</v>
      </c>
      <c r="I10" s="3">
        <f>+F10*H10</f>
        <v>52000</v>
      </c>
      <c r="J10" s="2" t="s">
        <v>3297</v>
      </c>
      <c r="K10" s="2" t="s">
        <v>3307</v>
      </c>
      <c r="L10" s="3" t="s">
        <v>3308</v>
      </c>
      <c r="M10" s="3">
        <f t="shared" si="1"/>
        <v>52000</v>
      </c>
      <c r="N10" s="3"/>
      <c r="O10" s="3">
        <f>+$I$10/3</f>
        <v>17333.333333333332</v>
      </c>
      <c r="P10" s="3"/>
      <c r="Q10" s="3"/>
      <c r="R10" s="3"/>
      <c r="S10" s="3">
        <f>+$I$10/3</f>
        <v>17333.333333333332</v>
      </c>
      <c r="T10" s="3"/>
      <c r="U10" s="3"/>
      <c r="V10" s="3"/>
      <c r="W10" s="3">
        <f>+$I$10/3</f>
        <v>17333.333333333332</v>
      </c>
      <c r="X10" s="3"/>
      <c r="Y10" s="3"/>
    </row>
    <row r="11" spans="1:25">
      <c r="A11" s="2" t="str">
        <f>Capítulos!$A$2</f>
        <v>ADMINISTRACION</v>
      </c>
      <c r="B11" s="2" t="s">
        <v>3303</v>
      </c>
      <c r="C11" s="2" t="s">
        <v>3309</v>
      </c>
      <c r="D11" s="2" t="s">
        <v>3310</v>
      </c>
      <c r="E11" s="2" t="s">
        <v>3306</v>
      </c>
      <c r="F11" s="2">
        <v>500</v>
      </c>
      <c r="G11" s="3">
        <v>700</v>
      </c>
      <c r="H11" s="3">
        <f t="shared" si="0"/>
        <v>728</v>
      </c>
      <c r="I11" s="3">
        <f t="shared" ref="I11:I48" si="4">+F11*H11</f>
        <v>364000</v>
      </c>
      <c r="J11" s="2" t="s">
        <v>3297</v>
      </c>
      <c r="K11" s="2" t="s">
        <v>3307</v>
      </c>
      <c r="L11" s="3" t="s">
        <v>3308</v>
      </c>
      <c r="M11" s="3">
        <f t="shared" si="1"/>
        <v>364000</v>
      </c>
      <c r="N11" s="3"/>
      <c r="O11" s="3">
        <f>+$I$11/3</f>
        <v>121333.33333333333</v>
      </c>
      <c r="P11" s="3"/>
      <c r="Q11" s="3"/>
      <c r="R11" s="3"/>
      <c r="S11" s="3">
        <f>+$I$11/3</f>
        <v>121333.33333333333</v>
      </c>
      <c r="T11" s="3"/>
      <c r="U11" s="3"/>
      <c r="V11" s="3"/>
      <c r="W11" s="3">
        <f>+$I$11/3</f>
        <v>121333.33333333333</v>
      </c>
      <c r="X11" s="3"/>
      <c r="Y11" s="3"/>
    </row>
    <row r="12" spans="1:25">
      <c r="A12" s="2" t="str">
        <f>Capítulos!$A$2</f>
        <v>ADMINISTRACION</v>
      </c>
      <c r="B12" s="2" t="s">
        <v>3303</v>
      </c>
      <c r="C12" s="2" t="s">
        <v>3311</v>
      </c>
      <c r="D12" s="2" t="s">
        <v>3310</v>
      </c>
      <c r="E12" s="2" t="s">
        <v>3306</v>
      </c>
      <c r="F12" s="2">
        <v>1000</v>
      </c>
      <c r="G12" s="3">
        <v>800</v>
      </c>
      <c r="H12" s="3">
        <f t="shared" si="0"/>
        <v>832</v>
      </c>
      <c r="I12" s="3">
        <f t="shared" si="4"/>
        <v>832000</v>
      </c>
      <c r="J12" s="2" t="s">
        <v>3297</v>
      </c>
      <c r="K12" s="2" t="s">
        <v>3307</v>
      </c>
      <c r="L12" s="3" t="s">
        <v>3308</v>
      </c>
      <c r="M12" s="3">
        <f t="shared" si="1"/>
        <v>832000</v>
      </c>
      <c r="N12" s="3"/>
      <c r="O12" s="3">
        <f>+$I$12/3</f>
        <v>277333.33333333331</v>
      </c>
      <c r="P12" s="3"/>
      <c r="Q12" s="3"/>
      <c r="R12" s="3"/>
      <c r="S12" s="3">
        <f>+$I$12/3</f>
        <v>277333.33333333331</v>
      </c>
      <c r="T12" s="3"/>
      <c r="U12" s="3"/>
      <c r="V12" s="3"/>
      <c r="W12" s="3">
        <f>+$I$12/3</f>
        <v>277333.33333333331</v>
      </c>
      <c r="X12" s="3"/>
      <c r="Y12" s="3"/>
    </row>
    <row r="13" spans="1:25">
      <c r="A13" s="2" t="str">
        <f>Capítulos!$A$2</f>
        <v>ADMINISTRACION</v>
      </c>
      <c r="B13" s="2" t="s">
        <v>3303</v>
      </c>
      <c r="C13" s="2" t="s">
        <v>3312</v>
      </c>
      <c r="D13" s="2" t="s">
        <v>3313</v>
      </c>
      <c r="E13" s="2" t="s">
        <v>3306</v>
      </c>
      <c r="F13" s="2">
        <v>10</v>
      </c>
      <c r="G13" s="3">
        <v>4000</v>
      </c>
      <c r="H13" s="3">
        <f t="shared" si="0"/>
        <v>4160</v>
      </c>
      <c r="I13" s="3">
        <f t="shared" si="4"/>
        <v>41600</v>
      </c>
      <c r="J13" s="2" t="s">
        <v>3314</v>
      </c>
      <c r="K13" s="2" t="s">
        <v>3307</v>
      </c>
      <c r="L13" s="3" t="s">
        <v>3308</v>
      </c>
      <c r="M13" s="3">
        <f t="shared" si="1"/>
        <v>41600</v>
      </c>
      <c r="N13" s="3"/>
      <c r="O13" s="3">
        <f>+$I$13/3</f>
        <v>13866.666666666666</v>
      </c>
      <c r="P13" s="3"/>
      <c r="Q13" s="3"/>
      <c r="R13" s="3"/>
      <c r="S13" s="3">
        <f>+$I$13/3</f>
        <v>13866.666666666666</v>
      </c>
      <c r="T13" s="3"/>
      <c r="U13" s="3"/>
      <c r="V13" s="3"/>
      <c r="W13" s="3">
        <f>+$I$13/3</f>
        <v>13866.666666666666</v>
      </c>
      <c r="X13" s="3"/>
      <c r="Y13" s="3"/>
    </row>
    <row r="14" spans="1:25">
      <c r="A14" s="2" t="str">
        <f>Capítulos!$A$2</f>
        <v>ADMINISTRACION</v>
      </c>
      <c r="B14" s="2" t="s">
        <v>3303</v>
      </c>
      <c r="C14" s="2" t="s">
        <v>1193</v>
      </c>
      <c r="D14" s="2"/>
      <c r="E14" s="2"/>
      <c r="F14" s="2"/>
      <c r="G14" s="3"/>
      <c r="H14" s="3">
        <f t="shared" ref="H14:H60" si="5">G14*(1+$C$3)</f>
        <v>0</v>
      </c>
      <c r="I14" s="3">
        <f t="shared" si="4"/>
        <v>0</v>
      </c>
      <c r="J14" s="2"/>
      <c r="K14" s="2"/>
      <c r="L14" s="3"/>
      <c r="M14" s="3">
        <f t="shared" si="1"/>
        <v>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>
      <c r="A15" s="2" t="str">
        <f>Capítulos!$A$2</f>
        <v>ADMINISTRACION</v>
      </c>
      <c r="B15" s="2" t="s">
        <v>3303</v>
      </c>
      <c r="C15" s="2" t="s">
        <v>3315</v>
      </c>
      <c r="D15" s="2"/>
      <c r="E15" s="2"/>
      <c r="F15" s="2"/>
      <c r="G15" s="3"/>
      <c r="H15" s="3">
        <f t="shared" si="5"/>
        <v>0</v>
      </c>
      <c r="I15" s="3">
        <f t="shared" si="4"/>
        <v>0</v>
      </c>
      <c r="J15" s="2"/>
      <c r="K15" s="2"/>
      <c r="L15" s="3"/>
      <c r="M15" s="3">
        <f t="shared" si="1"/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>
      <c r="A16" s="2" t="str">
        <f>Capítulos!$A$2</f>
        <v>ADMINISTRACION</v>
      </c>
      <c r="B16" s="2" t="s">
        <v>3303</v>
      </c>
      <c r="C16" s="2" t="s">
        <v>3316</v>
      </c>
      <c r="D16" s="2"/>
      <c r="E16" s="2"/>
      <c r="F16" s="2"/>
      <c r="G16" s="3"/>
      <c r="H16" s="3">
        <f t="shared" si="5"/>
        <v>0</v>
      </c>
      <c r="I16" s="3">
        <f t="shared" si="4"/>
        <v>0</v>
      </c>
      <c r="J16" s="2"/>
      <c r="K16" s="2"/>
      <c r="L16" s="3"/>
      <c r="M16" s="3">
        <f t="shared" si="1"/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>
      <c r="A17" s="2" t="str">
        <f>Capítulos!$A$2</f>
        <v>ADMINISTRACION</v>
      </c>
      <c r="B17" s="2" t="s">
        <v>3303</v>
      </c>
      <c r="C17" s="2" t="s">
        <v>3317</v>
      </c>
      <c r="D17" s="2"/>
      <c r="E17" s="2"/>
      <c r="F17" s="2"/>
      <c r="G17" s="3"/>
      <c r="H17" s="3">
        <f t="shared" si="5"/>
        <v>0</v>
      </c>
      <c r="I17" s="3">
        <f t="shared" si="4"/>
        <v>0</v>
      </c>
      <c r="J17" s="2"/>
      <c r="K17" s="2"/>
      <c r="L17" s="3"/>
      <c r="M17" s="3">
        <f t="shared" si="1"/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>
      <c r="A18" s="2" t="str">
        <f>Capítulos!$A$2</f>
        <v>ADMINISTRACION</v>
      </c>
      <c r="B18" s="2" t="s">
        <v>3303</v>
      </c>
      <c r="C18" s="2" t="s">
        <v>3318</v>
      </c>
      <c r="D18" s="2"/>
      <c r="E18" s="2"/>
      <c r="F18" s="2"/>
      <c r="G18" s="3"/>
      <c r="H18" s="3">
        <f t="shared" si="5"/>
        <v>0</v>
      </c>
      <c r="I18" s="3">
        <f t="shared" si="4"/>
        <v>0</v>
      </c>
      <c r="J18" s="2"/>
      <c r="K18" s="2"/>
      <c r="L18" s="3"/>
      <c r="M18" s="3">
        <f t="shared" si="1"/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>
      <c r="A19" s="2" t="str">
        <f>Capítulos!$A$2</f>
        <v>ADMINISTRACION</v>
      </c>
      <c r="B19" s="2" t="s">
        <v>3319</v>
      </c>
      <c r="C19" s="2"/>
      <c r="D19" s="2"/>
      <c r="E19" s="2"/>
      <c r="F19" s="2"/>
      <c r="G19" s="3"/>
      <c r="H19" s="3">
        <f t="shared" si="5"/>
        <v>0</v>
      </c>
      <c r="I19" s="3">
        <f t="shared" si="4"/>
        <v>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2" t="str">
        <f>Capítulos!$A$2</f>
        <v>ADMINISTRACION</v>
      </c>
      <c r="B20" s="2" t="s">
        <v>3320</v>
      </c>
      <c r="C20" s="2"/>
      <c r="D20" s="2"/>
      <c r="E20" s="2"/>
      <c r="F20" s="2"/>
      <c r="G20" s="3"/>
      <c r="H20" s="3">
        <f t="shared" si="5"/>
        <v>0</v>
      </c>
      <c r="I20" s="3">
        <f t="shared" si="4"/>
        <v>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2" t="str">
        <f>Capítulos!$A$2</f>
        <v>ADMINISTRACION</v>
      </c>
      <c r="B21" s="2" t="s">
        <v>3321</v>
      </c>
      <c r="C21" s="2"/>
      <c r="D21" s="2"/>
      <c r="E21" s="2"/>
      <c r="F21" s="2"/>
      <c r="G21" s="3"/>
      <c r="H21" s="3">
        <f t="shared" si="5"/>
        <v>0</v>
      </c>
      <c r="I21" s="3">
        <f t="shared" si="4"/>
        <v>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>
      <c r="A22" s="2" t="str">
        <f>Capítulos!$A$2</f>
        <v>ADMINISTRACION</v>
      </c>
      <c r="B22" s="2" t="s">
        <v>3322</v>
      </c>
      <c r="C22" s="2"/>
      <c r="D22" s="2"/>
      <c r="E22" s="2"/>
      <c r="F22" s="2"/>
      <c r="G22" s="3"/>
      <c r="H22" s="3">
        <f t="shared" si="5"/>
        <v>0</v>
      </c>
      <c r="I22" s="3">
        <f t="shared" si="4"/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2" t="str">
        <f>Capítulos!$A$2</f>
        <v>ADMINISTRACION</v>
      </c>
      <c r="B23" s="2" t="s">
        <v>3323</v>
      </c>
      <c r="C23" s="2"/>
      <c r="D23" s="2"/>
      <c r="E23" s="2"/>
      <c r="F23" s="2"/>
      <c r="G23" s="3"/>
      <c r="H23" s="3">
        <f t="shared" si="5"/>
        <v>0</v>
      </c>
      <c r="I23" s="3">
        <f t="shared" si="4"/>
        <v>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2" t="str">
        <f>Capítulos!$A$2</f>
        <v>ADMINISTRACION</v>
      </c>
      <c r="B24" s="2" t="s">
        <v>3324</v>
      </c>
      <c r="C24" s="2"/>
      <c r="D24" s="2"/>
      <c r="E24" s="2"/>
      <c r="F24" s="2"/>
      <c r="G24" s="3"/>
      <c r="H24" s="3">
        <f t="shared" si="5"/>
        <v>0</v>
      </c>
      <c r="I24" s="3">
        <f t="shared" si="4"/>
        <v>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2" t="str">
        <f>Capítulos!$A$2</f>
        <v>ADMINISTRACION</v>
      </c>
      <c r="B25" s="2" t="s">
        <v>3325</v>
      </c>
      <c r="C25" s="2"/>
      <c r="D25" s="2"/>
      <c r="E25" s="2"/>
      <c r="F25" s="2"/>
      <c r="G25" s="3"/>
      <c r="H25" s="3">
        <f t="shared" si="5"/>
        <v>0</v>
      </c>
      <c r="I25" s="3">
        <f t="shared" si="4"/>
        <v>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 t="str">
        <f>Capítulos!A4</f>
        <v>SST</v>
      </c>
      <c r="B26" s="2" t="s">
        <v>3326</v>
      </c>
      <c r="C26" s="2" t="s">
        <v>1412</v>
      </c>
      <c r="D26" s="2"/>
      <c r="E26" s="2"/>
      <c r="F26" s="2"/>
      <c r="G26" s="3"/>
      <c r="H26" s="3">
        <f t="shared" si="5"/>
        <v>0</v>
      </c>
      <c r="I26" s="3">
        <f t="shared" si="4"/>
        <v>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 t="s">
        <v>3226</v>
      </c>
      <c r="B27" s="2" t="s">
        <v>3326</v>
      </c>
      <c r="C27" s="2" t="s">
        <v>1413</v>
      </c>
      <c r="D27" s="2"/>
      <c r="E27" s="2"/>
      <c r="F27" s="2"/>
      <c r="G27" s="3"/>
      <c r="H27" s="3">
        <f t="shared" si="5"/>
        <v>0</v>
      </c>
      <c r="I27" s="3">
        <f t="shared" si="4"/>
        <v>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 t="s">
        <v>3226</v>
      </c>
      <c r="B28" s="2" t="s">
        <v>3326</v>
      </c>
      <c r="C28" s="2" t="s">
        <v>1421</v>
      </c>
      <c r="D28" s="2"/>
      <c r="E28" s="2"/>
      <c r="F28" s="2"/>
      <c r="G28" s="3"/>
      <c r="H28" s="3">
        <f t="shared" si="5"/>
        <v>0</v>
      </c>
      <c r="I28" s="3">
        <f t="shared" si="4"/>
        <v>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 t="s">
        <v>3226</v>
      </c>
      <c r="B29" s="2" t="s">
        <v>3326</v>
      </c>
      <c r="C29" s="2" t="s">
        <v>1422</v>
      </c>
      <c r="D29" s="2"/>
      <c r="E29" s="2"/>
      <c r="F29" s="2"/>
      <c r="G29" s="3"/>
      <c r="H29" s="3">
        <f t="shared" si="5"/>
        <v>0</v>
      </c>
      <c r="I29" s="3">
        <f t="shared" si="4"/>
        <v>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 t="s">
        <v>3226</v>
      </c>
      <c r="B30" s="2" t="s">
        <v>3326</v>
      </c>
      <c r="C30" s="2" t="s">
        <v>1426</v>
      </c>
      <c r="D30" s="2"/>
      <c r="E30" s="2"/>
      <c r="F30" s="2"/>
      <c r="G30" s="3"/>
      <c r="H30" s="3">
        <f t="shared" si="5"/>
        <v>0</v>
      </c>
      <c r="I30" s="3">
        <f t="shared" si="4"/>
        <v>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 t="s">
        <v>3226</v>
      </c>
      <c r="B31" s="2" t="s">
        <v>3326</v>
      </c>
      <c r="C31" s="2" t="s">
        <v>1427</v>
      </c>
      <c r="D31" s="2"/>
      <c r="E31" s="2"/>
      <c r="F31" s="2"/>
      <c r="G31" s="3"/>
      <c r="H31" s="3">
        <f t="shared" si="5"/>
        <v>0</v>
      </c>
      <c r="I31" s="3">
        <f t="shared" si="4"/>
        <v>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 t="s">
        <v>3226</v>
      </c>
      <c r="B32" s="2" t="s">
        <v>3326</v>
      </c>
      <c r="C32" s="2" t="s">
        <v>1430</v>
      </c>
      <c r="D32" s="2"/>
      <c r="E32" s="2"/>
      <c r="F32" s="2"/>
      <c r="G32" s="3"/>
      <c r="H32" s="3">
        <f t="shared" si="5"/>
        <v>0</v>
      </c>
      <c r="I32" s="3">
        <f t="shared" si="4"/>
        <v>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 t="s">
        <v>3226</v>
      </c>
      <c r="B33" s="2" t="s">
        <v>3326</v>
      </c>
      <c r="C33" s="2" t="s">
        <v>1431</v>
      </c>
      <c r="D33" s="2"/>
      <c r="E33" s="2"/>
      <c r="F33" s="2"/>
      <c r="G33" s="3"/>
      <c r="H33" s="3">
        <f t="shared" si="5"/>
        <v>0</v>
      </c>
      <c r="I33" s="3">
        <f t="shared" si="4"/>
        <v>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 t="s">
        <v>3226</v>
      </c>
      <c r="B34" s="2" t="s">
        <v>3326</v>
      </c>
      <c r="C34" s="2" t="s">
        <v>1439</v>
      </c>
      <c r="D34" s="2"/>
      <c r="E34" s="2"/>
      <c r="F34" s="2"/>
      <c r="G34" s="3"/>
      <c r="H34" s="3">
        <f t="shared" si="5"/>
        <v>0</v>
      </c>
      <c r="I34" s="3">
        <f t="shared" si="4"/>
        <v>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>
      <c r="A35" s="2" t="s">
        <v>3226</v>
      </c>
      <c r="B35" s="2" t="s">
        <v>3326</v>
      </c>
      <c r="C35" s="2" t="s">
        <v>1440</v>
      </c>
      <c r="D35" s="2"/>
      <c r="E35" s="2"/>
      <c r="F35" s="2"/>
      <c r="G35" s="3"/>
      <c r="H35" s="3">
        <f t="shared" si="5"/>
        <v>0</v>
      </c>
      <c r="I35" s="3">
        <f t="shared" si="4"/>
        <v>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>
      <c r="A36" s="2" t="s">
        <v>3226</v>
      </c>
      <c r="B36" s="2" t="s">
        <v>3326</v>
      </c>
      <c r="C36" s="2" t="s">
        <v>1444</v>
      </c>
      <c r="D36" s="2"/>
      <c r="E36" s="2"/>
      <c r="F36" s="2"/>
      <c r="G36" s="3"/>
      <c r="H36" s="3">
        <f t="shared" si="5"/>
        <v>0</v>
      </c>
      <c r="I36" s="3">
        <f t="shared" si="4"/>
        <v>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>
      <c r="A37" s="2" t="s">
        <v>3226</v>
      </c>
      <c r="B37" s="2" t="s">
        <v>3326</v>
      </c>
      <c r="C37" s="2" t="s">
        <v>1450</v>
      </c>
      <c r="D37" s="2"/>
      <c r="E37" s="2"/>
      <c r="F37" s="2"/>
      <c r="G37" s="3"/>
      <c r="H37" s="3">
        <f t="shared" si="5"/>
        <v>0</v>
      </c>
      <c r="I37" s="3">
        <f t="shared" si="4"/>
        <v>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>
      <c r="A38" s="2" t="s">
        <v>3226</v>
      </c>
      <c r="B38" s="2" t="s">
        <v>3326</v>
      </c>
      <c r="C38" s="2" t="s">
        <v>1451</v>
      </c>
      <c r="D38" s="2"/>
      <c r="E38" s="2"/>
      <c r="F38" s="2"/>
      <c r="G38" s="3"/>
      <c r="H38" s="3">
        <f t="shared" si="5"/>
        <v>0</v>
      </c>
      <c r="I38" s="3">
        <f t="shared" si="4"/>
        <v>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2" t="s">
        <v>3226</v>
      </c>
      <c r="B39" s="2" t="s">
        <v>3326</v>
      </c>
      <c r="C39" s="2" t="s">
        <v>1452</v>
      </c>
      <c r="D39" s="2"/>
      <c r="E39" s="2"/>
      <c r="F39" s="2"/>
      <c r="G39" s="3"/>
      <c r="H39" s="3">
        <f t="shared" si="5"/>
        <v>0</v>
      </c>
      <c r="I39" s="3">
        <f t="shared" si="4"/>
        <v>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 t="s">
        <v>3226</v>
      </c>
      <c r="B40" s="2" t="s">
        <v>3326</v>
      </c>
      <c r="C40" s="2" t="s">
        <v>1458</v>
      </c>
      <c r="D40" s="2"/>
      <c r="E40" s="2"/>
      <c r="F40" s="2"/>
      <c r="G40" s="3"/>
      <c r="H40" s="3">
        <f t="shared" si="5"/>
        <v>0</v>
      </c>
      <c r="I40" s="3">
        <f t="shared" si="4"/>
        <v>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 t="s">
        <v>3226</v>
      </c>
      <c r="B41" s="2" t="s">
        <v>3326</v>
      </c>
      <c r="C41" s="2" t="s">
        <v>1459</v>
      </c>
      <c r="D41" s="2"/>
      <c r="E41" s="2"/>
      <c r="F41" s="2"/>
      <c r="G41" s="3"/>
      <c r="H41" s="3">
        <f t="shared" si="5"/>
        <v>0</v>
      </c>
      <c r="I41" s="3">
        <f t="shared" si="4"/>
        <v>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2" t="s">
        <v>3226</v>
      </c>
      <c r="B42" s="2" t="s">
        <v>3326</v>
      </c>
      <c r="C42" s="2" t="s">
        <v>1460</v>
      </c>
      <c r="D42" s="2"/>
      <c r="E42" s="2"/>
      <c r="F42" s="2"/>
      <c r="G42" s="3"/>
      <c r="H42" s="3">
        <f t="shared" si="5"/>
        <v>0</v>
      </c>
      <c r="I42" s="3">
        <f t="shared" si="4"/>
        <v>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2" t="s">
        <v>3226</v>
      </c>
      <c r="B43" s="2" t="s">
        <v>569</v>
      </c>
      <c r="C43" s="2" t="s">
        <v>3327</v>
      </c>
      <c r="D43" s="2"/>
      <c r="E43" s="2"/>
      <c r="F43" s="2"/>
      <c r="G43" s="3"/>
      <c r="H43" s="3">
        <f t="shared" si="5"/>
        <v>0</v>
      </c>
      <c r="I43" s="3">
        <f t="shared" si="4"/>
        <v>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2" t="s">
        <v>3226</v>
      </c>
      <c r="B44" s="2" t="s">
        <v>569</v>
      </c>
      <c r="C44" s="2" t="s">
        <v>3328</v>
      </c>
      <c r="D44" s="2"/>
      <c r="E44" s="2"/>
      <c r="F44" s="2"/>
      <c r="G44" s="3"/>
      <c r="H44" s="3">
        <f t="shared" si="5"/>
        <v>0</v>
      </c>
      <c r="I44" s="3">
        <f t="shared" si="4"/>
        <v>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2" t="s">
        <v>3226</v>
      </c>
      <c r="B45" s="2" t="s">
        <v>1905</v>
      </c>
      <c r="C45" s="2" t="s">
        <v>3329</v>
      </c>
      <c r="D45" s="2"/>
      <c r="E45" s="2"/>
      <c r="F45" s="2"/>
      <c r="G45" s="3"/>
      <c r="H45" s="3">
        <f t="shared" si="5"/>
        <v>0</v>
      </c>
      <c r="I45" s="3">
        <f t="shared" si="4"/>
        <v>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2" t="s">
        <v>3226</v>
      </c>
      <c r="B46" s="2" t="s">
        <v>2171</v>
      </c>
      <c r="C46" s="2" t="s">
        <v>3330</v>
      </c>
      <c r="D46" s="2"/>
      <c r="E46" s="2"/>
      <c r="F46" s="2"/>
      <c r="G46" s="3"/>
      <c r="H46" s="3">
        <f t="shared" si="5"/>
        <v>0</v>
      </c>
      <c r="I46" s="3">
        <f t="shared" si="4"/>
        <v>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2" t="s">
        <v>3228</v>
      </c>
      <c r="B47" s="2" t="s">
        <v>2951</v>
      </c>
      <c r="C47" s="2" t="s">
        <v>3331</v>
      </c>
      <c r="D47" s="2"/>
      <c r="E47" s="2"/>
      <c r="F47" s="2"/>
      <c r="G47" s="3"/>
      <c r="H47" s="3">
        <f t="shared" si="5"/>
        <v>0</v>
      </c>
      <c r="I47" s="3">
        <f t="shared" si="4"/>
        <v>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2" t="s">
        <v>3228</v>
      </c>
      <c r="B48" s="2" t="s">
        <v>2951</v>
      </c>
      <c r="C48" s="2" t="s">
        <v>3332</v>
      </c>
      <c r="D48" s="2"/>
      <c r="E48" s="2"/>
      <c r="F48" s="2"/>
      <c r="G48" s="3"/>
      <c r="H48" s="3">
        <f t="shared" si="5"/>
        <v>0</v>
      </c>
      <c r="I48" s="3">
        <f t="shared" si="4"/>
        <v>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2" t="s">
        <v>3228</v>
      </c>
      <c r="B49" s="2" t="s">
        <v>2951</v>
      </c>
      <c r="C49" s="2" t="s">
        <v>3333</v>
      </c>
      <c r="D49" s="2"/>
      <c r="E49" s="2" t="s">
        <v>3334</v>
      </c>
      <c r="F49" s="2">
        <v>20</v>
      </c>
      <c r="G49" s="3">
        <v>1000000</v>
      </c>
      <c r="H49" s="3">
        <f>G49*(1+$C$3)</f>
        <v>1040000</v>
      </c>
      <c r="I49" s="3">
        <f>+H49*F49</f>
        <v>20800000</v>
      </c>
      <c r="J49" s="2" t="s">
        <v>3335</v>
      </c>
      <c r="K49" s="2" t="s">
        <v>3336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2" t="s">
        <v>3228</v>
      </c>
      <c r="B50" s="2" t="s">
        <v>3337</v>
      </c>
      <c r="C50" s="2" t="s">
        <v>3338</v>
      </c>
      <c r="D50" s="2"/>
      <c r="E50" s="2"/>
      <c r="F50" s="2"/>
      <c r="G50" s="3"/>
      <c r="H50" s="3">
        <f t="shared" si="5"/>
        <v>0</v>
      </c>
      <c r="I50" s="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 t="s">
        <v>3228</v>
      </c>
      <c r="B51" s="2" t="s">
        <v>3337</v>
      </c>
      <c r="C51" s="2" t="s">
        <v>3339</v>
      </c>
      <c r="D51" s="2"/>
      <c r="E51" s="2"/>
      <c r="F51" s="2"/>
      <c r="G51" s="3"/>
      <c r="H51" s="3">
        <f t="shared" si="5"/>
        <v>0</v>
      </c>
      <c r="I51" s="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 t="s">
        <v>3228</v>
      </c>
      <c r="B52" s="2" t="s">
        <v>3337</v>
      </c>
      <c r="C52" s="2" t="s">
        <v>660</v>
      </c>
      <c r="D52" s="2"/>
      <c r="E52" s="2"/>
      <c r="F52" s="2"/>
      <c r="G52" s="3"/>
      <c r="H52" s="3">
        <f t="shared" si="5"/>
        <v>0</v>
      </c>
      <c r="I52" s="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 t="s">
        <v>3228</v>
      </c>
      <c r="B53" s="2" t="s">
        <v>3340</v>
      </c>
      <c r="C53" s="2"/>
      <c r="D53" s="2"/>
      <c r="E53" s="2"/>
      <c r="F53" s="2"/>
      <c r="G53" s="3"/>
      <c r="H53" s="3">
        <f t="shared" si="5"/>
        <v>0</v>
      </c>
      <c r="I53" s="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 t="s">
        <v>3228</v>
      </c>
      <c r="B54" s="2" t="s">
        <v>3341</v>
      </c>
      <c r="C54" s="2"/>
      <c r="D54" s="2"/>
      <c r="E54" s="2"/>
      <c r="F54" s="2"/>
      <c r="G54" s="3"/>
      <c r="H54" s="3">
        <f t="shared" si="5"/>
        <v>0</v>
      </c>
      <c r="I54" s="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 t="s">
        <v>3228</v>
      </c>
      <c r="B55" s="2" t="s">
        <v>3342</v>
      </c>
      <c r="C55" s="2"/>
      <c r="D55" s="2"/>
      <c r="E55" s="2"/>
      <c r="F55" s="2"/>
      <c r="G55" s="3"/>
      <c r="H55" s="3">
        <f t="shared" si="5"/>
        <v>0</v>
      </c>
      <c r="I55" s="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 t="s">
        <v>3228</v>
      </c>
      <c r="B56" s="2" t="s">
        <v>3343</v>
      </c>
      <c r="C56" s="2"/>
      <c r="D56" s="2"/>
      <c r="E56" s="2"/>
      <c r="F56" s="2"/>
      <c r="G56" s="3"/>
      <c r="H56" s="3">
        <f t="shared" si="5"/>
        <v>0</v>
      </c>
      <c r="I56" s="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 t="s">
        <v>3228</v>
      </c>
      <c r="B57" s="2" t="s">
        <v>3344</v>
      </c>
      <c r="C57" s="2"/>
      <c r="D57" s="2"/>
      <c r="E57" s="2"/>
      <c r="F57" s="2"/>
      <c r="G57" s="3"/>
      <c r="H57" s="3">
        <f t="shared" si="5"/>
        <v>0</v>
      </c>
      <c r="I57" s="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 t="s">
        <v>3228</v>
      </c>
      <c r="B58" s="2" t="s">
        <v>3345</v>
      </c>
      <c r="C58" s="2"/>
      <c r="D58" s="2"/>
      <c r="E58" s="2"/>
      <c r="F58" s="2"/>
      <c r="G58" s="3"/>
      <c r="H58" s="3">
        <f t="shared" si="5"/>
        <v>0</v>
      </c>
      <c r="I58" s="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 t="s">
        <v>3228</v>
      </c>
      <c r="B59" s="2" t="s">
        <v>1934</v>
      </c>
      <c r="C59" s="2" t="s">
        <v>3346</v>
      </c>
      <c r="D59" s="2" t="s">
        <v>3347</v>
      </c>
      <c r="E59" s="2" t="s">
        <v>3348</v>
      </c>
      <c r="F59" s="2">
        <v>619</v>
      </c>
      <c r="G59" s="3">
        <v>635536.78</v>
      </c>
      <c r="H59" s="3">
        <f t="shared" si="5"/>
        <v>660958.25120000006</v>
      </c>
      <c r="I59" s="3">
        <v>393397266.81999999</v>
      </c>
      <c r="J59" s="2" t="s">
        <v>3349</v>
      </c>
      <c r="K59" s="2" t="s">
        <v>3350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6" t="s">
        <v>3228</v>
      </c>
      <c r="B60" s="2" t="s">
        <v>1934</v>
      </c>
      <c r="C60" s="2" t="s">
        <v>3351</v>
      </c>
      <c r="D60" s="2" t="s">
        <v>3352</v>
      </c>
      <c r="E60" s="2" t="s">
        <v>3348</v>
      </c>
      <c r="F60" s="2">
        <v>619</v>
      </c>
      <c r="G60" s="3">
        <v>800000</v>
      </c>
      <c r="H60" s="3">
        <f t="shared" si="5"/>
        <v>832000</v>
      </c>
      <c r="I60" s="3">
        <v>393397267.81999999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6" t="s">
        <v>3230</v>
      </c>
      <c r="B61" s="2"/>
      <c r="C61" s="2"/>
      <c r="D61" s="2"/>
      <c r="E61" s="2"/>
      <c r="F61" s="2"/>
      <c r="G61" s="3"/>
      <c r="H61" s="3"/>
      <c r="I61" s="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4" t="s">
        <v>3233</v>
      </c>
      <c r="B62" s="2"/>
      <c r="C62" s="2"/>
      <c r="D62" s="2"/>
      <c r="E62" s="2"/>
      <c r="F62" s="2"/>
      <c r="G62" s="3"/>
      <c r="H62" s="3"/>
      <c r="I62" s="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4" t="s">
        <v>3235</v>
      </c>
      <c r="B63" s="2"/>
      <c r="C63" s="2"/>
      <c r="D63" s="2"/>
      <c r="E63" s="2"/>
      <c r="F63" s="2"/>
      <c r="G63" s="3"/>
      <c r="H63" s="3"/>
      <c r="I63" s="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4" t="s">
        <v>3237</v>
      </c>
      <c r="B64" s="2"/>
      <c r="C64" s="2"/>
      <c r="D64" s="2"/>
      <c r="E64" s="2"/>
      <c r="F64" s="2"/>
      <c r="G64" s="3"/>
      <c r="H64" s="3"/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4" t="s">
        <v>3239</v>
      </c>
      <c r="B65" s="2"/>
      <c r="C65" s="2"/>
      <c r="D65" s="2"/>
      <c r="E65" s="2"/>
      <c r="F65" s="2"/>
      <c r="G65" s="3"/>
      <c r="H65" s="3"/>
      <c r="I65" s="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4" t="s">
        <v>3241</v>
      </c>
      <c r="B66" s="2"/>
      <c r="C66" s="2"/>
      <c r="D66" s="2"/>
      <c r="E66" s="2"/>
      <c r="F66" s="2"/>
      <c r="G66" s="3"/>
      <c r="H66" s="3"/>
      <c r="I66" s="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4" t="s">
        <v>3243</v>
      </c>
      <c r="B67" s="2"/>
      <c r="C67" s="2"/>
      <c r="D67" s="2"/>
      <c r="E67" s="2"/>
      <c r="F67" s="2"/>
      <c r="G67" s="3"/>
      <c r="H67" s="3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4" t="s">
        <v>3245</v>
      </c>
      <c r="B68" s="2"/>
      <c r="C68" s="2"/>
      <c r="D68" s="2"/>
      <c r="E68" s="2"/>
      <c r="F68" s="2"/>
      <c r="G68" s="3"/>
      <c r="H68" s="3"/>
      <c r="I68" s="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4" t="s">
        <v>2040</v>
      </c>
      <c r="B69" s="2"/>
      <c r="C69" s="2"/>
      <c r="D69" s="2"/>
      <c r="E69" s="2"/>
      <c r="F69" s="2"/>
      <c r="G69" s="3"/>
      <c r="H69" s="3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4" t="s">
        <v>3248</v>
      </c>
      <c r="B70" s="2"/>
      <c r="C70" s="2"/>
      <c r="D70" s="2"/>
      <c r="E70" s="2"/>
      <c r="F70" s="2"/>
      <c r="G70" s="3"/>
      <c r="H70" s="3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4" t="s">
        <v>3250</v>
      </c>
      <c r="B71" s="2"/>
      <c r="C71" s="2"/>
      <c r="D71" s="2"/>
      <c r="E71" s="2"/>
      <c r="F71" s="2"/>
      <c r="G71" s="3"/>
      <c r="H71" s="3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4" t="s">
        <v>3252</v>
      </c>
      <c r="B72" s="2"/>
      <c r="C72" s="2"/>
      <c r="D72" s="2"/>
      <c r="E72" s="2"/>
      <c r="F72" s="2"/>
      <c r="G72" s="3"/>
      <c r="H72" s="3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</sheetData>
  <pageMargins left="0.7" right="0.7" top="0.75" bottom="0.75" header="0.3" footer="0.3"/>
  <ignoredErrors>
    <ignoredError sqref="C3:C5" numberStoredAsText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ACA15-F9AB-4229-A542-AAE95705DF95}">
  <dimension ref="A2:Y21"/>
  <sheetViews>
    <sheetView showGridLines="0" topLeftCell="A18" workbookViewId="0">
      <selection activeCell="B23" sqref="B23:B24"/>
    </sheetView>
  </sheetViews>
  <sheetFormatPr defaultColWidth="8.7109375" defaultRowHeight="14.45"/>
  <cols>
    <col min="1" max="1" width="26" bestFit="1" customWidth="1"/>
    <col min="2" max="2" width="41.140625" bestFit="1" customWidth="1"/>
    <col min="3" max="3" width="60.28515625" bestFit="1" customWidth="1"/>
    <col min="4" max="4" width="36.7109375" bestFit="1" customWidth="1"/>
    <col min="5" max="5" width="7.140625" bestFit="1" customWidth="1"/>
    <col min="6" max="6" width="12.85546875" bestFit="1" customWidth="1"/>
    <col min="7" max="7" width="14.85546875" style="12" bestFit="1" customWidth="1"/>
    <col min="8" max="8" width="14.85546875" style="12" customWidth="1"/>
    <col min="9" max="9" width="14.5703125" style="12" bestFit="1" customWidth="1"/>
    <col min="10" max="10" width="51.5703125" bestFit="1" customWidth="1"/>
    <col min="11" max="11" width="38.85546875" bestFit="1" customWidth="1"/>
    <col min="12" max="12" width="40.140625" bestFit="1" customWidth="1"/>
    <col min="13" max="13" width="20.7109375" bestFit="1" customWidth="1"/>
    <col min="14" max="25" width="13.85546875" customWidth="1"/>
  </cols>
  <sheetData>
    <row r="2" spans="1:25">
      <c r="B2" s="1" t="s">
        <v>3263</v>
      </c>
      <c r="C2" s="6"/>
    </row>
    <row r="3" spans="1:25">
      <c r="B3" s="2" t="s">
        <v>3264</v>
      </c>
      <c r="C3" s="8" t="s">
        <v>3265</v>
      </c>
    </row>
    <row r="4" spans="1:25">
      <c r="B4" s="2" t="s">
        <v>3266</v>
      </c>
      <c r="C4" s="10">
        <v>0.08</v>
      </c>
    </row>
    <row r="5" spans="1:25">
      <c r="B5" s="2" t="s">
        <v>3267</v>
      </c>
      <c r="C5" s="9" t="s">
        <v>3268</v>
      </c>
    </row>
    <row r="6" spans="1:25">
      <c r="G6" s="13"/>
      <c r="H6" s="13"/>
      <c r="I6" s="13"/>
    </row>
    <row r="7" spans="1:25" ht="24.6" customHeight="1">
      <c r="A7" s="14" t="s">
        <v>3269</v>
      </c>
      <c r="B7" s="14" t="s">
        <v>3270</v>
      </c>
      <c r="C7" s="14" t="s">
        <v>3271</v>
      </c>
      <c r="D7" s="14" t="s">
        <v>1</v>
      </c>
      <c r="E7" s="14" t="s">
        <v>3272</v>
      </c>
      <c r="F7" s="14" t="s">
        <v>3273</v>
      </c>
      <c r="G7" s="14" t="s">
        <v>3274</v>
      </c>
      <c r="H7" s="14" t="s">
        <v>3275</v>
      </c>
      <c r="I7" s="14" t="s">
        <v>3276</v>
      </c>
      <c r="J7" s="14" t="s">
        <v>3277</v>
      </c>
      <c r="K7" s="14" t="s">
        <v>3278</v>
      </c>
      <c r="L7" s="14" t="s">
        <v>3279</v>
      </c>
      <c r="M7" s="14" t="s">
        <v>3280</v>
      </c>
      <c r="N7" s="14" t="s">
        <v>3281</v>
      </c>
      <c r="O7" s="14" t="s">
        <v>3282</v>
      </c>
      <c r="P7" s="14" t="s">
        <v>3283</v>
      </c>
      <c r="Q7" s="14" t="s">
        <v>3284</v>
      </c>
      <c r="R7" s="14" t="s">
        <v>3285</v>
      </c>
      <c r="S7" s="14" t="s">
        <v>3286</v>
      </c>
      <c r="T7" s="14" t="s">
        <v>3287</v>
      </c>
      <c r="U7" s="14" t="s">
        <v>3288</v>
      </c>
      <c r="V7" s="14" t="s">
        <v>3289</v>
      </c>
      <c r="W7" s="14" t="s">
        <v>3290</v>
      </c>
      <c r="X7" s="14" t="s">
        <v>3291</v>
      </c>
      <c r="Y7" s="14" t="s">
        <v>3292</v>
      </c>
    </row>
    <row r="8" spans="1:25">
      <c r="A8" s="2" t="s">
        <v>3228</v>
      </c>
      <c r="B8" s="2" t="s">
        <v>2951</v>
      </c>
      <c r="C8" s="2" t="s">
        <v>3331</v>
      </c>
      <c r="D8" s="2"/>
      <c r="E8" s="2"/>
      <c r="F8" s="2"/>
      <c r="G8" s="3"/>
      <c r="H8" s="3">
        <f t="shared" ref="H8:H21" si="0">G8*(1+$C$3)</f>
        <v>0</v>
      </c>
      <c r="I8" s="3">
        <f t="shared" ref="I8:I9" si="1">+F8*H8</f>
        <v>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2" t="s">
        <v>3228</v>
      </c>
      <c r="B9" s="2" t="s">
        <v>2951</v>
      </c>
      <c r="C9" s="2" t="s">
        <v>3332</v>
      </c>
      <c r="D9" s="2"/>
      <c r="E9" s="2"/>
      <c r="F9" s="2"/>
      <c r="G9" s="3"/>
      <c r="H9" s="3">
        <f t="shared" si="0"/>
        <v>0</v>
      </c>
      <c r="I9" s="3">
        <f t="shared" si="1"/>
        <v>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2" t="s">
        <v>3228</v>
      </c>
      <c r="B10" s="2" t="s">
        <v>2951</v>
      </c>
      <c r="C10" s="2" t="s">
        <v>3333</v>
      </c>
      <c r="D10" s="2"/>
      <c r="E10" s="2" t="s">
        <v>3334</v>
      </c>
      <c r="F10" s="2">
        <v>20</v>
      </c>
      <c r="G10" s="3">
        <v>1000000</v>
      </c>
      <c r="H10" s="3">
        <f>G10*(1+$C$3)</f>
        <v>1040000</v>
      </c>
      <c r="I10" s="3">
        <f>+H10*F10</f>
        <v>20800000</v>
      </c>
      <c r="J10" s="2" t="s">
        <v>3335</v>
      </c>
      <c r="K10" s="2" t="s">
        <v>3336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2" t="s">
        <v>3228</v>
      </c>
      <c r="B11" s="2" t="s">
        <v>3337</v>
      </c>
      <c r="C11" s="2" t="s">
        <v>3338</v>
      </c>
      <c r="D11" s="2"/>
      <c r="E11" s="2"/>
      <c r="F11" s="2"/>
      <c r="G11" s="3"/>
      <c r="H11" s="3">
        <f t="shared" si="0"/>
        <v>0</v>
      </c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2" t="s">
        <v>3228</v>
      </c>
      <c r="B12" s="2" t="s">
        <v>3337</v>
      </c>
      <c r="C12" s="2" t="s">
        <v>3339</v>
      </c>
      <c r="D12" s="2"/>
      <c r="E12" s="2"/>
      <c r="F12" s="2"/>
      <c r="G12" s="3"/>
      <c r="H12" s="3">
        <f t="shared" si="0"/>
        <v>0</v>
      </c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2" t="s">
        <v>3228</v>
      </c>
      <c r="B13" s="2" t="s">
        <v>3337</v>
      </c>
      <c r="C13" s="2" t="s">
        <v>660</v>
      </c>
      <c r="D13" s="2"/>
      <c r="E13" s="2"/>
      <c r="F13" s="2"/>
      <c r="G13" s="3"/>
      <c r="H13" s="3">
        <f t="shared" si="0"/>
        <v>0</v>
      </c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2" t="s">
        <v>3228</v>
      </c>
      <c r="B14" s="2" t="s">
        <v>3340</v>
      </c>
      <c r="C14" s="2"/>
      <c r="D14" s="2"/>
      <c r="E14" s="2"/>
      <c r="F14" s="2"/>
      <c r="G14" s="3"/>
      <c r="H14" s="3">
        <f t="shared" si="0"/>
        <v>0</v>
      </c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2" t="s">
        <v>3228</v>
      </c>
      <c r="B15" s="2" t="s">
        <v>3341</v>
      </c>
      <c r="C15" s="2"/>
      <c r="D15" s="2"/>
      <c r="E15" s="2"/>
      <c r="F15" s="2"/>
      <c r="G15" s="3"/>
      <c r="H15" s="3">
        <f t="shared" si="0"/>
        <v>0</v>
      </c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2" t="s">
        <v>3228</v>
      </c>
      <c r="B16" s="2" t="s">
        <v>3342</v>
      </c>
      <c r="C16" s="2"/>
      <c r="D16" s="2"/>
      <c r="E16" s="2"/>
      <c r="F16" s="2"/>
      <c r="G16" s="3"/>
      <c r="H16" s="3">
        <f t="shared" si="0"/>
        <v>0</v>
      </c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2" t="s">
        <v>3228</v>
      </c>
      <c r="B17" s="2" t="s">
        <v>3343</v>
      </c>
      <c r="C17" s="2"/>
      <c r="D17" s="2"/>
      <c r="E17" s="2"/>
      <c r="F17" s="2"/>
      <c r="G17" s="3"/>
      <c r="H17" s="3">
        <f t="shared" si="0"/>
        <v>0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2" t="s">
        <v>3228</v>
      </c>
      <c r="B18" s="2" t="s">
        <v>3344</v>
      </c>
      <c r="C18" s="2"/>
      <c r="D18" s="2"/>
      <c r="E18" s="2"/>
      <c r="F18" s="2"/>
      <c r="G18" s="3"/>
      <c r="H18" s="3">
        <f t="shared" si="0"/>
        <v>0</v>
      </c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2" t="s">
        <v>3228</v>
      </c>
      <c r="B19" s="2" t="s">
        <v>3345</v>
      </c>
      <c r="C19" s="2"/>
      <c r="D19" s="2"/>
      <c r="E19" s="2"/>
      <c r="F19" s="2"/>
      <c r="G19" s="3"/>
      <c r="H19" s="3">
        <f t="shared" si="0"/>
        <v>0</v>
      </c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2" t="s">
        <v>3228</v>
      </c>
      <c r="B20" s="2" t="s">
        <v>1934</v>
      </c>
      <c r="C20" s="2" t="s">
        <v>3346</v>
      </c>
      <c r="D20" s="2" t="s">
        <v>3347</v>
      </c>
      <c r="E20" s="2" t="s">
        <v>3348</v>
      </c>
      <c r="F20" s="2">
        <v>619</v>
      </c>
      <c r="G20" s="3">
        <v>635536.78</v>
      </c>
      <c r="H20" s="3">
        <f t="shared" si="0"/>
        <v>660958.25120000006</v>
      </c>
      <c r="I20" s="3">
        <v>393397266.81999999</v>
      </c>
      <c r="J20" s="2" t="s">
        <v>3349</v>
      </c>
      <c r="K20" s="2" t="s">
        <v>3350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6" t="s">
        <v>3228</v>
      </c>
      <c r="B21" s="2" t="s">
        <v>1934</v>
      </c>
      <c r="C21" s="2" t="s">
        <v>3351</v>
      </c>
      <c r="D21" s="2" t="s">
        <v>3352</v>
      </c>
      <c r="E21" s="2" t="s">
        <v>3348</v>
      </c>
      <c r="F21" s="2">
        <v>619</v>
      </c>
      <c r="G21" s="3">
        <v>800000</v>
      </c>
      <c r="H21" s="3">
        <f t="shared" si="0"/>
        <v>832000</v>
      </c>
      <c r="I21" s="3">
        <v>393397267.81999999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77EC-A7DE-4F65-B99E-5718554BCFDB}">
  <dimension ref="A2:Y8"/>
  <sheetViews>
    <sheetView showGridLines="0" workbookViewId="0">
      <selection activeCell="C23" sqref="C23"/>
    </sheetView>
  </sheetViews>
  <sheetFormatPr defaultColWidth="8.7109375" defaultRowHeight="14.45"/>
  <cols>
    <col min="1" max="1" width="26" bestFit="1" customWidth="1"/>
    <col min="2" max="2" width="41.140625" bestFit="1" customWidth="1"/>
    <col min="3" max="3" width="60.28515625" bestFit="1" customWidth="1"/>
    <col min="4" max="4" width="36.7109375" bestFit="1" customWidth="1"/>
    <col min="5" max="5" width="7.140625" bestFit="1" customWidth="1"/>
    <col min="6" max="6" width="12.85546875" bestFit="1" customWidth="1"/>
    <col min="7" max="7" width="14.85546875" style="12" bestFit="1" customWidth="1"/>
    <col min="8" max="8" width="14.85546875" style="12" customWidth="1"/>
    <col min="9" max="9" width="14.5703125" style="12" bestFit="1" customWidth="1"/>
    <col min="10" max="10" width="51.5703125" bestFit="1" customWidth="1"/>
    <col min="11" max="11" width="38.85546875" bestFit="1" customWidth="1"/>
    <col min="12" max="12" width="40.140625" bestFit="1" customWidth="1"/>
    <col min="13" max="13" width="20.7109375" bestFit="1" customWidth="1"/>
    <col min="14" max="25" width="13.85546875" customWidth="1"/>
  </cols>
  <sheetData>
    <row r="2" spans="1:25">
      <c r="B2" s="1" t="s">
        <v>3263</v>
      </c>
      <c r="C2" s="6"/>
    </row>
    <row r="3" spans="1:25">
      <c r="B3" s="2" t="s">
        <v>3264</v>
      </c>
      <c r="C3" s="8" t="s">
        <v>3265</v>
      </c>
    </row>
    <row r="4" spans="1:25">
      <c r="B4" s="2" t="s">
        <v>3266</v>
      </c>
      <c r="C4" s="10">
        <v>0.08</v>
      </c>
    </row>
    <row r="5" spans="1:25">
      <c r="B5" s="2" t="s">
        <v>3267</v>
      </c>
      <c r="C5" s="9" t="s">
        <v>3268</v>
      </c>
    </row>
    <row r="6" spans="1:25">
      <c r="G6" s="13"/>
      <c r="H6" s="13"/>
      <c r="I6" s="13"/>
    </row>
    <row r="7" spans="1:25" ht="24.6" customHeight="1">
      <c r="A7" s="14" t="s">
        <v>3269</v>
      </c>
      <c r="B7" s="14" t="s">
        <v>3270</v>
      </c>
      <c r="C7" s="14" t="s">
        <v>3271</v>
      </c>
      <c r="D7" s="14" t="s">
        <v>1</v>
      </c>
      <c r="E7" s="14" t="s">
        <v>3272</v>
      </c>
      <c r="F7" s="14" t="s">
        <v>3273</v>
      </c>
      <c r="G7" s="14" t="s">
        <v>3274</v>
      </c>
      <c r="H7" s="14" t="s">
        <v>3275</v>
      </c>
      <c r="I7" s="14" t="s">
        <v>3276</v>
      </c>
      <c r="J7" s="14" t="s">
        <v>3277</v>
      </c>
      <c r="K7" s="14" t="s">
        <v>3278</v>
      </c>
      <c r="L7" s="14" t="s">
        <v>3279</v>
      </c>
      <c r="M7" s="14" t="s">
        <v>3280</v>
      </c>
      <c r="N7" s="14" t="s">
        <v>3281</v>
      </c>
      <c r="O7" s="14" t="s">
        <v>3282</v>
      </c>
      <c r="P7" s="14" t="s">
        <v>3283</v>
      </c>
      <c r="Q7" s="14" t="s">
        <v>3284</v>
      </c>
      <c r="R7" s="14" t="s">
        <v>3285</v>
      </c>
      <c r="S7" s="14" t="s">
        <v>3286</v>
      </c>
      <c r="T7" s="14" t="s">
        <v>3287</v>
      </c>
      <c r="U7" s="14" t="s">
        <v>3288</v>
      </c>
      <c r="V7" s="14" t="s">
        <v>3289</v>
      </c>
      <c r="W7" s="14" t="s">
        <v>3290</v>
      </c>
      <c r="X7" s="14" t="s">
        <v>3291</v>
      </c>
      <c r="Y7" s="14" t="s">
        <v>3292</v>
      </c>
    </row>
    <row r="8" spans="1:25">
      <c r="A8" s="6" t="s">
        <v>3230</v>
      </c>
      <c r="B8" s="2"/>
      <c r="C8" s="2"/>
      <c r="D8" s="2"/>
      <c r="E8" s="2"/>
      <c r="F8" s="2"/>
      <c r="G8" s="3"/>
      <c r="H8" s="3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780E-69F7-4EF9-B105-B4E834CB0517}">
  <dimension ref="A2:Z316"/>
  <sheetViews>
    <sheetView showGridLines="0" tabSelected="1" workbookViewId="0">
      <pane ySplit="7" topLeftCell="B281" activePane="bottomLeft" state="frozen"/>
      <selection pane="bottomLeft" activeCell="C277" sqref="C277"/>
      <selection activeCell="D1" sqref="D1"/>
    </sheetView>
  </sheetViews>
  <sheetFormatPr defaultColWidth="9.140625" defaultRowHeight="14.45"/>
  <cols>
    <col min="1" max="1" width="19.140625" bestFit="1" customWidth="1"/>
    <col min="2" max="2" width="57.85546875" bestFit="1" customWidth="1"/>
    <col min="3" max="3" width="59" customWidth="1"/>
    <col min="4" max="4" width="93" customWidth="1"/>
    <col min="5" max="5" width="9.5703125" style="55" bestFit="1" customWidth="1"/>
    <col min="6" max="6" width="13.42578125" style="55" customWidth="1"/>
    <col min="7" max="7" width="18.7109375" style="12" bestFit="1" customWidth="1"/>
    <col min="8" max="8" width="15.85546875" style="12" bestFit="1" customWidth="1"/>
    <col min="9" max="9" width="14.28515625" style="12" bestFit="1" customWidth="1"/>
    <col min="10" max="10" width="10" hidden="1" customWidth="1"/>
    <col min="11" max="11" width="13.85546875" hidden="1" customWidth="1"/>
    <col min="12" max="12" width="7.85546875" hidden="1" customWidth="1"/>
    <col min="13" max="13" width="21.85546875" bestFit="1" customWidth="1"/>
    <col min="14" max="21" width="11.7109375" bestFit="1" customWidth="1"/>
    <col min="22" max="22" width="19.28515625" bestFit="1" customWidth="1"/>
    <col min="23" max="25" width="11.7109375" bestFit="1" customWidth="1"/>
  </cols>
  <sheetData>
    <row r="2" spans="1:25">
      <c r="B2" s="1" t="s">
        <v>3263</v>
      </c>
      <c r="C2" s="6"/>
    </row>
    <row r="3" spans="1:25">
      <c r="B3" s="2" t="s">
        <v>3264</v>
      </c>
      <c r="C3" s="58">
        <v>5.0999999999999997E-2</v>
      </c>
    </row>
    <row r="4" spans="1:25">
      <c r="B4" s="2" t="s">
        <v>3266</v>
      </c>
      <c r="C4" s="10">
        <v>0.23</v>
      </c>
    </row>
    <row r="5" spans="1:25">
      <c r="B5" s="2" t="s">
        <v>3267</v>
      </c>
      <c r="C5" s="9" t="s">
        <v>3268</v>
      </c>
    </row>
    <row r="6" spans="1:25">
      <c r="G6" s="13"/>
      <c r="H6" s="13"/>
      <c r="I6" s="13"/>
    </row>
    <row r="7" spans="1:25" ht="24.6" customHeight="1">
      <c r="A7" s="15" t="s">
        <v>3269</v>
      </c>
      <c r="B7" s="15" t="s">
        <v>3270</v>
      </c>
      <c r="C7" s="15" t="s">
        <v>3271</v>
      </c>
      <c r="D7" s="15" t="s">
        <v>1</v>
      </c>
      <c r="E7" s="15" t="s">
        <v>3272</v>
      </c>
      <c r="F7" s="15" t="s">
        <v>3273</v>
      </c>
      <c r="G7" s="15" t="s">
        <v>3274</v>
      </c>
      <c r="H7" s="15" t="s">
        <v>3275</v>
      </c>
      <c r="I7" s="15" t="s">
        <v>3276</v>
      </c>
      <c r="J7" s="15" t="s">
        <v>3277</v>
      </c>
      <c r="K7" s="15" t="s">
        <v>3278</v>
      </c>
      <c r="L7" s="15" t="s">
        <v>3279</v>
      </c>
      <c r="M7" s="15" t="s">
        <v>3280</v>
      </c>
      <c r="N7" s="15" t="s">
        <v>3281</v>
      </c>
      <c r="O7" s="15" t="s">
        <v>3282</v>
      </c>
      <c r="P7" s="15" t="s">
        <v>3283</v>
      </c>
      <c r="Q7" s="15" t="s">
        <v>3284</v>
      </c>
      <c r="R7" s="15" t="s">
        <v>3285</v>
      </c>
      <c r="S7" s="15" t="s">
        <v>3286</v>
      </c>
      <c r="T7" s="15" t="s">
        <v>3287</v>
      </c>
      <c r="U7" s="15" t="s">
        <v>3288</v>
      </c>
      <c r="V7" s="15" t="s">
        <v>3289</v>
      </c>
      <c r="W7" s="15" t="s">
        <v>3290</v>
      </c>
      <c r="X7" s="15" t="s">
        <v>3291</v>
      </c>
      <c r="Y7" s="15" t="s">
        <v>3292</v>
      </c>
    </row>
    <row r="8" spans="1:25" s="49" customFormat="1">
      <c r="A8" s="47" t="s">
        <v>3233</v>
      </c>
      <c r="B8" s="47" t="s">
        <v>3353</v>
      </c>
      <c r="C8" s="47" t="s">
        <v>2165</v>
      </c>
      <c r="D8" s="47"/>
      <c r="E8" s="56"/>
      <c r="F8" s="56"/>
      <c r="G8" s="48"/>
      <c r="H8" s="48"/>
      <c r="I8" s="48"/>
      <c r="J8" s="47"/>
      <c r="K8" s="47"/>
      <c r="L8" s="47"/>
      <c r="M8" s="19">
        <f t="shared" ref="M8:M17" si="0">SUM(N8:Y8)</f>
        <v>2196993449.1379299</v>
      </c>
      <c r="N8" s="19">
        <f>SUM(N9:N21)</f>
        <v>198518844.68521997</v>
      </c>
      <c r="O8" s="19">
        <f t="shared" ref="O8:Y8" si="1">SUM(O9:O21)</f>
        <v>179717323.74660999</v>
      </c>
      <c r="P8" s="19">
        <f t="shared" si="1"/>
        <v>179259545.98260999</v>
      </c>
      <c r="Q8" s="19">
        <f t="shared" si="1"/>
        <v>179259545.98260999</v>
      </c>
      <c r="R8" s="19">
        <f t="shared" si="1"/>
        <v>180970489.90260997</v>
      </c>
      <c r="S8" s="19">
        <f t="shared" si="1"/>
        <v>179259545.98260999</v>
      </c>
      <c r="T8" s="19">
        <f t="shared" si="1"/>
        <v>181955360.98260999</v>
      </c>
      <c r="U8" s="19">
        <f t="shared" si="1"/>
        <v>180925843.42260998</v>
      </c>
      <c r="V8" s="19">
        <f t="shared" si="1"/>
        <v>182034185.98260999</v>
      </c>
      <c r="W8" s="19">
        <f t="shared" si="1"/>
        <v>185030920.82260999</v>
      </c>
      <c r="X8" s="19">
        <f t="shared" si="1"/>
        <v>185030920.82260999</v>
      </c>
      <c r="Y8" s="19">
        <f t="shared" si="1"/>
        <v>185030920.82260999</v>
      </c>
    </row>
    <row r="9" spans="1:25">
      <c r="A9" s="2" t="s">
        <v>3233</v>
      </c>
      <c r="B9" s="2" t="s">
        <v>3353</v>
      </c>
      <c r="C9" s="2" t="s">
        <v>2165</v>
      </c>
      <c r="D9" s="2" t="s">
        <v>3354</v>
      </c>
      <c r="E9" s="54" t="s">
        <v>3355</v>
      </c>
      <c r="F9" s="54">
        <v>12</v>
      </c>
      <c r="G9" s="46">
        <v>126398293</v>
      </c>
      <c r="H9" s="46">
        <f>G9*(1+C$4)</f>
        <v>155469900.38999999</v>
      </c>
      <c r="I9" s="46">
        <f>H9*F9</f>
        <v>1865638804.6799998</v>
      </c>
      <c r="J9" s="2"/>
      <c r="K9" s="2"/>
      <c r="L9" s="2"/>
      <c r="M9" s="18">
        <f t="shared" si="0"/>
        <v>1865638804.6799994</v>
      </c>
      <c r="N9" s="18">
        <f>H9</f>
        <v>155469900.38999999</v>
      </c>
      <c r="O9" s="18">
        <f>+N9</f>
        <v>155469900.38999999</v>
      </c>
      <c r="P9" s="18">
        <f t="shared" ref="P9:Y11" si="2">+O9</f>
        <v>155469900.38999999</v>
      </c>
      <c r="Q9" s="18">
        <f t="shared" si="2"/>
        <v>155469900.38999999</v>
      </c>
      <c r="R9" s="18">
        <f t="shared" si="2"/>
        <v>155469900.38999999</v>
      </c>
      <c r="S9" s="18">
        <f t="shared" si="2"/>
        <v>155469900.38999999</v>
      </c>
      <c r="T9" s="18">
        <f t="shared" si="2"/>
        <v>155469900.38999999</v>
      </c>
      <c r="U9" s="18">
        <f t="shared" si="2"/>
        <v>155469900.38999999</v>
      </c>
      <c r="V9" s="18">
        <f t="shared" si="2"/>
        <v>155469900.38999999</v>
      </c>
      <c r="W9" s="18">
        <f t="shared" si="2"/>
        <v>155469900.38999999</v>
      </c>
      <c r="X9" s="18">
        <f t="shared" si="2"/>
        <v>155469900.38999999</v>
      </c>
      <c r="Y9" s="18">
        <f t="shared" si="2"/>
        <v>155469900.38999999</v>
      </c>
    </row>
    <row r="10" spans="1:25">
      <c r="A10" s="2" t="s">
        <v>3233</v>
      </c>
      <c r="B10" s="2" t="s">
        <v>3353</v>
      </c>
      <c r="C10" s="2" t="s">
        <v>2165</v>
      </c>
      <c r="D10" s="2" t="s">
        <v>3356</v>
      </c>
      <c r="E10" s="54" t="s">
        <v>3355</v>
      </c>
      <c r="F10" s="54">
        <v>3</v>
      </c>
      <c r="G10" s="46">
        <f>14076524/3</f>
        <v>4692174.666666667</v>
      </c>
      <c r="H10" s="46">
        <f>G10*(1+C$4)</f>
        <v>5771374.8399999999</v>
      </c>
      <c r="I10" s="46">
        <f>H10*F10</f>
        <v>17314124.52</v>
      </c>
      <c r="J10" s="2"/>
      <c r="K10" s="2"/>
      <c r="L10" s="2"/>
      <c r="M10" s="18">
        <f t="shared" si="0"/>
        <v>17314124.52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f>H10</f>
        <v>5771374.8399999999</v>
      </c>
      <c r="X10" s="18">
        <f>W10</f>
        <v>5771374.8399999999</v>
      </c>
      <c r="Y10" s="18">
        <f>X10</f>
        <v>5771374.8399999999</v>
      </c>
    </row>
    <row r="11" spans="1:25">
      <c r="A11" s="2" t="s">
        <v>3233</v>
      </c>
      <c r="B11" s="2" t="s">
        <v>3353</v>
      </c>
      <c r="C11" s="2" t="s">
        <v>2165</v>
      </c>
      <c r="D11" s="2" t="s">
        <v>3357</v>
      </c>
      <c r="E11" s="54" t="s">
        <v>3355</v>
      </c>
      <c r="F11" s="54">
        <v>12</v>
      </c>
      <c r="G11" s="46">
        <f>69000*2</f>
        <v>138000</v>
      </c>
      <c r="H11" s="46">
        <f>G11*(1+C$3)</f>
        <v>145038</v>
      </c>
      <c r="I11" s="46">
        <f>H11*13</f>
        <v>1885494</v>
      </c>
      <c r="J11" s="2"/>
      <c r="K11" s="2"/>
      <c r="L11" s="2"/>
      <c r="M11" s="18">
        <f t="shared" si="0"/>
        <v>1885494</v>
      </c>
      <c r="N11" s="18">
        <f>H11*2</f>
        <v>290076</v>
      </c>
      <c r="O11" s="18">
        <f>H11</f>
        <v>145038</v>
      </c>
      <c r="P11" s="18">
        <f t="shared" si="2"/>
        <v>145038</v>
      </c>
      <c r="Q11" s="18">
        <f t="shared" si="2"/>
        <v>145038</v>
      </c>
      <c r="R11" s="18">
        <f t="shared" si="2"/>
        <v>145038</v>
      </c>
      <c r="S11" s="18">
        <f t="shared" si="2"/>
        <v>145038</v>
      </c>
      <c r="T11" s="18">
        <f t="shared" si="2"/>
        <v>145038</v>
      </c>
      <c r="U11" s="18">
        <f t="shared" si="2"/>
        <v>145038</v>
      </c>
      <c r="V11" s="18">
        <f t="shared" si="2"/>
        <v>145038</v>
      </c>
      <c r="W11" s="18">
        <f t="shared" si="2"/>
        <v>145038</v>
      </c>
      <c r="X11" s="18">
        <f t="shared" si="2"/>
        <v>145038</v>
      </c>
      <c r="Y11" s="18">
        <f t="shared" si="2"/>
        <v>145038</v>
      </c>
    </row>
    <row r="12" spans="1:25">
      <c r="A12" s="2" t="s">
        <v>3233</v>
      </c>
      <c r="B12" s="2" t="s">
        <v>3353</v>
      </c>
      <c r="C12" s="2" t="s">
        <v>2165</v>
      </c>
      <c r="D12" s="2" t="s">
        <v>3358</v>
      </c>
      <c r="E12" s="54" t="s">
        <v>3355</v>
      </c>
      <c r="F12" s="54">
        <v>12</v>
      </c>
      <c r="G12" s="46">
        <v>15601887.110000001</v>
      </c>
      <c r="H12" s="46">
        <f>G12*(1+C$3)</f>
        <v>16397583.352609999</v>
      </c>
      <c r="I12" s="46">
        <f>H12*13</f>
        <v>213168583.58392999</v>
      </c>
      <c r="J12" s="2"/>
      <c r="K12" s="2"/>
      <c r="L12" s="2"/>
      <c r="M12" s="18">
        <f t="shared" si="0"/>
        <v>213168583.58392993</v>
      </c>
      <c r="N12" s="18">
        <f>H12*2</f>
        <v>32795166.705219999</v>
      </c>
      <c r="O12" s="18">
        <f>H12</f>
        <v>16397583.352609999</v>
      </c>
      <c r="P12" s="18">
        <f t="shared" ref="P12:Y12" si="3">O12</f>
        <v>16397583.352609999</v>
      </c>
      <c r="Q12" s="18">
        <f t="shared" si="3"/>
        <v>16397583.352609999</v>
      </c>
      <c r="R12" s="18">
        <f t="shared" si="3"/>
        <v>16397583.352609999</v>
      </c>
      <c r="S12" s="18">
        <f t="shared" si="3"/>
        <v>16397583.352609999</v>
      </c>
      <c r="T12" s="18">
        <f t="shared" si="3"/>
        <v>16397583.352609999</v>
      </c>
      <c r="U12" s="18">
        <f t="shared" si="3"/>
        <v>16397583.352609999</v>
      </c>
      <c r="V12" s="18">
        <f t="shared" si="3"/>
        <v>16397583.352609999</v>
      </c>
      <c r="W12" s="18">
        <f t="shared" si="3"/>
        <v>16397583.352609999</v>
      </c>
      <c r="X12" s="18">
        <f t="shared" si="3"/>
        <v>16397583.352609999</v>
      </c>
      <c r="Y12" s="18">
        <f t="shared" si="3"/>
        <v>16397583.352609999</v>
      </c>
    </row>
    <row r="13" spans="1:25">
      <c r="A13" s="2" t="s">
        <v>3233</v>
      </c>
      <c r="B13" s="2" t="s">
        <v>3353</v>
      </c>
      <c r="C13" s="2" t="s">
        <v>2165</v>
      </c>
      <c r="D13" s="2" t="s">
        <v>3359</v>
      </c>
      <c r="E13" s="54" t="s">
        <v>3355</v>
      </c>
      <c r="F13" s="54">
        <v>12</v>
      </c>
      <c r="G13" s="46">
        <v>4171283</v>
      </c>
      <c r="H13" s="46">
        <f>G13*(1+C$4)</f>
        <v>5130678.09</v>
      </c>
      <c r="I13" s="46">
        <f>H13*F13</f>
        <v>61568137.079999998</v>
      </c>
      <c r="J13" s="2"/>
      <c r="K13" s="2"/>
      <c r="L13" s="2"/>
      <c r="M13" s="18">
        <f t="shared" si="0"/>
        <v>61568137.080000013</v>
      </c>
      <c r="N13" s="18">
        <f>H13</f>
        <v>5130678.09</v>
      </c>
      <c r="O13" s="18">
        <f>+N13</f>
        <v>5130678.09</v>
      </c>
      <c r="P13" s="18">
        <f t="shared" ref="P13:Y14" si="4">+O13</f>
        <v>5130678.09</v>
      </c>
      <c r="Q13" s="18">
        <f t="shared" si="4"/>
        <v>5130678.09</v>
      </c>
      <c r="R13" s="18">
        <f t="shared" si="4"/>
        <v>5130678.09</v>
      </c>
      <c r="S13" s="18">
        <f t="shared" si="4"/>
        <v>5130678.09</v>
      </c>
      <c r="T13" s="18">
        <f t="shared" si="4"/>
        <v>5130678.09</v>
      </c>
      <c r="U13" s="18">
        <f t="shared" si="4"/>
        <v>5130678.09</v>
      </c>
      <c r="V13" s="18">
        <f t="shared" si="4"/>
        <v>5130678.09</v>
      </c>
      <c r="W13" s="18">
        <f t="shared" si="4"/>
        <v>5130678.09</v>
      </c>
      <c r="X13" s="18">
        <f t="shared" si="4"/>
        <v>5130678.09</v>
      </c>
      <c r="Y13" s="18">
        <f t="shared" si="4"/>
        <v>5130678.09</v>
      </c>
    </row>
    <row r="14" spans="1:25">
      <c r="A14" s="2" t="s">
        <v>3233</v>
      </c>
      <c r="B14" s="2" t="s">
        <v>3353</v>
      </c>
      <c r="C14" s="2" t="s">
        <v>2165</v>
      </c>
      <c r="D14" s="2" t="s">
        <v>3360</v>
      </c>
      <c r="E14" s="54" t="s">
        <v>3355</v>
      </c>
      <c r="F14" s="54">
        <v>12</v>
      </c>
      <c r="G14" s="46">
        <f>23*87550</f>
        <v>2013650</v>
      </c>
      <c r="H14" s="46">
        <f>G14*(1+C$3)</f>
        <v>2116346.15</v>
      </c>
      <c r="I14" s="46">
        <f>H14*13</f>
        <v>27512499.949999999</v>
      </c>
      <c r="J14" s="2"/>
      <c r="K14" s="2"/>
      <c r="L14" s="2"/>
      <c r="M14" s="18">
        <f t="shared" si="0"/>
        <v>27512499.949999992</v>
      </c>
      <c r="N14" s="18">
        <f>H14*2</f>
        <v>4232692.3</v>
      </c>
      <c r="O14" s="18">
        <f>H14</f>
        <v>2116346.15</v>
      </c>
      <c r="P14" s="18">
        <f t="shared" si="4"/>
        <v>2116346.15</v>
      </c>
      <c r="Q14" s="18">
        <f t="shared" si="4"/>
        <v>2116346.15</v>
      </c>
      <c r="R14" s="18">
        <f t="shared" si="4"/>
        <v>2116346.15</v>
      </c>
      <c r="S14" s="18">
        <f t="shared" si="4"/>
        <v>2116346.15</v>
      </c>
      <c r="T14" s="18">
        <f t="shared" si="4"/>
        <v>2116346.15</v>
      </c>
      <c r="U14" s="18">
        <f t="shared" si="4"/>
        <v>2116346.15</v>
      </c>
      <c r="V14" s="18">
        <f t="shared" si="4"/>
        <v>2116346.15</v>
      </c>
      <c r="W14" s="18">
        <f t="shared" si="4"/>
        <v>2116346.15</v>
      </c>
      <c r="X14" s="18">
        <f t="shared" si="4"/>
        <v>2116346.15</v>
      </c>
      <c r="Y14" s="18">
        <f t="shared" si="4"/>
        <v>2116346.15</v>
      </c>
    </row>
    <row r="15" spans="1:25">
      <c r="A15" s="2" t="s">
        <v>3233</v>
      </c>
      <c r="B15" s="2" t="s">
        <v>3353</v>
      </c>
      <c r="C15" s="2" t="s">
        <v>2165</v>
      </c>
      <c r="D15" s="2" t="s">
        <v>3361</v>
      </c>
      <c r="E15" s="54" t="s">
        <v>3362</v>
      </c>
      <c r="F15" s="54">
        <v>2</v>
      </c>
      <c r="G15" s="46">
        <v>285600</v>
      </c>
      <c r="H15" s="46">
        <f>G15*(1+C$3)</f>
        <v>300165.59999999998</v>
      </c>
      <c r="I15" s="46">
        <f>H15*F15</f>
        <v>600331.19999999995</v>
      </c>
      <c r="J15" s="2"/>
      <c r="K15" s="2"/>
      <c r="L15" s="2"/>
      <c r="M15" s="18">
        <f t="shared" si="0"/>
        <v>600331.19999999995</v>
      </c>
      <c r="N15" s="18">
        <f>H15*2</f>
        <v>600331.19999999995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</row>
    <row r="16" spans="1:25">
      <c r="A16" s="2" t="s">
        <v>3233</v>
      </c>
      <c r="B16" s="2" t="s">
        <v>3353</v>
      </c>
      <c r="C16" s="2" t="s">
        <v>2165</v>
      </c>
      <c r="D16" s="2" t="s">
        <v>3363</v>
      </c>
      <c r="E16" s="54" t="s">
        <v>3362</v>
      </c>
      <c r="F16" s="57">
        <v>15000</v>
      </c>
      <c r="G16" s="46">
        <f>171</f>
        <v>171</v>
      </c>
      <c r="H16" s="46">
        <f>G16*(1+C$3)</f>
        <v>179.72099999999998</v>
      </c>
      <c r="I16" s="46">
        <f>+H16*F16</f>
        <v>2695814.9999999995</v>
      </c>
      <c r="J16" s="2"/>
      <c r="K16" s="2"/>
      <c r="L16" s="2"/>
      <c r="M16" s="18">
        <f t="shared" si="0"/>
        <v>2695814.9999999995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f>+H16*F16</f>
        <v>2695814.9999999995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</row>
    <row r="17" spans="1:25">
      <c r="A17" s="2" t="s">
        <v>3233</v>
      </c>
      <c r="B17" s="2" t="s">
        <v>3353</v>
      </c>
      <c r="C17" s="2" t="s">
        <v>2165</v>
      </c>
      <c r="D17" s="2" t="s">
        <v>3364</v>
      </c>
      <c r="E17" s="54" t="s">
        <v>3365</v>
      </c>
      <c r="F17" s="54">
        <v>4</v>
      </c>
      <c r="G17" s="46">
        <v>406980</v>
      </c>
      <c r="H17" s="46">
        <f>G17*(1+C$3)</f>
        <v>427735.98</v>
      </c>
      <c r="I17" s="46">
        <f>+H17*F17</f>
        <v>1710943.92</v>
      </c>
      <c r="J17" s="2"/>
      <c r="K17" s="2"/>
      <c r="L17" s="2"/>
      <c r="M17" s="18">
        <f t="shared" si="0"/>
        <v>1710943.92</v>
      </c>
      <c r="N17" s="18">
        <v>0</v>
      </c>
      <c r="O17" s="18">
        <v>0</v>
      </c>
      <c r="P17" s="18">
        <v>0</v>
      </c>
      <c r="Q17" s="18">
        <v>0</v>
      </c>
      <c r="R17" s="18">
        <f>H17*F17</f>
        <v>1710943.92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</row>
    <row r="18" spans="1:25">
      <c r="A18" s="2" t="s">
        <v>3233</v>
      </c>
      <c r="B18" s="2" t="s">
        <v>3353</v>
      </c>
      <c r="C18" s="2" t="s">
        <v>2165</v>
      </c>
      <c r="D18" s="2" t="s">
        <v>3366</v>
      </c>
      <c r="E18" s="54" t="s">
        <v>3362</v>
      </c>
      <c r="F18" s="54">
        <v>30</v>
      </c>
      <c r="G18" s="46">
        <v>88000</v>
      </c>
      <c r="H18" s="46">
        <f t="shared" ref="H18:H21" si="5">G18*(1+C$3)</f>
        <v>92488</v>
      </c>
      <c r="I18" s="46">
        <f>+H18*F18</f>
        <v>2774640</v>
      </c>
      <c r="J18" s="2"/>
      <c r="K18" s="2"/>
      <c r="L18" s="2"/>
      <c r="M18" s="18">
        <f t="shared" ref="M18:M21" si="6">SUM(N18:Y18)</f>
        <v>2774640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f>H18*F18</f>
        <v>2774640</v>
      </c>
      <c r="W18" s="18">
        <v>0</v>
      </c>
      <c r="X18" s="18">
        <v>0</v>
      </c>
      <c r="Y18" s="18">
        <v>0</v>
      </c>
    </row>
    <row r="19" spans="1:25">
      <c r="A19" s="2" t="s">
        <v>3233</v>
      </c>
      <c r="B19" s="2" t="s">
        <v>3353</v>
      </c>
      <c r="C19" s="2" t="s">
        <v>2165</v>
      </c>
      <c r="D19" s="2" t="s">
        <v>3367</v>
      </c>
      <c r="E19" s="54" t="s">
        <v>3362</v>
      </c>
      <c r="F19" s="54">
        <v>2</v>
      </c>
      <c r="G19" s="46">
        <v>41067</v>
      </c>
      <c r="H19" s="46">
        <f t="shared" si="5"/>
        <v>43161.416999999994</v>
      </c>
      <c r="I19" s="46">
        <f t="shared" ref="I19:I21" si="7">+H19*F19</f>
        <v>86322.833999999988</v>
      </c>
      <c r="J19" s="2"/>
      <c r="K19" s="2"/>
      <c r="L19" s="2"/>
      <c r="M19" s="18">
        <f t="shared" si="6"/>
        <v>86322.833999999988</v>
      </c>
      <c r="N19" s="18">
        <v>0</v>
      </c>
      <c r="O19" s="18">
        <f>H19*F19</f>
        <v>86322.833999999988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</row>
    <row r="20" spans="1:25">
      <c r="A20" s="2" t="s">
        <v>3233</v>
      </c>
      <c r="B20" s="2" t="s">
        <v>3353</v>
      </c>
      <c r="C20" s="2" t="s">
        <v>2165</v>
      </c>
      <c r="D20" s="2" t="s">
        <v>1153</v>
      </c>
      <c r="E20" s="54" t="s">
        <v>3362</v>
      </c>
      <c r="F20" s="54">
        <v>30</v>
      </c>
      <c r="G20" s="46">
        <v>41067</v>
      </c>
      <c r="H20" s="46">
        <f t="shared" si="5"/>
        <v>43161.416999999994</v>
      </c>
      <c r="I20" s="46">
        <f t="shared" si="7"/>
        <v>1294842.5099999998</v>
      </c>
      <c r="J20" s="2"/>
      <c r="K20" s="2"/>
      <c r="L20" s="2"/>
      <c r="M20" s="18">
        <f t="shared" si="6"/>
        <v>1294842.5099999998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f>H20*F20</f>
        <v>1294842.5099999998</v>
      </c>
      <c r="V20" s="18">
        <v>0</v>
      </c>
      <c r="W20" s="18">
        <v>0</v>
      </c>
      <c r="X20" s="18">
        <v>0</v>
      </c>
      <c r="Y20" s="18">
        <v>0</v>
      </c>
    </row>
    <row r="21" spans="1:25">
      <c r="A21" s="2" t="s">
        <v>3233</v>
      </c>
      <c r="B21" s="2" t="s">
        <v>3353</v>
      </c>
      <c r="C21" s="2" t="s">
        <v>2165</v>
      </c>
      <c r="D21" s="2" t="s">
        <v>3368</v>
      </c>
      <c r="E21" s="54" t="s">
        <v>3362</v>
      </c>
      <c r="F21" s="54">
        <v>3</v>
      </c>
      <c r="G21" s="46">
        <v>235620</v>
      </c>
      <c r="H21" s="46">
        <f t="shared" si="5"/>
        <v>247636.62</v>
      </c>
      <c r="I21" s="46">
        <f t="shared" si="7"/>
        <v>742909.86</v>
      </c>
      <c r="J21" s="2"/>
      <c r="K21" s="2"/>
      <c r="L21" s="2"/>
      <c r="M21" s="18">
        <f t="shared" si="6"/>
        <v>742909.86</v>
      </c>
      <c r="N21" s="18">
        <v>0</v>
      </c>
      <c r="O21" s="18">
        <f>H21*F21/2</f>
        <v>371454.93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f>O21</f>
        <v>371454.93</v>
      </c>
      <c r="V21" s="18">
        <v>0</v>
      </c>
      <c r="W21" s="18">
        <v>0</v>
      </c>
      <c r="X21" s="18">
        <v>0</v>
      </c>
      <c r="Y21" s="18">
        <v>0</v>
      </c>
    </row>
    <row r="22" spans="1:25" s="49" customFormat="1">
      <c r="A22" s="47" t="s">
        <v>3233</v>
      </c>
      <c r="B22" s="47" t="s">
        <v>3353</v>
      </c>
      <c r="C22" s="47" t="s">
        <v>3369</v>
      </c>
      <c r="D22" s="47"/>
      <c r="E22" s="56"/>
      <c r="F22" s="56"/>
      <c r="G22" s="48"/>
      <c r="H22" s="48"/>
      <c r="I22" s="48"/>
      <c r="J22" s="47"/>
      <c r="K22" s="47"/>
      <c r="L22" s="47"/>
      <c r="M22" s="19">
        <f t="shared" ref="M22:M31" si="8">SUM(N22:Y22)</f>
        <v>2100505408.3329296</v>
      </c>
      <c r="N22" s="19">
        <f>SUM(N23:N35)</f>
        <v>190992622.29521996</v>
      </c>
      <c r="O22" s="19">
        <f t="shared" ref="O22" si="9">SUM(O23:O35)</f>
        <v>173388873.50660998</v>
      </c>
      <c r="P22" s="19">
        <f t="shared" ref="P22" si="10">SUM(P23:P35)</f>
        <v>172931095.74260998</v>
      </c>
      <c r="Q22" s="19">
        <f t="shared" ref="Q22" si="11">SUM(Q23:Q35)</f>
        <v>172931095.74260998</v>
      </c>
      <c r="R22" s="19">
        <f t="shared" ref="R22" si="12">SUM(R23:R35)</f>
        <v>174642039.66260996</v>
      </c>
      <c r="S22" s="19">
        <f t="shared" ref="S22" si="13">SUM(S23:S35)</f>
        <v>172931095.74260998</v>
      </c>
      <c r="T22" s="19">
        <f t="shared" ref="T22" si="14">SUM(T23:T35)</f>
        <v>175626910.74260998</v>
      </c>
      <c r="U22" s="19">
        <f t="shared" ref="U22" si="15">SUM(U23:U35)</f>
        <v>173949971.92760998</v>
      </c>
      <c r="V22" s="19">
        <f t="shared" ref="V22" si="16">SUM(V23:V35)</f>
        <v>174318415.74260998</v>
      </c>
      <c r="W22" s="19">
        <f t="shared" ref="W22" si="17">SUM(W23:W35)</f>
        <v>172931095.74260998</v>
      </c>
      <c r="X22" s="19">
        <f t="shared" ref="X22" si="18">SUM(X23:X35)</f>
        <v>172931095.74260998</v>
      </c>
      <c r="Y22" s="19">
        <f t="shared" ref="Y22" si="19">SUM(Y23:Y35)</f>
        <v>172931095.74260998</v>
      </c>
    </row>
    <row r="23" spans="1:25">
      <c r="A23" s="2" t="s">
        <v>3233</v>
      </c>
      <c r="B23" s="2" t="s">
        <v>3353</v>
      </c>
      <c r="C23" s="2" t="s">
        <v>3369</v>
      </c>
      <c r="D23" s="2" t="s">
        <v>3354</v>
      </c>
      <c r="E23" s="54" t="s">
        <v>3355</v>
      </c>
      <c r="F23" s="54">
        <v>12</v>
      </c>
      <c r="G23" s="46">
        <v>126398293</v>
      </c>
      <c r="H23" s="46">
        <f>G23*(1+C$4)</f>
        <v>155469900.38999999</v>
      </c>
      <c r="I23" s="46">
        <f>H23*F23</f>
        <v>1865638804.6799998</v>
      </c>
      <c r="J23" s="2"/>
      <c r="K23" s="2"/>
      <c r="L23" s="2"/>
      <c r="M23" s="18">
        <f t="shared" si="8"/>
        <v>1865638804.6799994</v>
      </c>
      <c r="N23" s="18">
        <f>H23</f>
        <v>155469900.38999999</v>
      </c>
      <c r="O23" s="18">
        <f>+N23</f>
        <v>155469900.38999999</v>
      </c>
      <c r="P23" s="18">
        <f t="shared" ref="P23:Y23" si="20">+O23</f>
        <v>155469900.38999999</v>
      </c>
      <c r="Q23" s="18">
        <f t="shared" si="20"/>
        <v>155469900.38999999</v>
      </c>
      <c r="R23" s="18">
        <f t="shared" si="20"/>
        <v>155469900.38999999</v>
      </c>
      <c r="S23" s="18">
        <f t="shared" si="20"/>
        <v>155469900.38999999</v>
      </c>
      <c r="T23" s="18">
        <f t="shared" si="20"/>
        <v>155469900.38999999</v>
      </c>
      <c r="U23" s="18">
        <f t="shared" si="20"/>
        <v>155469900.38999999</v>
      </c>
      <c r="V23" s="18">
        <f t="shared" si="20"/>
        <v>155469900.38999999</v>
      </c>
      <c r="W23" s="18">
        <f t="shared" si="20"/>
        <v>155469900.38999999</v>
      </c>
      <c r="X23" s="18">
        <f t="shared" si="20"/>
        <v>155469900.38999999</v>
      </c>
      <c r="Y23" s="18">
        <f t="shared" si="20"/>
        <v>155469900.38999999</v>
      </c>
    </row>
    <row r="24" spans="1:25">
      <c r="A24" s="2" t="s">
        <v>3233</v>
      </c>
      <c r="B24" s="2" t="s">
        <v>3353</v>
      </c>
      <c r="C24" s="2" t="s">
        <v>3369</v>
      </c>
      <c r="D24" s="2" t="s">
        <v>3356</v>
      </c>
      <c r="E24" s="54" t="s">
        <v>3355</v>
      </c>
      <c r="F24" s="54">
        <v>0</v>
      </c>
      <c r="G24" s="46">
        <f>14076524/3</f>
        <v>4692174.666666667</v>
      </c>
      <c r="H24" s="46">
        <f>G24*(1+C$4)</f>
        <v>5771374.8399999999</v>
      </c>
      <c r="I24" s="46">
        <f>H24*F24</f>
        <v>0</v>
      </c>
      <c r="J24" s="2"/>
      <c r="K24" s="2"/>
      <c r="L24" s="2"/>
      <c r="M24" s="18">
        <f t="shared" si="8"/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f>W24</f>
        <v>0</v>
      </c>
      <c r="Y24" s="18">
        <f>X24</f>
        <v>0</v>
      </c>
    </row>
    <row r="25" spans="1:25">
      <c r="A25" s="2" t="s">
        <v>3233</v>
      </c>
      <c r="B25" s="2" t="s">
        <v>3353</v>
      </c>
      <c r="C25" s="2" t="s">
        <v>3369</v>
      </c>
      <c r="D25" s="2" t="s">
        <v>3370</v>
      </c>
      <c r="E25" s="54" t="s">
        <v>3355</v>
      </c>
      <c r="F25" s="54">
        <v>12</v>
      </c>
      <c r="G25" s="46">
        <f>69000*2</f>
        <v>138000</v>
      </c>
      <c r="H25" s="46">
        <f>G25*(1+C$3)</f>
        <v>145038</v>
      </c>
      <c r="I25" s="46">
        <f>H25*13</f>
        <v>1885494</v>
      </c>
      <c r="J25" s="2"/>
      <c r="K25" s="2"/>
      <c r="L25" s="2"/>
      <c r="M25" s="18">
        <f t="shared" si="8"/>
        <v>1885494</v>
      </c>
      <c r="N25" s="18">
        <f>H25*2</f>
        <v>290076</v>
      </c>
      <c r="O25" s="18">
        <f>H25</f>
        <v>145038</v>
      </c>
      <c r="P25" s="18">
        <f t="shared" ref="P25:Y25" si="21">+O25</f>
        <v>145038</v>
      </c>
      <c r="Q25" s="18">
        <f t="shared" si="21"/>
        <v>145038</v>
      </c>
      <c r="R25" s="18">
        <f t="shared" si="21"/>
        <v>145038</v>
      </c>
      <c r="S25" s="18">
        <f t="shared" si="21"/>
        <v>145038</v>
      </c>
      <c r="T25" s="18">
        <f t="shared" si="21"/>
        <v>145038</v>
      </c>
      <c r="U25" s="18">
        <f t="shared" si="21"/>
        <v>145038</v>
      </c>
      <c r="V25" s="18">
        <f t="shared" si="21"/>
        <v>145038</v>
      </c>
      <c r="W25" s="18">
        <f t="shared" si="21"/>
        <v>145038</v>
      </c>
      <c r="X25" s="18">
        <f t="shared" si="21"/>
        <v>145038</v>
      </c>
      <c r="Y25" s="18">
        <f t="shared" si="21"/>
        <v>145038</v>
      </c>
    </row>
    <row r="26" spans="1:25">
      <c r="A26" s="2" t="s">
        <v>3233</v>
      </c>
      <c r="B26" s="2" t="s">
        <v>3353</v>
      </c>
      <c r="C26" s="2" t="s">
        <v>3369</v>
      </c>
      <c r="D26" s="2" t="s">
        <v>3358</v>
      </c>
      <c r="E26" s="54" t="s">
        <v>3355</v>
      </c>
      <c r="F26" s="54">
        <v>12</v>
      </c>
      <c r="G26" s="46">
        <v>15601887.110000001</v>
      </c>
      <c r="H26" s="46">
        <f>G26*(1+C$3)</f>
        <v>16397583.352609999</v>
      </c>
      <c r="I26" s="46">
        <f>H26*13</f>
        <v>213168583.58392999</v>
      </c>
      <c r="J26" s="2"/>
      <c r="K26" s="2"/>
      <c r="L26" s="2"/>
      <c r="M26" s="18">
        <f t="shared" si="8"/>
        <v>213168583.58392993</v>
      </c>
      <c r="N26" s="18">
        <f>H26*2</f>
        <v>32795166.705219999</v>
      </c>
      <c r="O26" s="18">
        <f>H26</f>
        <v>16397583.352609999</v>
      </c>
      <c r="P26" s="18">
        <f t="shared" ref="P26:Y26" si="22">O26</f>
        <v>16397583.352609999</v>
      </c>
      <c r="Q26" s="18">
        <f t="shared" si="22"/>
        <v>16397583.352609999</v>
      </c>
      <c r="R26" s="18">
        <f t="shared" si="22"/>
        <v>16397583.352609999</v>
      </c>
      <c r="S26" s="18">
        <f t="shared" si="22"/>
        <v>16397583.352609999</v>
      </c>
      <c r="T26" s="18">
        <f t="shared" si="22"/>
        <v>16397583.352609999</v>
      </c>
      <c r="U26" s="18">
        <f t="shared" si="22"/>
        <v>16397583.352609999</v>
      </c>
      <c r="V26" s="18">
        <f t="shared" si="22"/>
        <v>16397583.352609999</v>
      </c>
      <c r="W26" s="18">
        <f t="shared" si="22"/>
        <v>16397583.352609999</v>
      </c>
      <c r="X26" s="18">
        <f t="shared" si="22"/>
        <v>16397583.352609999</v>
      </c>
      <c r="Y26" s="18">
        <f t="shared" si="22"/>
        <v>16397583.352609999</v>
      </c>
    </row>
    <row r="27" spans="1:25">
      <c r="A27" s="2" t="s">
        <v>3233</v>
      </c>
      <c r="B27" s="2" t="s">
        <v>3353</v>
      </c>
      <c r="C27" s="2" t="s">
        <v>3369</v>
      </c>
      <c r="D27" s="2" t="s">
        <v>3359</v>
      </c>
      <c r="E27" s="54" t="s">
        <v>3355</v>
      </c>
      <c r="F27" s="54">
        <v>0</v>
      </c>
      <c r="G27" s="46">
        <v>4171283</v>
      </c>
      <c r="H27" s="46">
        <f>G27*(1+C$4)</f>
        <v>5130678.09</v>
      </c>
      <c r="I27" s="46">
        <f>H27*F27</f>
        <v>0</v>
      </c>
      <c r="J27" s="2"/>
      <c r="K27" s="2"/>
      <c r="L27" s="2"/>
      <c r="M27" s="18">
        <f t="shared" si="8"/>
        <v>0</v>
      </c>
      <c r="N27" s="18">
        <v>0</v>
      </c>
      <c r="O27" s="18">
        <f>+N27</f>
        <v>0</v>
      </c>
      <c r="P27" s="18">
        <f t="shared" ref="P27:Y27" si="23">+O27</f>
        <v>0</v>
      </c>
      <c r="Q27" s="18">
        <f t="shared" si="23"/>
        <v>0</v>
      </c>
      <c r="R27" s="18">
        <f t="shared" si="23"/>
        <v>0</v>
      </c>
      <c r="S27" s="18">
        <f t="shared" si="23"/>
        <v>0</v>
      </c>
      <c r="T27" s="18">
        <f t="shared" si="23"/>
        <v>0</v>
      </c>
      <c r="U27" s="18">
        <f t="shared" si="23"/>
        <v>0</v>
      </c>
      <c r="V27" s="18">
        <f t="shared" si="23"/>
        <v>0</v>
      </c>
      <c r="W27" s="18">
        <f t="shared" si="23"/>
        <v>0</v>
      </c>
      <c r="X27" s="18">
        <f t="shared" si="23"/>
        <v>0</v>
      </c>
      <c r="Y27" s="18">
        <f t="shared" si="23"/>
        <v>0</v>
      </c>
    </row>
    <row r="28" spans="1:25">
      <c r="A28" s="2" t="s">
        <v>3233</v>
      </c>
      <c r="B28" s="2" t="s">
        <v>3353</v>
      </c>
      <c r="C28" s="2" t="s">
        <v>3369</v>
      </c>
      <c r="D28" s="2" t="s">
        <v>3360</v>
      </c>
      <c r="E28" s="54" t="s">
        <v>3355</v>
      </c>
      <c r="F28" s="54">
        <v>12</v>
      </c>
      <c r="G28" s="46">
        <f>23*38000</f>
        <v>874000</v>
      </c>
      <c r="H28" s="46">
        <f>G28*(1+C$3)</f>
        <v>918574</v>
      </c>
      <c r="I28" s="46">
        <f>H28*13</f>
        <v>11941462</v>
      </c>
      <c r="J28" s="2"/>
      <c r="K28" s="2"/>
      <c r="L28" s="2"/>
      <c r="M28" s="18">
        <f t="shared" si="8"/>
        <v>11941462</v>
      </c>
      <c r="N28" s="18">
        <f>H28*2</f>
        <v>1837148</v>
      </c>
      <c r="O28" s="18">
        <f>H28</f>
        <v>918574</v>
      </c>
      <c r="P28" s="18">
        <f t="shared" ref="P28:Y28" si="24">+O28</f>
        <v>918574</v>
      </c>
      <c r="Q28" s="18">
        <f t="shared" si="24"/>
        <v>918574</v>
      </c>
      <c r="R28" s="18">
        <f t="shared" si="24"/>
        <v>918574</v>
      </c>
      <c r="S28" s="18">
        <f t="shared" si="24"/>
        <v>918574</v>
      </c>
      <c r="T28" s="18">
        <f t="shared" si="24"/>
        <v>918574</v>
      </c>
      <c r="U28" s="18">
        <f t="shared" si="24"/>
        <v>918574</v>
      </c>
      <c r="V28" s="18">
        <f t="shared" si="24"/>
        <v>918574</v>
      </c>
      <c r="W28" s="18">
        <f t="shared" si="24"/>
        <v>918574</v>
      </c>
      <c r="X28" s="18">
        <f t="shared" si="24"/>
        <v>918574</v>
      </c>
      <c r="Y28" s="18">
        <f t="shared" si="24"/>
        <v>918574</v>
      </c>
    </row>
    <row r="29" spans="1:25">
      <c r="A29" s="2" t="s">
        <v>3233</v>
      </c>
      <c r="B29" s="2" t="s">
        <v>3353</v>
      </c>
      <c r="C29" s="2" t="s">
        <v>3369</v>
      </c>
      <c r="D29" s="2" t="s">
        <v>3361</v>
      </c>
      <c r="E29" s="54" t="s">
        <v>3362</v>
      </c>
      <c r="F29" s="54">
        <v>2</v>
      </c>
      <c r="G29" s="46">
        <v>285600</v>
      </c>
      <c r="H29" s="46">
        <f>G29*(1+C$3)</f>
        <v>300165.59999999998</v>
      </c>
      <c r="I29" s="46">
        <f>H29*F29</f>
        <v>600331.19999999995</v>
      </c>
      <c r="J29" s="2"/>
      <c r="K29" s="2"/>
      <c r="L29" s="2"/>
      <c r="M29" s="18">
        <f t="shared" si="8"/>
        <v>600331.19999999995</v>
      </c>
      <c r="N29" s="18">
        <f>H29*2</f>
        <v>600331.19999999995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</row>
    <row r="30" spans="1:25">
      <c r="A30" s="2" t="s">
        <v>3233</v>
      </c>
      <c r="B30" s="2" t="s">
        <v>3353</v>
      </c>
      <c r="C30" s="2" t="s">
        <v>3369</v>
      </c>
      <c r="D30" s="2" t="s">
        <v>3363</v>
      </c>
      <c r="E30" s="54" t="s">
        <v>3362</v>
      </c>
      <c r="F30" s="57">
        <v>15000</v>
      </c>
      <c r="G30" s="46">
        <f>171</f>
        <v>171</v>
      </c>
      <c r="H30" s="46">
        <f>G30*(1+C$3)</f>
        <v>179.72099999999998</v>
      </c>
      <c r="I30" s="46">
        <f>+H30*F30</f>
        <v>2695814.9999999995</v>
      </c>
      <c r="J30" s="2"/>
      <c r="K30" s="2"/>
      <c r="L30" s="2"/>
      <c r="M30" s="18">
        <f t="shared" si="8"/>
        <v>2695814.9999999995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f>+H30*F30</f>
        <v>2695814.9999999995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</row>
    <row r="31" spans="1:25">
      <c r="A31" s="2" t="s">
        <v>3233</v>
      </c>
      <c r="B31" s="2" t="s">
        <v>3353</v>
      </c>
      <c r="C31" s="2" t="s">
        <v>3369</v>
      </c>
      <c r="D31" s="2" t="s">
        <v>3364</v>
      </c>
      <c r="E31" s="54" t="s">
        <v>3365</v>
      </c>
      <c r="F31" s="54">
        <v>4</v>
      </c>
      <c r="G31" s="46">
        <v>406980</v>
      </c>
      <c r="H31" s="46">
        <f>G31*(1+C$3)</f>
        <v>427735.98</v>
      </c>
      <c r="I31" s="46">
        <f>+H31*F31</f>
        <v>1710943.92</v>
      </c>
      <c r="J31" s="2"/>
      <c r="K31" s="2"/>
      <c r="L31" s="2"/>
      <c r="M31" s="18">
        <f t="shared" si="8"/>
        <v>1710943.92</v>
      </c>
      <c r="N31" s="18">
        <v>0</v>
      </c>
      <c r="O31" s="18">
        <v>0</v>
      </c>
      <c r="P31" s="18">
        <v>0</v>
      </c>
      <c r="Q31" s="18">
        <v>0</v>
      </c>
      <c r="R31" s="18">
        <f>H31*F31</f>
        <v>1710943.92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</row>
    <row r="32" spans="1:25">
      <c r="A32" s="2" t="s">
        <v>3233</v>
      </c>
      <c r="B32" s="2" t="s">
        <v>3353</v>
      </c>
      <c r="C32" s="2" t="s">
        <v>3369</v>
      </c>
      <c r="D32" s="2" t="s">
        <v>3366</v>
      </c>
      <c r="E32" s="54" t="s">
        <v>3362</v>
      </c>
      <c r="F32" s="54">
        <v>15</v>
      </c>
      <c r="G32" s="46">
        <v>88000</v>
      </c>
      <c r="H32" s="46">
        <f t="shared" ref="H32:H35" si="25">G32*(1+C$3)</f>
        <v>92488</v>
      </c>
      <c r="I32" s="46">
        <f>+H32*F32</f>
        <v>1387320</v>
      </c>
      <c r="J32" s="2"/>
      <c r="K32" s="2"/>
      <c r="L32" s="2"/>
      <c r="M32" s="18">
        <f t="shared" ref="M32:M37" si="26">SUM(N32:Y32)</f>
        <v>1387320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f>H32*F32</f>
        <v>1387320</v>
      </c>
      <c r="W32" s="18">
        <v>0</v>
      </c>
      <c r="X32" s="18">
        <v>0</v>
      </c>
      <c r="Y32" s="18">
        <v>0</v>
      </c>
    </row>
    <row r="33" spans="1:26">
      <c r="A33" s="2" t="s">
        <v>3233</v>
      </c>
      <c r="B33" s="2" t="s">
        <v>3353</v>
      </c>
      <c r="C33" s="2" t="s">
        <v>3369</v>
      </c>
      <c r="D33" s="2" t="s">
        <v>3367</v>
      </c>
      <c r="E33" s="54" t="s">
        <v>3362</v>
      </c>
      <c r="F33" s="54">
        <v>2</v>
      </c>
      <c r="G33" s="46">
        <v>41067</v>
      </c>
      <c r="H33" s="46">
        <f t="shared" si="25"/>
        <v>43161.416999999994</v>
      </c>
      <c r="I33" s="46">
        <f t="shared" ref="I33:I35" si="27">+H33*F33</f>
        <v>86322.833999999988</v>
      </c>
      <c r="J33" s="2"/>
      <c r="K33" s="2"/>
      <c r="L33" s="2"/>
      <c r="M33" s="18">
        <f t="shared" si="26"/>
        <v>86322.833999999988</v>
      </c>
      <c r="N33" s="18">
        <v>0</v>
      </c>
      <c r="O33" s="18">
        <f>H33*F33</f>
        <v>86322.833999999988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</row>
    <row r="34" spans="1:26">
      <c r="A34" s="2" t="s">
        <v>3233</v>
      </c>
      <c r="B34" s="2" t="s">
        <v>3353</v>
      </c>
      <c r="C34" s="2" t="s">
        <v>3369</v>
      </c>
      <c r="D34" s="2" t="s">
        <v>1153</v>
      </c>
      <c r="E34" s="54" t="s">
        <v>3362</v>
      </c>
      <c r="F34" s="54">
        <v>15</v>
      </c>
      <c r="G34" s="46">
        <v>41067</v>
      </c>
      <c r="H34" s="46">
        <f t="shared" si="25"/>
        <v>43161.416999999994</v>
      </c>
      <c r="I34" s="46">
        <f t="shared" si="27"/>
        <v>647421.25499999989</v>
      </c>
      <c r="J34" s="2"/>
      <c r="K34" s="2"/>
      <c r="L34" s="2"/>
      <c r="M34" s="18">
        <f t="shared" si="26"/>
        <v>647421.25499999989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f>H34*F34</f>
        <v>647421.25499999989</v>
      </c>
      <c r="V34" s="18">
        <v>0</v>
      </c>
      <c r="W34" s="18">
        <v>0</v>
      </c>
      <c r="X34" s="18">
        <v>0</v>
      </c>
      <c r="Y34" s="18">
        <v>0</v>
      </c>
    </row>
    <row r="35" spans="1:26">
      <c r="A35" s="2" t="s">
        <v>3233</v>
      </c>
      <c r="B35" s="2" t="s">
        <v>3353</v>
      </c>
      <c r="C35" s="2" t="s">
        <v>3369</v>
      </c>
      <c r="D35" s="2" t="s">
        <v>3368</v>
      </c>
      <c r="E35" s="54" t="s">
        <v>3362</v>
      </c>
      <c r="F35" s="54">
        <v>3</v>
      </c>
      <c r="G35" s="46">
        <v>235620</v>
      </c>
      <c r="H35" s="46">
        <f t="shared" si="25"/>
        <v>247636.62</v>
      </c>
      <c r="I35" s="46">
        <f t="shared" si="27"/>
        <v>742909.86</v>
      </c>
      <c r="J35" s="2"/>
      <c r="K35" s="2"/>
      <c r="L35" s="2"/>
      <c r="M35" s="18">
        <f t="shared" si="26"/>
        <v>742909.86</v>
      </c>
      <c r="N35" s="18">
        <v>0</v>
      </c>
      <c r="O35" s="18">
        <f>H35*F35/2</f>
        <v>371454.93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f>O35</f>
        <v>371454.93</v>
      </c>
      <c r="V35" s="18">
        <v>0</v>
      </c>
      <c r="W35" s="18">
        <v>0</v>
      </c>
      <c r="X35" s="18">
        <v>0</v>
      </c>
      <c r="Y35" s="18">
        <v>0</v>
      </c>
    </row>
    <row r="36" spans="1:26" s="49" customFormat="1">
      <c r="A36" s="47" t="s">
        <v>3233</v>
      </c>
      <c r="B36" s="47" t="s">
        <v>3371</v>
      </c>
      <c r="C36" s="47" t="s">
        <v>3372</v>
      </c>
      <c r="D36" s="47"/>
      <c r="E36" s="56"/>
      <c r="F36" s="56"/>
      <c r="G36" s="48"/>
      <c r="H36" s="48"/>
      <c r="I36" s="48"/>
      <c r="J36" s="47"/>
      <c r="K36" s="47"/>
      <c r="L36" s="47"/>
      <c r="M36" s="19">
        <f t="shared" ref="M36:Y36" si="28">SUM(M37:M46)</f>
        <v>75327505.322000012</v>
      </c>
      <c r="N36" s="19">
        <f t="shared" si="28"/>
        <v>0</v>
      </c>
      <c r="O36" s="19">
        <f t="shared" si="28"/>
        <v>500939.18099999998</v>
      </c>
      <c r="P36" s="19">
        <f t="shared" si="28"/>
        <v>27769036.438000001</v>
      </c>
      <c r="Q36" s="19">
        <f t="shared" si="28"/>
        <v>0</v>
      </c>
      <c r="R36" s="19">
        <f t="shared" si="28"/>
        <v>13783801.939999999</v>
      </c>
      <c r="S36" s="19">
        <f t="shared" si="28"/>
        <v>0</v>
      </c>
      <c r="T36" s="19">
        <f t="shared" si="28"/>
        <v>0</v>
      </c>
      <c r="U36" s="19">
        <f t="shared" si="28"/>
        <v>1666297.4399999997</v>
      </c>
      <c r="V36" s="19">
        <f t="shared" si="28"/>
        <v>2774640</v>
      </c>
      <c r="W36" s="19">
        <f t="shared" si="28"/>
        <v>14714600.120999999</v>
      </c>
      <c r="X36" s="19">
        <f t="shared" si="28"/>
        <v>14118190.202</v>
      </c>
      <c r="Y36" s="19">
        <f t="shared" si="28"/>
        <v>0</v>
      </c>
    </row>
    <row r="37" spans="1:26">
      <c r="A37" s="2" t="s">
        <v>3233</v>
      </c>
      <c r="B37" s="2" t="s">
        <v>3371</v>
      </c>
      <c r="C37" s="2" t="s">
        <v>3372</v>
      </c>
      <c r="D37" s="2" t="s">
        <v>3373</v>
      </c>
      <c r="E37" s="54" t="s">
        <v>3362</v>
      </c>
      <c r="F37" s="54">
        <v>1</v>
      </c>
      <c r="G37" s="46">
        <v>14000571</v>
      </c>
      <c r="H37" s="46">
        <f t="shared" ref="H37:H42" si="29">G37*(1+C$3)</f>
        <v>14714600.120999999</v>
      </c>
      <c r="I37" s="46">
        <f>H37*F37</f>
        <v>14714600.120999999</v>
      </c>
      <c r="J37" s="2"/>
      <c r="K37" s="2"/>
      <c r="L37" s="2"/>
      <c r="M37" s="18">
        <f t="shared" si="26"/>
        <v>14714600.120999999</v>
      </c>
      <c r="N37" s="18">
        <v>0</v>
      </c>
      <c r="O37" s="18">
        <f>+N37</f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f>I37</f>
        <v>14714600.120999999</v>
      </c>
      <c r="X37" s="18">
        <v>0</v>
      </c>
      <c r="Y37" s="18">
        <v>0</v>
      </c>
    </row>
    <row r="38" spans="1:26">
      <c r="A38" s="2" t="s">
        <v>3233</v>
      </c>
      <c r="B38" s="2" t="s">
        <v>3371</v>
      </c>
      <c r="C38" s="2" t="s">
        <v>3372</v>
      </c>
      <c r="D38" s="2" t="s">
        <v>3374</v>
      </c>
      <c r="E38" s="54" t="s">
        <v>3362</v>
      </c>
      <c r="F38" s="54">
        <v>1</v>
      </c>
      <c r="G38" s="46">
        <v>13433102</v>
      </c>
      <c r="H38" s="46">
        <f t="shared" si="29"/>
        <v>14118190.202</v>
      </c>
      <c r="I38" s="46">
        <f>H38*F38</f>
        <v>14118190.202</v>
      </c>
      <c r="J38" s="2"/>
      <c r="K38" s="2"/>
      <c r="L38" s="2"/>
      <c r="M38" s="18">
        <f>SUM(N38:Y38)</f>
        <v>14118190.202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f>I38</f>
        <v>14118190.202</v>
      </c>
      <c r="Y38" s="18">
        <v>0</v>
      </c>
    </row>
    <row r="39" spans="1:26">
      <c r="A39" s="2" t="s">
        <v>3233</v>
      </c>
      <c r="B39" s="2" t="s">
        <v>3371</v>
      </c>
      <c r="C39" s="2" t="s">
        <v>3372</v>
      </c>
      <c r="D39" s="2" t="s">
        <v>3375</v>
      </c>
      <c r="E39" s="54" t="s">
        <v>3362</v>
      </c>
      <c r="F39" s="54">
        <v>1</v>
      </c>
      <c r="G39" s="46">
        <v>11894000</v>
      </c>
      <c r="H39" s="46">
        <f t="shared" si="29"/>
        <v>12500594</v>
      </c>
      <c r="I39" s="46">
        <f>H39*F39</f>
        <v>12500594</v>
      </c>
      <c r="J39" s="2"/>
      <c r="K39" s="2"/>
      <c r="L39" s="2"/>
      <c r="M39" s="18">
        <f>SUM(N39:Y39)</f>
        <v>12500594</v>
      </c>
      <c r="N39" s="18">
        <v>0</v>
      </c>
      <c r="O39" s="18">
        <v>0</v>
      </c>
      <c r="P39" s="18">
        <v>0</v>
      </c>
      <c r="Q39" s="18">
        <v>0</v>
      </c>
      <c r="R39" s="18">
        <f>I39</f>
        <v>12500594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</row>
    <row r="40" spans="1:26">
      <c r="A40" s="2" t="s">
        <v>3233</v>
      </c>
      <c r="B40" s="2" t="s">
        <v>3371</v>
      </c>
      <c r="C40" s="2" t="s">
        <v>3372</v>
      </c>
      <c r="D40" s="2" t="s">
        <v>3376</v>
      </c>
      <c r="E40" s="54" t="s">
        <v>3362</v>
      </c>
      <c r="F40" s="54">
        <v>1</v>
      </c>
      <c r="G40" s="46">
        <v>2921538</v>
      </c>
      <c r="H40" s="46">
        <f t="shared" si="29"/>
        <v>3070536.4379999996</v>
      </c>
      <c r="I40" s="46">
        <f>H40*F40</f>
        <v>3070536.4379999996</v>
      </c>
      <c r="J40" s="2"/>
      <c r="K40" s="2"/>
      <c r="L40" s="2"/>
      <c r="M40" s="18">
        <f>SUM(N40:Y40)</f>
        <v>3070536.4379999996</v>
      </c>
      <c r="N40" s="18">
        <v>0</v>
      </c>
      <c r="O40" s="18">
        <v>0</v>
      </c>
      <c r="P40" s="18">
        <f>H40</f>
        <v>3070536.4379999996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</row>
    <row r="41" spans="1:26">
      <c r="A41" s="2" t="s">
        <v>3233</v>
      </c>
      <c r="B41" s="2" t="s">
        <v>3371</v>
      </c>
      <c r="C41" s="2" t="s">
        <v>3372</v>
      </c>
      <c r="D41" s="2" t="s">
        <v>3377</v>
      </c>
      <c r="E41" s="54" t="s">
        <v>3362</v>
      </c>
      <c r="F41" s="54">
        <v>1</v>
      </c>
      <c r="G41" s="46">
        <v>23500000</v>
      </c>
      <c r="H41" s="46">
        <f t="shared" si="29"/>
        <v>24698500</v>
      </c>
      <c r="I41" s="46">
        <f>H41*F41</f>
        <v>24698500</v>
      </c>
      <c r="J41" s="2"/>
      <c r="K41" s="2"/>
      <c r="L41" s="2"/>
      <c r="M41" s="18">
        <f>SUM(N41:Y41)</f>
        <v>24698500</v>
      </c>
      <c r="N41" s="18">
        <v>0</v>
      </c>
      <c r="O41" s="18">
        <f>+N41</f>
        <v>0</v>
      </c>
      <c r="P41" s="18">
        <f>H41</f>
        <v>24698500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50"/>
    </row>
    <row r="42" spans="1:26">
      <c r="A42" s="2" t="s">
        <v>3233</v>
      </c>
      <c r="B42" s="2" t="s">
        <v>3371</v>
      </c>
      <c r="C42" s="2" t="s">
        <v>3372</v>
      </c>
      <c r="D42" s="2" t="s">
        <v>3364</v>
      </c>
      <c r="E42" s="54" t="s">
        <v>3365</v>
      </c>
      <c r="F42" s="54">
        <v>3</v>
      </c>
      <c r="G42" s="46">
        <v>406980</v>
      </c>
      <c r="H42" s="46">
        <f t="shared" si="29"/>
        <v>427735.98</v>
      </c>
      <c r="I42" s="46">
        <f>+H42*F42</f>
        <v>1283207.94</v>
      </c>
      <c r="J42" s="2"/>
      <c r="K42" s="2"/>
      <c r="L42" s="2"/>
      <c r="M42" s="18">
        <f>SUM(N42:Y42)</f>
        <v>1283207.94</v>
      </c>
      <c r="N42" s="18">
        <v>0</v>
      </c>
      <c r="O42" s="18">
        <v>0</v>
      </c>
      <c r="P42" s="18">
        <v>0</v>
      </c>
      <c r="Q42" s="18">
        <v>0</v>
      </c>
      <c r="R42" s="18">
        <f>H42*F42</f>
        <v>1283207.94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</row>
    <row r="43" spans="1:26">
      <c r="A43" s="2" t="s">
        <v>3233</v>
      </c>
      <c r="B43" s="2" t="s">
        <v>3371</v>
      </c>
      <c r="C43" s="2" t="s">
        <v>3372</v>
      </c>
      <c r="D43" s="2" t="s">
        <v>3366</v>
      </c>
      <c r="E43" s="54" t="s">
        <v>3362</v>
      </c>
      <c r="F43" s="54">
        <v>30</v>
      </c>
      <c r="G43" s="46">
        <v>88000</v>
      </c>
      <c r="H43" s="46">
        <f t="shared" ref="H43:H46" si="30">G43*(1+C$3)</f>
        <v>92488</v>
      </c>
      <c r="I43" s="46">
        <f>+H43*F43</f>
        <v>2774640</v>
      </c>
      <c r="J43" s="2"/>
      <c r="K43" s="2"/>
      <c r="L43" s="2"/>
      <c r="M43" s="18">
        <f t="shared" ref="M43:M46" si="31">SUM(N43:Y43)</f>
        <v>2774640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f>H43*F43</f>
        <v>2774640</v>
      </c>
      <c r="W43" s="18">
        <v>0</v>
      </c>
      <c r="X43" s="18">
        <v>0</v>
      </c>
      <c r="Y43" s="18">
        <v>0</v>
      </c>
    </row>
    <row r="44" spans="1:26">
      <c r="A44" s="2" t="s">
        <v>3233</v>
      </c>
      <c r="B44" s="2" t="s">
        <v>3371</v>
      </c>
      <c r="C44" s="2" t="s">
        <v>3372</v>
      </c>
      <c r="D44" s="2" t="s">
        <v>3367</v>
      </c>
      <c r="E44" s="54" t="s">
        <v>3362</v>
      </c>
      <c r="F44" s="54">
        <v>3</v>
      </c>
      <c r="G44" s="46">
        <v>41067</v>
      </c>
      <c r="H44" s="46">
        <f t="shared" si="30"/>
        <v>43161.416999999994</v>
      </c>
      <c r="I44" s="46">
        <f t="shared" ref="I44:I46" si="32">+H44*F44</f>
        <v>129484.25099999999</v>
      </c>
      <c r="J44" s="2"/>
      <c r="K44" s="2"/>
      <c r="L44" s="2"/>
      <c r="M44" s="18">
        <f t="shared" si="31"/>
        <v>129484.25099999999</v>
      </c>
      <c r="N44" s="18">
        <v>0</v>
      </c>
      <c r="O44" s="18">
        <f>H44*F44</f>
        <v>129484.25099999999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</row>
    <row r="45" spans="1:26">
      <c r="A45" s="2" t="s">
        <v>3233</v>
      </c>
      <c r="B45" s="2" t="s">
        <v>3371</v>
      </c>
      <c r="C45" s="2" t="s">
        <v>3372</v>
      </c>
      <c r="D45" s="2" t="s">
        <v>1153</v>
      </c>
      <c r="E45" s="54" t="s">
        <v>3362</v>
      </c>
      <c r="F45" s="54">
        <v>30</v>
      </c>
      <c r="G45" s="46">
        <v>41067</v>
      </c>
      <c r="H45" s="46">
        <f t="shared" si="30"/>
        <v>43161.416999999994</v>
      </c>
      <c r="I45" s="46">
        <f t="shared" si="32"/>
        <v>1294842.5099999998</v>
      </c>
      <c r="J45" s="2"/>
      <c r="K45" s="2"/>
      <c r="L45" s="2"/>
      <c r="M45" s="18">
        <f t="shared" si="31"/>
        <v>1294842.5099999998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f>H45*F45</f>
        <v>1294842.5099999998</v>
      </c>
      <c r="V45" s="18">
        <v>0</v>
      </c>
      <c r="W45" s="18">
        <v>0</v>
      </c>
      <c r="X45" s="18">
        <v>0</v>
      </c>
      <c r="Y45" s="18">
        <v>0</v>
      </c>
    </row>
    <row r="46" spans="1:26">
      <c r="A46" s="2" t="s">
        <v>3233</v>
      </c>
      <c r="B46" s="2" t="s">
        <v>3371</v>
      </c>
      <c r="C46" s="2" t="s">
        <v>3372</v>
      </c>
      <c r="D46" s="2" t="s">
        <v>3368</v>
      </c>
      <c r="E46" s="54" t="s">
        <v>3362</v>
      </c>
      <c r="F46" s="54">
        <v>3</v>
      </c>
      <c r="G46" s="46">
        <v>235620</v>
      </c>
      <c r="H46" s="46">
        <f t="shared" si="30"/>
        <v>247636.62</v>
      </c>
      <c r="I46" s="46">
        <f t="shared" si="32"/>
        <v>742909.86</v>
      </c>
      <c r="J46" s="2"/>
      <c r="K46" s="2"/>
      <c r="L46" s="2"/>
      <c r="M46" s="18">
        <f t="shared" si="31"/>
        <v>742909.86</v>
      </c>
      <c r="N46" s="18">
        <v>0</v>
      </c>
      <c r="O46" s="18">
        <f>H46*F46/2</f>
        <v>371454.93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f>O46</f>
        <v>371454.93</v>
      </c>
      <c r="V46" s="18">
        <v>0</v>
      </c>
      <c r="W46" s="18">
        <v>0</v>
      </c>
      <c r="X46" s="18">
        <v>0</v>
      </c>
      <c r="Y46" s="18">
        <v>0</v>
      </c>
    </row>
    <row r="47" spans="1:26" s="49" customFormat="1">
      <c r="A47" s="47" t="s">
        <v>3233</v>
      </c>
      <c r="B47" s="47" t="s">
        <v>3371</v>
      </c>
      <c r="C47" s="47" t="s">
        <v>3378</v>
      </c>
      <c r="D47" s="47"/>
      <c r="E47" s="56"/>
      <c r="F47" s="56"/>
      <c r="G47" s="48"/>
      <c r="H47" s="48"/>
      <c r="I47" s="48"/>
      <c r="J47" s="47"/>
      <c r="K47" s="47"/>
      <c r="L47" s="47"/>
      <c r="M47" s="19">
        <f t="shared" ref="M47:Y47" si="33">SUM(M48:M57)</f>
        <v>62826911.321999997</v>
      </c>
      <c r="N47" s="19">
        <f t="shared" si="33"/>
        <v>0</v>
      </c>
      <c r="O47" s="19">
        <f t="shared" si="33"/>
        <v>500939.18099999998</v>
      </c>
      <c r="P47" s="19">
        <f t="shared" si="33"/>
        <v>27769036.438000001</v>
      </c>
      <c r="Q47" s="19">
        <f t="shared" si="33"/>
        <v>0</v>
      </c>
      <c r="R47" s="19">
        <f t="shared" si="33"/>
        <v>1283207.94</v>
      </c>
      <c r="S47" s="19">
        <f t="shared" si="33"/>
        <v>0</v>
      </c>
      <c r="T47" s="19">
        <f t="shared" si="33"/>
        <v>0</v>
      </c>
      <c r="U47" s="19">
        <f t="shared" si="33"/>
        <v>1666297.4399999997</v>
      </c>
      <c r="V47" s="19">
        <f t="shared" si="33"/>
        <v>2774640</v>
      </c>
      <c r="W47" s="19">
        <f t="shared" si="33"/>
        <v>14714600.120999999</v>
      </c>
      <c r="X47" s="19">
        <f t="shared" si="33"/>
        <v>14118190.202</v>
      </c>
      <c r="Y47" s="19">
        <f t="shared" si="33"/>
        <v>0</v>
      </c>
    </row>
    <row r="48" spans="1:26">
      <c r="A48" s="2" t="s">
        <v>3233</v>
      </c>
      <c r="B48" s="2" t="s">
        <v>3371</v>
      </c>
      <c r="C48" s="2" t="s">
        <v>3378</v>
      </c>
      <c r="D48" s="2" t="s">
        <v>3373</v>
      </c>
      <c r="E48" s="54" t="s">
        <v>3362</v>
      </c>
      <c r="F48" s="54">
        <v>1</v>
      </c>
      <c r="G48" s="46">
        <v>14000571</v>
      </c>
      <c r="H48" s="46">
        <f t="shared" ref="H48:H53" si="34">G48*(1+C$3)</f>
        <v>14714600.120999999</v>
      </c>
      <c r="I48" s="46">
        <f>H48*F48</f>
        <v>14714600.120999999</v>
      </c>
      <c r="J48" s="2"/>
      <c r="K48" s="2"/>
      <c r="L48" s="2"/>
      <c r="M48" s="18">
        <f t="shared" ref="M48" si="35">SUM(N48:Y48)</f>
        <v>14714600.120999999</v>
      </c>
      <c r="N48" s="18">
        <v>0</v>
      </c>
      <c r="O48" s="18">
        <f>+N48</f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f>I48</f>
        <v>14714600.120999999</v>
      </c>
      <c r="X48" s="18">
        <v>0</v>
      </c>
      <c r="Y48" s="18">
        <v>0</v>
      </c>
    </row>
    <row r="49" spans="1:26">
      <c r="A49" s="2" t="s">
        <v>3233</v>
      </c>
      <c r="B49" s="2" t="s">
        <v>3371</v>
      </c>
      <c r="C49" s="2" t="s">
        <v>3378</v>
      </c>
      <c r="D49" s="2" t="s">
        <v>3374</v>
      </c>
      <c r="E49" s="54" t="s">
        <v>3362</v>
      </c>
      <c r="F49" s="54">
        <v>1</v>
      </c>
      <c r="G49" s="46">
        <v>13433102</v>
      </c>
      <c r="H49" s="46">
        <f t="shared" si="34"/>
        <v>14118190.202</v>
      </c>
      <c r="I49" s="46">
        <f>H49*F49</f>
        <v>14118190.202</v>
      </c>
      <c r="J49" s="2"/>
      <c r="K49" s="2"/>
      <c r="L49" s="2"/>
      <c r="M49" s="18">
        <f>SUM(N49:Y49)</f>
        <v>14118190.202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f>I49</f>
        <v>14118190.202</v>
      </c>
      <c r="Y49" s="18">
        <v>0</v>
      </c>
    </row>
    <row r="50" spans="1:26">
      <c r="A50" s="2" t="s">
        <v>3233</v>
      </c>
      <c r="B50" s="2" t="s">
        <v>3371</v>
      </c>
      <c r="C50" s="2" t="s">
        <v>3378</v>
      </c>
      <c r="D50" s="2" t="s">
        <v>3379</v>
      </c>
      <c r="E50" s="54" t="s">
        <v>3362</v>
      </c>
      <c r="F50" s="54">
        <v>0</v>
      </c>
      <c r="G50" s="46">
        <v>11894000</v>
      </c>
      <c r="H50" s="46">
        <f t="shared" si="34"/>
        <v>12500594</v>
      </c>
      <c r="I50" s="46">
        <f>H50*F50</f>
        <v>0</v>
      </c>
      <c r="J50" s="2"/>
      <c r="K50" s="2"/>
      <c r="L50" s="2"/>
      <c r="M50" s="18">
        <f>SUM(N50:Y50)</f>
        <v>0</v>
      </c>
      <c r="N50" s="18">
        <v>0</v>
      </c>
      <c r="O50" s="18">
        <v>0</v>
      </c>
      <c r="P50" s="18">
        <v>0</v>
      </c>
      <c r="Q50" s="18">
        <v>0</v>
      </c>
      <c r="R50" s="18">
        <f>I50</f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</row>
    <row r="51" spans="1:26">
      <c r="A51" s="2" t="s">
        <v>3233</v>
      </c>
      <c r="B51" s="2" t="s">
        <v>3371</v>
      </c>
      <c r="C51" s="2" t="s">
        <v>3378</v>
      </c>
      <c r="D51" s="2" t="s">
        <v>3376</v>
      </c>
      <c r="E51" s="54" t="s">
        <v>3362</v>
      </c>
      <c r="F51" s="54">
        <v>1</v>
      </c>
      <c r="G51" s="46">
        <v>2921538</v>
      </c>
      <c r="H51" s="46">
        <f t="shared" si="34"/>
        <v>3070536.4379999996</v>
      </c>
      <c r="I51" s="46">
        <f>H51*F51</f>
        <v>3070536.4379999996</v>
      </c>
      <c r="J51" s="2"/>
      <c r="K51" s="2"/>
      <c r="L51" s="2"/>
      <c r="M51" s="18">
        <f>SUM(N51:Y51)</f>
        <v>3070536.4379999996</v>
      </c>
      <c r="N51" s="18">
        <v>0</v>
      </c>
      <c r="O51" s="18">
        <v>0</v>
      </c>
      <c r="P51" s="18">
        <f>H51</f>
        <v>3070536.4379999996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</row>
    <row r="52" spans="1:26">
      <c r="A52" s="2" t="s">
        <v>3233</v>
      </c>
      <c r="B52" s="2" t="s">
        <v>3371</v>
      </c>
      <c r="C52" s="2" t="s">
        <v>3378</v>
      </c>
      <c r="D52" s="2" t="s">
        <v>3377</v>
      </c>
      <c r="E52" s="54" t="s">
        <v>3362</v>
      </c>
      <c r="F52" s="54">
        <v>1</v>
      </c>
      <c r="G52" s="46">
        <v>23500000</v>
      </c>
      <c r="H52" s="46">
        <f t="shared" si="34"/>
        <v>24698500</v>
      </c>
      <c r="I52" s="46">
        <f>H52*F52</f>
        <v>24698500</v>
      </c>
      <c r="J52" s="2"/>
      <c r="K52" s="2"/>
      <c r="L52" s="2"/>
      <c r="M52" s="18">
        <f>SUM(N52:Y52)</f>
        <v>24698500</v>
      </c>
      <c r="N52" s="18">
        <v>0</v>
      </c>
      <c r="O52" s="18">
        <f>+N52</f>
        <v>0</v>
      </c>
      <c r="P52" s="18">
        <f>H52</f>
        <v>24698500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50"/>
    </row>
    <row r="53" spans="1:26">
      <c r="A53" s="2" t="s">
        <v>3233</v>
      </c>
      <c r="B53" s="2" t="s">
        <v>3371</v>
      </c>
      <c r="C53" s="2" t="s">
        <v>3378</v>
      </c>
      <c r="D53" s="2" t="s">
        <v>3364</v>
      </c>
      <c r="E53" s="54" t="s">
        <v>3365</v>
      </c>
      <c r="F53" s="54">
        <v>3</v>
      </c>
      <c r="G53" s="46">
        <v>406980</v>
      </c>
      <c r="H53" s="46">
        <f t="shared" si="34"/>
        <v>427735.98</v>
      </c>
      <c r="I53" s="46">
        <f>+H53*F53</f>
        <v>1283207.94</v>
      </c>
      <c r="J53" s="2"/>
      <c r="K53" s="2"/>
      <c r="L53" s="2"/>
      <c r="M53" s="18">
        <f>SUM(N53:Y53)</f>
        <v>1283207.94</v>
      </c>
      <c r="N53" s="18">
        <v>0</v>
      </c>
      <c r="O53" s="18">
        <v>0</v>
      </c>
      <c r="P53" s="18">
        <v>0</v>
      </c>
      <c r="Q53" s="18">
        <v>0</v>
      </c>
      <c r="R53" s="18">
        <f>H53*F53</f>
        <v>1283207.94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</row>
    <row r="54" spans="1:26">
      <c r="A54" s="2" t="s">
        <v>3233</v>
      </c>
      <c r="B54" s="2" t="s">
        <v>3371</v>
      </c>
      <c r="C54" s="2" t="s">
        <v>3378</v>
      </c>
      <c r="D54" s="2" t="s">
        <v>3366</v>
      </c>
      <c r="E54" s="54" t="s">
        <v>3362</v>
      </c>
      <c r="F54" s="54">
        <v>30</v>
      </c>
      <c r="G54" s="46">
        <v>88000</v>
      </c>
      <c r="H54" s="46">
        <f t="shared" ref="H54:H57" si="36">G54*(1+C$3)</f>
        <v>92488</v>
      </c>
      <c r="I54" s="46">
        <f>+H54*F54</f>
        <v>2774640</v>
      </c>
      <c r="J54" s="2"/>
      <c r="K54" s="2"/>
      <c r="L54" s="2"/>
      <c r="M54" s="18">
        <f t="shared" ref="M54:M81" si="37">SUM(N54:Y54)</f>
        <v>2774640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f>H54*F54</f>
        <v>2774640</v>
      </c>
      <c r="W54" s="18">
        <v>0</v>
      </c>
      <c r="X54" s="18">
        <v>0</v>
      </c>
      <c r="Y54" s="18">
        <v>0</v>
      </c>
    </row>
    <row r="55" spans="1:26">
      <c r="A55" s="2" t="s">
        <v>3233</v>
      </c>
      <c r="B55" s="2" t="s">
        <v>3371</v>
      </c>
      <c r="C55" s="2" t="s">
        <v>3378</v>
      </c>
      <c r="D55" s="2" t="s">
        <v>3367</v>
      </c>
      <c r="E55" s="54" t="s">
        <v>3362</v>
      </c>
      <c r="F55" s="54">
        <v>3</v>
      </c>
      <c r="G55" s="46">
        <v>41067</v>
      </c>
      <c r="H55" s="46">
        <f t="shared" si="36"/>
        <v>43161.416999999994</v>
      </c>
      <c r="I55" s="46">
        <f t="shared" ref="I55:I61" si="38">+H55*F55</f>
        <v>129484.25099999999</v>
      </c>
      <c r="J55" s="2"/>
      <c r="K55" s="2"/>
      <c r="L55" s="2"/>
      <c r="M55" s="18">
        <f t="shared" si="37"/>
        <v>129484.25099999999</v>
      </c>
      <c r="N55" s="18">
        <v>0</v>
      </c>
      <c r="O55" s="18">
        <f>H55*F55</f>
        <v>129484.25099999999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</row>
    <row r="56" spans="1:26">
      <c r="A56" s="2" t="s">
        <v>3233</v>
      </c>
      <c r="B56" s="2" t="s">
        <v>3371</v>
      </c>
      <c r="C56" s="2" t="s">
        <v>3378</v>
      </c>
      <c r="D56" s="2" t="s">
        <v>1153</v>
      </c>
      <c r="E56" s="54" t="s">
        <v>3362</v>
      </c>
      <c r="F56" s="54">
        <v>30</v>
      </c>
      <c r="G56" s="46">
        <v>41067</v>
      </c>
      <c r="H56" s="46">
        <f t="shared" si="36"/>
        <v>43161.416999999994</v>
      </c>
      <c r="I56" s="46">
        <f t="shared" si="38"/>
        <v>1294842.5099999998</v>
      </c>
      <c r="J56" s="2"/>
      <c r="K56" s="2"/>
      <c r="L56" s="2"/>
      <c r="M56" s="18">
        <f t="shared" si="37"/>
        <v>1294842.5099999998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f>H56*F56</f>
        <v>1294842.5099999998</v>
      </c>
      <c r="V56" s="18">
        <v>0</v>
      </c>
      <c r="W56" s="18">
        <v>0</v>
      </c>
      <c r="X56" s="18">
        <v>0</v>
      </c>
      <c r="Y56" s="18">
        <v>0</v>
      </c>
    </row>
    <row r="57" spans="1:26">
      <c r="A57" s="2" t="s">
        <v>3233</v>
      </c>
      <c r="B57" s="2" t="s">
        <v>3371</v>
      </c>
      <c r="C57" s="2" t="s">
        <v>3378</v>
      </c>
      <c r="D57" s="2" t="s">
        <v>3368</v>
      </c>
      <c r="E57" s="54" t="s">
        <v>3362</v>
      </c>
      <c r="F57" s="54">
        <v>3</v>
      </c>
      <c r="G57" s="46">
        <v>235620</v>
      </c>
      <c r="H57" s="46">
        <f t="shared" si="36"/>
        <v>247636.62</v>
      </c>
      <c r="I57" s="46">
        <f t="shared" si="38"/>
        <v>742909.86</v>
      </c>
      <c r="J57" s="2"/>
      <c r="K57" s="2"/>
      <c r="L57" s="2"/>
      <c r="M57" s="18">
        <f t="shared" si="37"/>
        <v>742909.86</v>
      </c>
      <c r="N57" s="18">
        <v>0</v>
      </c>
      <c r="O57" s="18">
        <f>H57*F57/2</f>
        <v>371454.93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f>O57</f>
        <v>371454.93</v>
      </c>
      <c r="V57" s="18">
        <v>0</v>
      </c>
      <c r="W57" s="18">
        <v>0</v>
      </c>
      <c r="X57" s="18">
        <v>0</v>
      </c>
      <c r="Y57" s="18">
        <v>0</v>
      </c>
    </row>
    <row r="58" spans="1:26" s="49" customFormat="1">
      <c r="A58" s="47" t="s">
        <v>3233</v>
      </c>
      <c r="B58" s="47" t="s">
        <v>3380</v>
      </c>
      <c r="C58" s="47" t="s">
        <v>3380</v>
      </c>
      <c r="D58" s="47"/>
      <c r="E58" s="56"/>
      <c r="F58" s="56"/>
      <c r="G58" s="48"/>
      <c r="H58" s="48"/>
      <c r="I58" s="48"/>
      <c r="J58" s="47"/>
      <c r="K58" s="47"/>
      <c r="L58" s="47"/>
      <c r="M58" s="19">
        <f t="shared" ref="M58:M306" si="39">SUM(N58:Y58)</f>
        <v>1983690034.9035387</v>
      </c>
      <c r="N58" s="19">
        <f t="shared" ref="N58:Y58" si="40">SUM(N59:N81)</f>
        <v>147849925.28100002</v>
      </c>
      <c r="O58" s="19">
        <f t="shared" si="40"/>
        <v>147849925.28100002</v>
      </c>
      <c r="P58" s="19">
        <f t="shared" si="40"/>
        <v>220705650.52234617</v>
      </c>
      <c r="Q58" s="19">
        <f t="shared" si="40"/>
        <v>148900925.28100002</v>
      </c>
      <c r="R58" s="19">
        <f t="shared" si="40"/>
        <v>186565105.37561539</v>
      </c>
      <c r="S58" s="19">
        <f t="shared" si="40"/>
        <v>147849925.28100002</v>
      </c>
      <c r="T58" s="19">
        <f t="shared" si="40"/>
        <v>153913386.81946155</v>
      </c>
      <c r="U58" s="19">
        <f t="shared" si="40"/>
        <v>147849925.28100002</v>
      </c>
      <c r="V58" s="19">
        <f t="shared" si="40"/>
        <v>208024925.22811541</v>
      </c>
      <c r="W58" s="19">
        <f t="shared" si="40"/>
        <v>178480489.991</v>
      </c>
      <c r="X58" s="19">
        <f t="shared" si="40"/>
        <v>147849925.28100002</v>
      </c>
      <c r="Y58" s="19">
        <f t="shared" si="40"/>
        <v>147849925.28100002</v>
      </c>
    </row>
    <row r="59" spans="1:26">
      <c r="A59" s="2" t="s">
        <v>3233</v>
      </c>
      <c r="B59" s="2" t="s">
        <v>3380</v>
      </c>
      <c r="C59" s="2" t="s">
        <v>3380</v>
      </c>
      <c r="D59" s="2" t="s">
        <v>3381</v>
      </c>
      <c r="E59" s="54" t="s">
        <v>3382</v>
      </c>
      <c r="F59" s="54">
        <v>12</v>
      </c>
      <c r="G59" s="46">
        <v>116866800</v>
      </c>
      <c r="H59" s="46">
        <f>(G59*0.7*(1+C$4))+(G59*0.3*(1+C$3))</f>
        <v>137470416.84</v>
      </c>
      <c r="I59" s="52">
        <f t="shared" si="38"/>
        <v>1649645002.0799999</v>
      </c>
      <c r="J59" s="2"/>
      <c r="K59" s="2"/>
      <c r="L59" s="2"/>
      <c r="M59" s="18">
        <f t="shared" si="37"/>
        <v>1649645002.0799997</v>
      </c>
      <c r="N59" s="18">
        <f>H59</f>
        <v>137470416.84</v>
      </c>
      <c r="O59" s="18">
        <f>+N59</f>
        <v>137470416.84</v>
      </c>
      <c r="P59" s="18">
        <f t="shared" ref="P59:Y59" si="41">+O59</f>
        <v>137470416.84</v>
      </c>
      <c r="Q59" s="18">
        <f t="shared" si="41"/>
        <v>137470416.84</v>
      </c>
      <c r="R59" s="18">
        <f t="shared" si="41"/>
        <v>137470416.84</v>
      </c>
      <c r="S59" s="18">
        <f t="shared" si="41"/>
        <v>137470416.84</v>
      </c>
      <c r="T59" s="18">
        <f t="shared" si="41"/>
        <v>137470416.84</v>
      </c>
      <c r="U59" s="18">
        <f t="shared" si="41"/>
        <v>137470416.84</v>
      </c>
      <c r="V59" s="18">
        <f t="shared" si="41"/>
        <v>137470416.84</v>
      </c>
      <c r="W59" s="18">
        <f t="shared" si="41"/>
        <v>137470416.84</v>
      </c>
      <c r="X59" s="18">
        <f t="shared" si="41"/>
        <v>137470416.84</v>
      </c>
      <c r="Y59" s="18">
        <f t="shared" si="41"/>
        <v>137470416.84</v>
      </c>
    </row>
    <row r="60" spans="1:26">
      <c r="A60" s="2" t="s">
        <v>3233</v>
      </c>
      <c r="B60" s="2" t="s">
        <v>3380</v>
      </c>
      <c r="C60" s="2" t="s">
        <v>3380</v>
      </c>
      <c r="D60" s="2" t="s">
        <v>3383</v>
      </c>
      <c r="E60" s="54" t="s">
        <v>3382</v>
      </c>
      <c r="F60" s="54">
        <v>12</v>
      </c>
      <c r="G60" s="46">
        <v>2025000</v>
      </c>
      <c r="H60" s="46">
        <f>G60*(1+C$3)</f>
        <v>2128275</v>
      </c>
      <c r="I60" s="52">
        <f t="shared" si="38"/>
        <v>25539300</v>
      </c>
      <c r="J60" s="2"/>
      <c r="K60" s="2"/>
      <c r="L60" s="2"/>
      <c r="M60" s="18">
        <f t="shared" si="37"/>
        <v>25539300</v>
      </c>
      <c r="N60" s="18">
        <f>H60</f>
        <v>2128275</v>
      </c>
      <c r="O60" s="18">
        <f>N60</f>
        <v>2128275</v>
      </c>
      <c r="P60" s="18">
        <f t="shared" ref="P60:Y60" si="42">O60</f>
        <v>2128275</v>
      </c>
      <c r="Q60" s="18">
        <f t="shared" si="42"/>
        <v>2128275</v>
      </c>
      <c r="R60" s="18">
        <f t="shared" si="42"/>
        <v>2128275</v>
      </c>
      <c r="S60" s="18">
        <f t="shared" si="42"/>
        <v>2128275</v>
      </c>
      <c r="T60" s="18">
        <f t="shared" si="42"/>
        <v>2128275</v>
      </c>
      <c r="U60" s="18">
        <f t="shared" si="42"/>
        <v>2128275</v>
      </c>
      <c r="V60" s="18">
        <f t="shared" si="42"/>
        <v>2128275</v>
      </c>
      <c r="W60" s="18">
        <f t="shared" si="42"/>
        <v>2128275</v>
      </c>
      <c r="X60" s="18">
        <f t="shared" si="42"/>
        <v>2128275</v>
      </c>
      <c r="Y60" s="18">
        <f t="shared" si="42"/>
        <v>2128275</v>
      </c>
    </row>
    <row r="61" spans="1:26">
      <c r="A61" s="2" t="s">
        <v>3233</v>
      </c>
      <c r="B61" s="2" t="s">
        <v>3380</v>
      </c>
      <c r="C61" s="2" t="s">
        <v>3380</v>
      </c>
      <c r="D61" s="2" t="s">
        <v>3384</v>
      </c>
      <c r="E61" s="54" t="s">
        <v>3382</v>
      </c>
      <c r="F61" s="54">
        <v>12</v>
      </c>
      <c r="G61" s="46">
        <v>4936391</v>
      </c>
      <c r="H61" s="46">
        <f>G61*(1+C$3)</f>
        <v>5188146.9409999996</v>
      </c>
      <c r="I61" s="52">
        <f t="shared" si="38"/>
        <v>62257763.291999996</v>
      </c>
      <c r="J61" s="2"/>
      <c r="K61" s="2"/>
      <c r="L61" s="2"/>
      <c r="M61" s="18">
        <f t="shared" si="37"/>
        <v>62257763.291999996</v>
      </c>
      <c r="N61" s="18">
        <f>H61</f>
        <v>5188146.9409999996</v>
      </c>
      <c r="O61" s="18">
        <f>N61</f>
        <v>5188146.9409999996</v>
      </c>
      <c r="P61" s="18">
        <f t="shared" ref="P61:Y62" si="43">O61</f>
        <v>5188146.9409999996</v>
      </c>
      <c r="Q61" s="18">
        <f t="shared" si="43"/>
        <v>5188146.9409999996</v>
      </c>
      <c r="R61" s="18">
        <f t="shared" si="43"/>
        <v>5188146.9409999996</v>
      </c>
      <c r="S61" s="18">
        <f t="shared" si="43"/>
        <v>5188146.9409999996</v>
      </c>
      <c r="T61" s="18">
        <f t="shared" si="43"/>
        <v>5188146.9409999996</v>
      </c>
      <c r="U61" s="18">
        <f t="shared" si="43"/>
        <v>5188146.9409999996</v>
      </c>
      <c r="V61" s="18">
        <f t="shared" si="43"/>
        <v>5188146.9409999996</v>
      </c>
      <c r="W61" s="18">
        <f t="shared" si="43"/>
        <v>5188146.9409999996</v>
      </c>
      <c r="X61" s="18">
        <f t="shared" si="43"/>
        <v>5188146.9409999996</v>
      </c>
      <c r="Y61" s="18">
        <f t="shared" si="43"/>
        <v>5188146.9409999996</v>
      </c>
    </row>
    <row r="62" spans="1:26">
      <c r="A62" s="2" t="s">
        <v>3233</v>
      </c>
      <c r="B62" s="2" t="s">
        <v>3380</v>
      </c>
      <c r="C62" s="2" t="s">
        <v>3380</v>
      </c>
      <c r="D62" s="2" t="s">
        <v>3385</v>
      </c>
      <c r="E62" s="54" t="s">
        <v>3382</v>
      </c>
      <c r="F62" s="54">
        <v>12</v>
      </c>
      <c r="G62" s="46">
        <f>1011500</f>
        <v>1011500</v>
      </c>
      <c r="H62" s="46">
        <f>G62*(1+C$3)</f>
        <v>1063086.5</v>
      </c>
      <c r="I62" s="52">
        <f t="shared" ref="I62" si="44">+H62*F62</f>
        <v>12757038</v>
      </c>
      <c r="J62" s="2"/>
      <c r="K62" s="2"/>
      <c r="L62" s="2"/>
      <c r="M62" s="18">
        <f t="shared" si="37"/>
        <v>12757038</v>
      </c>
      <c r="N62" s="18">
        <f>H62</f>
        <v>1063086.5</v>
      </c>
      <c r="O62" s="18">
        <f>N62</f>
        <v>1063086.5</v>
      </c>
      <c r="P62" s="18">
        <f t="shared" ref="P62:R62" si="45">O62</f>
        <v>1063086.5</v>
      </c>
      <c r="Q62" s="18">
        <f t="shared" si="45"/>
        <v>1063086.5</v>
      </c>
      <c r="R62" s="18">
        <f t="shared" si="45"/>
        <v>1063086.5</v>
      </c>
      <c r="S62" s="18">
        <f t="shared" si="43"/>
        <v>1063086.5</v>
      </c>
      <c r="T62" s="18">
        <f t="shared" si="43"/>
        <v>1063086.5</v>
      </c>
      <c r="U62" s="18">
        <f t="shared" si="43"/>
        <v>1063086.5</v>
      </c>
      <c r="V62" s="18">
        <f t="shared" si="43"/>
        <v>1063086.5</v>
      </c>
      <c r="W62" s="18">
        <f t="shared" si="43"/>
        <v>1063086.5</v>
      </c>
      <c r="X62" s="18">
        <f t="shared" ref="X62" si="46">W62</f>
        <v>1063086.5</v>
      </c>
      <c r="Y62" s="18">
        <f t="shared" si="43"/>
        <v>1063086.5</v>
      </c>
    </row>
    <row r="63" spans="1:26">
      <c r="A63" s="2" t="s">
        <v>3233</v>
      </c>
      <c r="B63" s="2" t="s">
        <v>3380</v>
      </c>
      <c r="C63" s="2" t="s">
        <v>3380</v>
      </c>
      <c r="D63" s="51" t="s">
        <v>3386</v>
      </c>
      <c r="E63" s="54" t="s">
        <v>3387</v>
      </c>
      <c r="F63" s="54">
        <v>1</v>
      </c>
      <c r="G63" s="46">
        <f>1040000/1.04</f>
        <v>1000000</v>
      </c>
      <c r="H63" s="46">
        <f>G63*(1+C$3)</f>
        <v>1051000</v>
      </c>
      <c r="I63" s="52">
        <f t="shared" ref="I63:I64" si="47">+H63*F63</f>
        <v>1051000</v>
      </c>
      <c r="J63" s="2"/>
      <c r="K63" s="2"/>
      <c r="L63" s="2"/>
      <c r="M63" s="18">
        <f t="shared" si="37"/>
        <v>1051000</v>
      </c>
      <c r="N63" s="18">
        <v>0</v>
      </c>
      <c r="O63" s="18">
        <v>0</v>
      </c>
      <c r="P63" s="18">
        <v>0</v>
      </c>
      <c r="Q63" s="18">
        <f>I63</f>
        <v>1051000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</row>
    <row r="64" spans="1:26">
      <c r="A64" s="2" t="s">
        <v>3233</v>
      </c>
      <c r="B64" s="2" t="s">
        <v>3380</v>
      </c>
      <c r="C64" s="2" t="s">
        <v>3380</v>
      </c>
      <c r="D64" s="2" t="s">
        <v>3388</v>
      </c>
      <c r="E64" s="54" t="s">
        <v>3387</v>
      </c>
      <c r="F64" s="54">
        <v>1</v>
      </c>
      <c r="G64" s="52">
        <f>6000000/1.04</f>
        <v>5769230.769230769</v>
      </c>
      <c r="H64" s="52">
        <f>G64*(1+C$3)</f>
        <v>6063461.538461538</v>
      </c>
      <c r="I64" s="52">
        <f t="shared" si="47"/>
        <v>6063461.538461538</v>
      </c>
      <c r="J64" s="2"/>
      <c r="K64" s="2"/>
      <c r="L64" s="2"/>
      <c r="M64" s="18">
        <f t="shared" si="37"/>
        <v>6063461.538461538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f>I64</f>
        <v>6063461.538461538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</row>
    <row r="65" spans="1:26">
      <c r="A65" s="2" t="s">
        <v>3233</v>
      </c>
      <c r="B65" s="2" t="s">
        <v>3380</v>
      </c>
      <c r="C65" s="2" t="s">
        <v>3380</v>
      </c>
      <c r="D65" s="2" t="s">
        <v>3389</v>
      </c>
      <c r="E65" s="54" t="s">
        <v>3390</v>
      </c>
      <c r="F65" s="54">
        <v>14</v>
      </c>
      <c r="G65" s="46">
        <v>1261400</v>
      </c>
      <c r="H65" s="46">
        <f t="shared" ref="H65:H66" si="48">G65*(1+C$3)</f>
        <v>1325731.3999999999</v>
      </c>
      <c r="I65" s="52">
        <f t="shared" ref="I65:I66" si="49">+H65*F65</f>
        <v>18560239.599999998</v>
      </c>
      <c r="J65" s="2"/>
      <c r="K65" s="2"/>
      <c r="L65" s="2"/>
      <c r="M65" s="18">
        <f t="shared" si="37"/>
        <v>18560239.599999998</v>
      </c>
      <c r="N65" s="18">
        <v>0</v>
      </c>
      <c r="O65" s="18">
        <v>0</v>
      </c>
      <c r="P65" s="18">
        <f>H65*7</f>
        <v>9280119.7999999989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f>H65*7</f>
        <v>9280119.7999999989</v>
      </c>
      <c r="W65" s="18">
        <v>0</v>
      </c>
      <c r="X65" s="18">
        <v>0</v>
      </c>
      <c r="Y65" s="18">
        <v>0</v>
      </c>
    </row>
    <row r="66" spans="1:26">
      <c r="A66" s="2" t="s">
        <v>3233</v>
      </c>
      <c r="B66" s="2" t="s">
        <v>3380</v>
      </c>
      <c r="C66" s="2" t="s">
        <v>3380</v>
      </c>
      <c r="D66" s="2" t="s">
        <v>3391</v>
      </c>
      <c r="E66" s="54" t="s">
        <v>3390</v>
      </c>
      <c r="F66" s="54">
        <v>30</v>
      </c>
      <c r="G66" s="46">
        <v>2380000</v>
      </c>
      <c r="H66" s="46">
        <f t="shared" si="48"/>
        <v>2501380</v>
      </c>
      <c r="I66" s="52">
        <f t="shared" si="49"/>
        <v>75041400</v>
      </c>
      <c r="J66" s="2"/>
      <c r="K66" s="2"/>
      <c r="L66" s="2"/>
      <c r="M66" s="18">
        <f t="shared" si="37"/>
        <v>75041400</v>
      </c>
      <c r="N66" s="18">
        <v>0</v>
      </c>
      <c r="O66" s="18">
        <v>0</v>
      </c>
      <c r="P66" s="18">
        <f>H66*15</f>
        <v>37520700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f>H66*15</f>
        <v>37520700</v>
      </c>
      <c r="W66" s="18">
        <v>0</v>
      </c>
      <c r="X66" s="18">
        <v>0</v>
      </c>
      <c r="Y66" s="18">
        <v>0</v>
      </c>
    </row>
    <row r="67" spans="1:26">
      <c r="A67" s="2" t="s">
        <v>3233</v>
      </c>
      <c r="B67" s="2" t="s">
        <v>3380</v>
      </c>
      <c r="C67" s="2" t="s">
        <v>3380</v>
      </c>
      <c r="D67" s="2" t="s">
        <v>3392</v>
      </c>
      <c r="E67" s="54" t="s">
        <v>3393</v>
      </c>
      <c r="F67" s="54">
        <v>1</v>
      </c>
      <c r="G67" s="46">
        <v>31800000</v>
      </c>
      <c r="H67" s="46">
        <f t="shared" ref="H67" si="50">G67*(1+C$3)</f>
        <v>33421799.999999996</v>
      </c>
      <c r="I67" s="52">
        <f t="shared" ref="I67" si="51">+H67*F67</f>
        <v>33421799.999999996</v>
      </c>
      <c r="J67" s="2"/>
      <c r="K67" s="2"/>
      <c r="L67" s="2"/>
      <c r="M67" s="18">
        <f t="shared" si="37"/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50"/>
    </row>
    <row r="68" spans="1:26">
      <c r="A68" s="2" t="s">
        <v>3233</v>
      </c>
      <c r="B68" s="2" t="s">
        <v>3380</v>
      </c>
      <c r="C68" s="2" t="s">
        <v>3380</v>
      </c>
      <c r="D68" s="2" t="s">
        <v>3394</v>
      </c>
      <c r="E68" s="54" t="s">
        <v>3362</v>
      </c>
      <c r="F68" s="54">
        <v>70</v>
      </c>
      <c r="G68" s="46">
        <v>210792</v>
      </c>
      <c r="H68" s="46">
        <f t="shared" ref="H68:H80" si="52">G68*(1+C$3)</f>
        <v>221542.39199999999</v>
      </c>
      <c r="I68" s="52">
        <f t="shared" ref="I68:I80" si="53">+H68*F68</f>
        <v>15507967.439999999</v>
      </c>
      <c r="J68" s="2"/>
      <c r="K68" s="2"/>
      <c r="L68" s="2"/>
      <c r="M68" s="18">
        <f t="shared" si="37"/>
        <v>15507967.439999999</v>
      </c>
      <c r="N68" s="18">
        <v>0</v>
      </c>
      <c r="O68" s="18">
        <v>0</v>
      </c>
      <c r="P68" s="18">
        <v>0</v>
      </c>
      <c r="Q68" s="18">
        <v>0</v>
      </c>
      <c r="R68" s="18">
        <f>H68*35</f>
        <v>7753983.7199999997</v>
      </c>
      <c r="S68" s="18">
        <v>0</v>
      </c>
      <c r="T68" s="18">
        <v>0</v>
      </c>
      <c r="U68" s="18">
        <v>0</v>
      </c>
      <c r="V68" s="18">
        <v>0</v>
      </c>
      <c r="W68" s="18">
        <f>R68</f>
        <v>7753983.7199999997</v>
      </c>
      <c r="X68" s="18">
        <v>0</v>
      </c>
      <c r="Y68" s="18">
        <v>0</v>
      </c>
    </row>
    <row r="69" spans="1:26">
      <c r="A69" s="2" t="s">
        <v>3233</v>
      </c>
      <c r="B69" s="2" t="s">
        <v>3380</v>
      </c>
      <c r="C69" s="2" t="s">
        <v>3380</v>
      </c>
      <c r="D69" s="2" t="s">
        <v>3395</v>
      </c>
      <c r="E69" s="54" t="s">
        <v>3362</v>
      </c>
      <c r="F69" s="54">
        <v>70</v>
      </c>
      <c r="G69" s="46">
        <v>330896</v>
      </c>
      <c r="H69" s="46">
        <f t="shared" si="52"/>
        <v>347771.696</v>
      </c>
      <c r="I69" s="52">
        <f t="shared" si="53"/>
        <v>24344018.719999999</v>
      </c>
      <c r="J69" s="2"/>
      <c r="K69" s="2"/>
      <c r="L69" s="2"/>
      <c r="M69" s="18">
        <f t="shared" si="37"/>
        <v>24344018.719999999</v>
      </c>
      <c r="N69" s="18">
        <v>0</v>
      </c>
      <c r="O69" s="18">
        <v>0</v>
      </c>
      <c r="P69" s="18">
        <v>0</v>
      </c>
      <c r="Q69" s="18">
        <v>0</v>
      </c>
      <c r="R69" s="18">
        <f>H69*35</f>
        <v>12172009.359999999</v>
      </c>
      <c r="S69" s="18">
        <v>0</v>
      </c>
      <c r="T69" s="18">
        <v>0</v>
      </c>
      <c r="U69" s="18">
        <v>0</v>
      </c>
      <c r="V69" s="18">
        <v>0</v>
      </c>
      <c r="W69" s="18">
        <f t="shared" ref="W69:W76" si="54">R69</f>
        <v>12172009.359999999</v>
      </c>
      <c r="X69" s="18">
        <v>0</v>
      </c>
      <c r="Y69" s="18">
        <v>0</v>
      </c>
    </row>
    <row r="70" spans="1:26">
      <c r="A70" s="2" t="s">
        <v>3233</v>
      </c>
      <c r="B70" s="2" t="s">
        <v>3380</v>
      </c>
      <c r="C70" s="2" t="s">
        <v>3380</v>
      </c>
      <c r="D70" s="2" t="s">
        <v>3396</v>
      </c>
      <c r="E70" s="54" t="s">
        <v>3362</v>
      </c>
      <c r="F70" s="54">
        <v>50</v>
      </c>
      <c r="G70" s="46">
        <v>38484</v>
      </c>
      <c r="H70" s="46">
        <f t="shared" si="52"/>
        <v>40446.684000000001</v>
      </c>
      <c r="I70" s="52">
        <f t="shared" si="53"/>
        <v>2022334.2</v>
      </c>
      <c r="J70" s="2"/>
      <c r="K70" s="2"/>
      <c r="L70" s="2"/>
      <c r="M70" s="18">
        <f t="shared" si="37"/>
        <v>2022334.2</v>
      </c>
      <c r="N70" s="18">
        <v>0</v>
      </c>
      <c r="O70" s="18">
        <v>0</v>
      </c>
      <c r="P70" s="18">
        <v>0</v>
      </c>
      <c r="Q70" s="18">
        <v>0</v>
      </c>
      <c r="R70" s="18">
        <f>H70*25</f>
        <v>1011167.1</v>
      </c>
      <c r="S70" s="18">
        <v>0</v>
      </c>
      <c r="T70" s="18">
        <v>0</v>
      </c>
      <c r="U70" s="18">
        <v>0</v>
      </c>
      <c r="V70" s="18">
        <v>0</v>
      </c>
      <c r="W70" s="18">
        <f t="shared" si="54"/>
        <v>1011167.1</v>
      </c>
      <c r="X70" s="18">
        <v>0</v>
      </c>
      <c r="Y70" s="18">
        <v>0</v>
      </c>
    </row>
    <row r="71" spans="1:26">
      <c r="A71" s="2" t="s">
        <v>3233</v>
      </c>
      <c r="B71" s="2" t="s">
        <v>3380</v>
      </c>
      <c r="C71" s="2" t="s">
        <v>3380</v>
      </c>
      <c r="D71" s="2" t="s">
        <v>3397</v>
      </c>
      <c r="E71" s="54" t="s">
        <v>3365</v>
      </c>
      <c r="F71" s="54">
        <v>50</v>
      </c>
      <c r="G71" s="46">
        <v>18550</v>
      </c>
      <c r="H71" s="46">
        <f t="shared" si="52"/>
        <v>19496.05</v>
      </c>
      <c r="I71" s="52">
        <f t="shared" si="53"/>
        <v>974802.5</v>
      </c>
      <c r="J71" s="2"/>
      <c r="K71" s="2"/>
      <c r="L71" s="2"/>
      <c r="M71" s="18">
        <f t="shared" si="37"/>
        <v>974802.5</v>
      </c>
      <c r="N71" s="18">
        <v>0</v>
      </c>
      <c r="O71" s="18">
        <v>0</v>
      </c>
      <c r="P71" s="18">
        <v>0</v>
      </c>
      <c r="Q71" s="18">
        <v>0</v>
      </c>
      <c r="R71" s="18">
        <f>H71*25</f>
        <v>487401.25</v>
      </c>
      <c r="S71" s="18">
        <v>0</v>
      </c>
      <c r="T71" s="18">
        <v>0</v>
      </c>
      <c r="U71" s="18">
        <v>0</v>
      </c>
      <c r="V71" s="18">
        <v>0</v>
      </c>
      <c r="W71" s="18">
        <f t="shared" si="54"/>
        <v>487401.25</v>
      </c>
      <c r="X71" s="18">
        <v>0</v>
      </c>
      <c r="Y71" s="18">
        <v>0</v>
      </c>
    </row>
    <row r="72" spans="1:26">
      <c r="A72" s="2" t="s">
        <v>3233</v>
      </c>
      <c r="B72" s="2" t="s">
        <v>3380</v>
      </c>
      <c r="C72" s="2" t="s">
        <v>3380</v>
      </c>
      <c r="D72" s="2" t="s">
        <v>3398</v>
      </c>
      <c r="E72" s="54" t="s">
        <v>3362</v>
      </c>
      <c r="F72" s="54">
        <v>16</v>
      </c>
      <c r="G72" s="46">
        <v>107590</v>
      </c>
      <c r="H72" s="46">
        <f t="shared" si="52"/>
        <v>113077.09</v>
      </c>
      <c r="I72" s="52">
        <f t="shared" si="53"/>
        <v>1809233.44</v>
      </c>
      <c r="J72" s="2"/>
      <c r="K72" s="2"/>
      <c r="L72" s="2"/>
      <c r="M72" s="18">
        <f t="shared" si="37"/>
        <v>1809233.44</v>
      </c>
      <c r="N72" s="18">
        <v>0</v>
      </c>
      <c r="O72" s="18">
        <v>0</v>
      </c>
      <c r="P72" s="18">
        <v>0</v>
      </c>
      <c r="Q72" s="18">
        <v>0</v>
      </c>
      <c r="R72" s="18">
        <f>H72*8</f>
        <v>904616.72</v>
      </c>
      <c r="S72" s="18">
        <v>0</v>
      </c>
      <c r="T72" s="18">
        <v>0</v>
      </c>
      <c r="U72" s="18">
        <v>0</v>
      </c>
      <c r="V72" s="18">
        <v>0</v>
      </c>
      <c r="W72" s="18">
        <f t="shared" si="54"/>
        <v>904616.72</v>
      </c>
      <c r="X72" s="18">
        <v>0</v>
      </c>
      <c r="Y72" s="18">
        <v>0</v>
      </c>
    </row>
    <row r="73" spans="1:26">
      <c r="A73" s="2" t="s">
        <v>3233</v>
      </c>
      <c r="B73" s="2" t="s">
        <v>3380</v>
      </c>
      <c r="C73" s="2" t="s">
        <v>3380</v>
      </c>
      <c r="D73" s="2" t="s">
        <v>3399</v>
      </c>
      <c r="E73" s="54" t="s">
        <v>3362</v>
      </c>
      <c r="F73" s="54">
        <v>16</v>
      </c>
      <c r="G73" s="46">
        <v>119000</v>
      </c>
      <c r="H73" s="46">
        <f t="shared" si="52"/>
        <v>125068.99999999999</v>
      </c>
      <c r="I73" s="52">
        <f t="shared" si="53"/>
        <v>2001103.9999999998</v>
      </c>
      <c r="J73" s="2"/>
      <c r="K73" s="2"/>
      <c r="L73" s="2"/>
      <c r="M73" s="18">
        <f t="shared" si="37"/>
        <v>2001103.9999999998</v>
      </c>
      <c r="N73" s="18">
        <v>0</v>
      </c>
      <c r="O73" s="18">
        <v>0</v>
      </c>
      <c r="P73" s="18">
        <v>0</v>
      </c>
      <c r="Q73" s="18">
        <v>0</v>
      </c>
      <c r="R73" s="18">
        <f>H73*8</f>
        <v>1000551.9999999999</v>
      </c>
      <c r="S73" s="18">
        <v>0</v>
      </c>
      <c r="T73" s="18">
        <v>0</v>
      </c>
      <c r="U73" s="18">
        <v>0</v>
      </c>
      <c r="V73" s="18">
        <v>0</v>
      </c>
      <c r="W73" s="18">
        <f t="shared" si="54"/>
        <v>1000551.9999999999</v>
      </c>
      <c r="X73" s="18">
        <v>0</v>
      </c>
      <c r="Y73" s="18">
        <v>0</v>
      </c>
    </row>
    <row r="74" spans="1:26">
      <c r="A74" s="2" t="s">
        <v>3233</v>
      </c>
      <c r="B74" s="2" t="s">
        <v>3380</v>
      </c>
      <c r="C74" s="2" t="s">
        <v>3380</v>
      </c>
      <c r="D74" s="2" t="s">
        <v>3400</v>
      </c>
      <c r="E74" s="54" t="s">
        <v>3362</v>
      </c>
      <c r="F74" s="54">
        <v>70</v>
      </c>
      <c r="G74" s="46">
        <v>107100</v>
      </c>
      <c r="H74" s="46">
        <f t="shared" si="52"/>
        <v>112562.09999999999</v>
      </c>
      <c r="I74" s="52">
        <f t="shared" si="53"/>
        <v>7879346.9999999991</v>
      </c>
      <c r="J74" s="2"/>
      <c r="K74" s="2"/>
      <c r="L74" s="2"/>
      <c r="M74" s="18">
        <f t="shared" si="37"/>
        <v>7879346.9999999991</v>
      </c>
      <c r="N74" s="18">
        <v>0</v>
      </c>
      <c r="O74" s="18">
        <v>0</v>
      </c>
      <c r="P74" s="18">
        <v>0</v>
      </c>
      <c r="Q74" s="18">
        <v>0</v>
      </c>
      <c r="R74" s="18">
        <f>H74*35</f>
        <v>3939673.4999999995</v>
      </c>
      <c r="S74" s="18">
        <v>0</v>
      </c>
      <c r="T74" s="18">
        <v>0</v>
      </c>
      <c r="U74" s="18">
        <v>0</v>
      </c>
      <c r="V74" s="18">
        <v>0</v>
      </c>
      <c r="W74" s="18">
        <f t="shared" si="54"/>
        <v>3939673.4999999995</v>
      </c>
      <c r="X74" s="18">
        <v>0</v>
      </c>
      <c r="Y74" s="18">
        <v>0</v>
      </c>
    </row>
    <row r="75" spans="1:26">
      <c r="A75" s="2" t="s">
        <v>3233</v>
      </c>
      <c r="B75" s="2" t="s">
        <v>3380</v>
      </c>
      <c r="C75" s="2" t="s">
        <v>3380</v>
      </c>
      <c r="D75" s="2" t="s">
        <v>3401</v>
      </c>
      <c r="E75" s="54" t="s">
        <v>3362</v>
      </c>
      <c r="F75" s="54">
        <v>16</v>
      </c>
      <c r="G75" s="46">
        <v>95200</v>
      </c>
      <c r="H75" s="46">
        <f t="shared" si="52"/>
        <v>100055.2</v>
      </c>
      <c r="I75" s="52">
        <f t="shared" si="53"/>
        <v>1600883.2</v>
      </c>
      <c r="J75" s="2"/>
      <c r="K75" s="2"/>
      <c r="L75" s="2"/>
      <c r="M75" s="18">
        <f t="shared" si="37"/>
        <v>1600883.2</v>
      </c>
      <c r="N75" s="18">
        <v>0</v>
      </c>
      <c r="O75" s="18">
        <v>0</v>
      </c>
      <c r="P75" s="18">
        <v>0</v>
      </c>
      <c r="Q75" s="18">
        <v>0</v>
      </c>
      <c r="R75" s="18">
        <f>H75*8</f>
        <v>800441.6</v>
      </c>
      <c r="S75" s="18">
        <v>0</v>
      </c>
      <c r="T75" s="18">
        <v>0</v>
      </c>
      <c r="U75" s="18">
        <v>0</v>
      </c>
      <c r="V75" s="18">
        <v>0</v>
      </c>
      <c r="W75" s="18">
        <f t="shared" si="54"/>
        <v>800441.6</v>
      </c>
      <c r="X75" s="18">
        <v>0</v>
      </c>
      <c r="Y75" s="18">
        <v>0</v>
      </c>
    </row>
    <row r="76" spans="1:26">
      <c r="A76" s="2" t="s">
        <v>3233</v>
      </c>
      <c r="B76" s="2" t="s">
        <v>3380</v>
      </c>
      <c r="C76" s="2" t="s">
        <v>3380</v>
      </c>
      <c r="D76" s="2" t="s">
        <v>3402</v>
      </c>
      <c r="E76" s="54" t="s">
        <v>3362</v>
      </c>
      <c r="F76" s="54">
        <v>10</v>
      </c>
      <c r="G76" s="46">
        <f>337360+149932</f>
        <v>487292</v>
      </c>
      <c r="H76" s="46">
        <f t="shared" si="52"/>
        <v>512143.89199999999</v>
      </c>
      <c r="I76" s="52">
        <f t="shared" si="53"/>
        <v>5121438.92</v>
      </c>
      <c r="J76" s="2"/>
      <c r="K76" s="2"/>
      <c r="L76" s="2"/>
      <c r="M76" s="18">
        <f t="shared" si="37"/>
        <v>5121438.92</v>
      </c>
      <c r="N76" s="18">
        <v>0</v>
      </c>
      <c r="O76" s="18">
        <v>0</v>
      </c>
      <c r="P76" s="18">
        <v>0</v>
      </c>
      <c r="Q76" s="18">
        <v>0</v>
      </c>
      <c r="R76" s="18">
        <f>H76*5</f>
        <v>2560719.46</v>
      </c>
      <c r="S76" s="18">
        <v>0</v>
      </c>
      <c r="T76" s="18">
        <v>0</v>
      </c>
      <c r="U76" s="18">
        <v>0</v>
      </c>
      <c r="V76" s="18">
        <v>0</v>
      </c>
      <c r="W76" s="18">
        <f t="shared" si="54"/>
        <v>2560719.46</v>
      </c>
      <c r="X76" s="18">
        <v>0</v>
      </c>
      <c r="Y76" s="18">
        <v>0</v>
      </c>
    </row>
    <row r="77" spans="1:26">
      <c r="A77" s="2" t="s">
        <v>3233</v>
      </c>
      <c r="B77" s="2" t="s">
        <v>3380</v>
      </c>
      <c r="C77" s="2" t="s">
        <v>3380</v>
      </c>
      <c r="D77" s="2" t="s">
        <v>3403</v>
      </c>
      <c r="E77" s="54" t="s">
        <v>3387</v>
      </c>
      <c r="F77" s="54">
        <v>1</v>
      </c>
      <c r="G77" s="46">
        <f>2143066/1.04</f>
        <v>2060640.3846153845</v>
      </c>
      <c r="H77" s="46">
        <f t="shared" si="52"/>
        <v>2165733.0442307689</v>
      </c>
      <c r="I77" s="52">
        <f t="shared" si="53"/>
        <v>2165733.0442307689</v>
      </c>
      <c r="J77" s="2"/>
      <c r="K77" s="2"/>
      <c r="L77" s="2"/>
      <c r="M77" s="18">
        <f t="shared" si="37"/>
        <v>2165733.0442307689</v>
      </c>
      <c r="N77" s="18">
        <v>0</v>
      </c>
      <c r="O77" s="18">
        <v>0</v>
      </c>
      <c r="P77" s="18">
        <f>H77</f>
        <v>2165733.0442307689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</row>
    <row r="78" spans="1:26">
      <c r="A78" s="2" t="s">
        <v>3233</v>
      </c>
      <c r="B78" s="2" t="s">
        <v>3380</v>
      </c>
      <c r="C78" s="2" t="s">
        <v>3380</v>
      </c>
      <c r="D78" s="2" t="s">
        <v>3404</v>
      </c>
      <c r="E78" s="54" t="s">
        <v>3387</v>
      </c>
      <c r="F78" s="54">
        <v>1</v>
      </c>
      <c r="G78" s="46">
        <f>8000000/1.04</f>
        <v>7692307.692307692</v>
      </c>
      <c r="H78" s="46">
        <f t="shared" si="52"/>
        <v>8084615.384615384</v>
      </c>
      <c r="I78" s="52">
        <f t="shared" si="53"/>
        <v>8084615.384615384</v>
      </c>
      <c r="J78" s="2"/>
      <c r="K78" s="2"/>
      <c r="L78" s="2"/>
      <c r="M78" s="18">
        <f t="shared" si="37"/>
        <v>8084615.384615384</v>
      </c>
      <c r="N78" s="18">
        <v>0</v>
      </c>
      <c r="O78" s="18">
        <v>0</v>
      </c>
      <c r="P78" s="18">
        <v>0</v>
      </c>
      <c r="Q78" s="18">
        <v>0</v>
      </c>
      <c r="R78" s="18">
        <f>H78</f>
        <v>8084615.384615384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</row>
    <row r="79" spans="1:26" ht="16.5" customHeight="1">
      <c r="A79" s="2" t="s">
        <v>3233</v>
      </c>
      <c r="B79" s="2" t="s">
        <v>3380</v>
      </c>
      <c r="C79" s="2" t="s">
        <v>3380</v>
      </c>
      <c r="D79" s="2" t="s">
        <v>3405</v>
      </c>
      <c r="E79" s="54" t="s">
        <v>3387</v>
      </c>
      <c r="F79" s="54">
        <v>1</v>
      </c>
      <c r="G79" s="46">
        <f>10404940/1.04</f>
        <v>10004750</v>
      </c>
      <c r="H79" s="53">
        <f>G79*(1+C$3)</f>
        <v>10514992.25</v>
      </c>
      <c r="I79" s="52">
        <f t="shared" si="53"/>
        <v>10514992.25</v>
      </c>
      <c r="J79" s="2"/>
      <c r="K79" s="2"/>
      <c r="L79" s="2"/>
      <c r="M79" s="18">
        <f t="shared" si="37"/>
        <v>10514992.25</v>
      </c>
      <c r="N79" s="18">
        <v>0</v>
      </c>
      <c r="O79" s="18">
        <v>0</v>
      </c>
      <c r="P79" s="18">
        <f>H79</f>
        <v>10514992.25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</row>
    <row r="80" spans="1:26">
      <c r="A80" s="2" t="s">
        <v>3233</v>
      </c>
      <c r="B80" s="2" t="s">
        <v>3380</v>
      </c>
      <c r="C80" s="2" t="s">
        <v>3380</v>
      </c>
      <c r="D80" s="2" t="s">
        <v>3406</v>
      </c>
      <c r="E80" s="54" t="s">
        <v>3387</v>
      </c>
      <c r="F80" s="54">
        <v>1</v>
      </c>
      <c r="G80" s="46">
        <f>26468406/1.04</f>
        <v>25450390.384615384</v>
      </c>
      <c r="H80" s="46">
        <f t="shared" si="52"/>
        <v>26748360.294230767</v>
      </c>
      <c r="I80" s="52">
        <f t="shared" si="53"/>
        <v>26748360.294230767</v>
      </c>
      <c r="J80" s="2"/>
      <c r="K80" s="2"/>
      <c r="L80" s="2"/>
      <c r="M80" s="18">
        <f t="shared" si="37"/>
        <v>26748360.294230767</v>
      </c>
      <c r="N80" s="18">
        <v>0</v>
      </c>
      <c r="O80" s="18">
        <v>0</v>
      </c>
      <c r="P80" s="18">
        <f>H80/2</f>
        <v>13374180.147115383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f>P80</f>
        <v>13374180.147115383</v>
      </c>
      <c r="W80" s="18">
        <v>0</v>
      </c>
      <c r="X80" s="18">
        <v>0</v>
      </c>
      <c r="Y80" s="18">
        <v>0</v>
      </c>
    </row>
    <row r="81" spans="1:25">
      <c r="A81" s="2" t="s">
        <v>3233</v>
      </c>
      <c r="B81" s="2" t="s">
        <v>3380</v>
      </c>
      <c r="C81" s="2" t="s">
        <v>3380</v>
      </c>
      <c r="D81" s="2" t="s">
        <v>1919</v>
      </c>
      <c r="E81" s="54" t="s">
        <v>3382</v>
      </c>
      <c r="F81" s="54">
        <v>12</v>
      </c>
      <c r="G81" s="46">
        <v>2000000</v>
      </c>
      <c r="H81" s="46">
        <f>G81</f>
        <v>2000000</v>
      </c>
      <c r="I81" s="52">
        <f t="shared" ref="I81" si="55">+H81*F81</f>
        <v>24000000</v>
      </c>
      <c r="J81" s="2"/>
      <c r="K81" s="2"/>
      <c r="L81" s="2"/>
      <c r="M81" s="18">
        <f t="shared" si="37"/>
        <v>24000000</v>
      </c>
      <c r="N81" s="18">
        <f>H81</f>
        <v>2000000</v>
      </c>
      <c r="O81" s="18">
        <f>N81</f>
        <v>2000000</v>
      </c>
      <c r="P81" s="18">
        <f t="shared" ref="P81:Y81" si="56">O81</f>
        <v>2000000</v>
      </c>
      <c r="Q81" s="18">
        <f t="shared" si="56"/>
        <v>2000000</v>
      </c>
      <c r="R81" s="18">
        <f t="shared" si="56"/>
        <v>2000000</v>
      </c>
      <c r="S81" s="18">
        <f t="shared" si="56"/>
        <v>2000000</v>
      </c>
      <c r="T81" s="18">
        <f t="shared" si="56"/>
        <v>2000000</v>
      </c>
      <c r="U81" s="18">
        <f t="shared" si="56"/>
        <v>2000000</v>
      </c>
      <c r="V81" s="18">
        <f t="shared" si="56"/>
        <v>2000000</v>
      </c>
      <c r="W81" s="18">
        <f t="shared" si="56"/>
        <v>2000000</v>
      </c>
      <c r="X81" s="18">
        <f t="shared" si="56"/>
        <v>2000000</v>
      </c>
      <c r="Y81" s="18">
        <f t="shared" si="56"/>
        <v>2000000</v>
      </c>
    </row>
    <row r="82" spans="1:25" s="49" customFormat="1">
      <c r="A82" s="47" t="s">
        <v>3233</v>
      </c>
      <c r="B82" s="47" t="s">
        <v>3407</v>
      </c>
      <c r="C82" s="47" t="s">
        <v>3408</v>
      </c>
      <c r="D82" s="47"/>
      <c r="E82" s="56"/>
      <c r="F82" s="56"/>
      <c r="G82" s="48"/>
      <c r="H82" s="48"/>
      <c r="I82" s="48"/>
      <c r="J82" s="47"/>
      <c r="K82" s="47"/>
      <c r="L82" s="47"/>
      <c r="M82" s="19">
        <f>SUM(N82:Y82)</f>
        <v>484826784.28244627</v>
      </c>
      <c r="N82" s="19">
        <f>SUM(N86:N101)</f>
        <v>38560013.824370526</v>
      </c>
      <c r="O82" s="19">
        <f t="shared" ref="O82:Y82" si="57">SUM(O86:O101)</f>
        <v>42705940.819370523</v>
      </c>
      <c r="P82" s="19">
        <f t="shared" si="57"/>
        <v>38560013.824370526</v>
      </c>
      <c r="Q82" s="19">
        <f t="shared" si="57"/>
        <v>38560013.824370526</v>
      </c>
      <c r="R82" s="19">
        <f t="shared" si="57"/>
        <v>52374778.224370517</v>
      </c>
      <c r="S82" s="19">
        <f t="shared" si="57"/>
        <v>38560013.824370526</v>
      </c>
      <c r="T82" s="19">
        <f t="shared" si="57"/>
        <v>38560013.824370526</v>
      </c>
      <c r="U82" s="19">
        <f t="shared" si="57"/>
        <v>38560013.824370526</v>
      </c>
      <c r="V82" s="19">
        <f t="shared" si="57"/>
        <v>39941989.489370525</v>
      </c>
      <c r="W82" s="19">
        <f t="shared" si="57"/>
        <v>38560013.824370526</v>
      </c>
      <c r="X82" s="19">
        <f t="shared" si="57"/>
        <v>39941989.489370525</v>
      </c>
      <c r="Y82" s="19">
        <f t="shared" si="57"/>
        <v>39941989.489370525</v>
      </c>
    </row>
    <row r="83" spans="1:25">
      <c r="A83" s="2" t="s">
        <v>3233</v>
      </c>
      <c r="B83" s="2" t="s">
        <v>3407</v>
      </c>
      <c r="C83" s="2" t="s">
        <v>3408</v>
      </c>
      <c r="D83" s="2" t="s">
        <v>3409</v>
      </c>
      <c r="E83" s="54"/>
      <c r="F83" s="54"/>
      <c r="G83" s="46">
        <v>0</v>
      </c>
      <c r="H83" s="46">
        <f>G83*(1+C$3)</f>
        <v>0</v>
      </c>
      <c r="I83" s="46">
        <f t="shared" ref="I83:I84" si="58">+H83*F83</f>
        <v>0</v>
      </c>
      <c r="J83" s="2"/>
      <c r="K83" s="2"/>
      <c r="L83" s="2"/>
      <c r="M83" s="18">
        <f>SUM(N83:Y83)</f>
        <v>0</v>
      </c>
      <c r="N83" s="18">
        <v>0</v>
      </c>
      <c r="O83" s="18">
        <f>I83</f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</row>
    <row r="84" spans="1:25">
      <c r="A84" s="2" t="s">
        <v>3233</v>
      </c>
      <c r="B84" s="2" t="s">
        <v>3407</v>
      </c>
      <c r="C84" s="2" t="s">
        <v>3408</v>
      </c>
      <c r="D84" s="2" t="s">
        <v>3410</v>
      </c>
      <c r="E84" s="54"/>
      <c r="F84" s="54"/>
      <c r="G84" s="46">
        <v>0</v>
      </c>
      <c r="H84" s="46">
        <f t="shared" ref="H84:H85" si="59">G84*(1+C$3)</f>
        <v>0</v>
      </c>
      <c r="I84" s="46">
        <f t="shared" si="58"/>
        <v>0</v>
      </c>
      <c r="J84" s="2"/>
      <c r="K84" s="2"/>
      <c r="L84" s="2"/>
      <c r="M84" s="18">
        <f t="shared" ref="M84" si="60">SUM(N84:Y84)</f>
        <v>0</v>
      </c>
      <c r="N84" s="18">
        <v>0</v>
      </c>
      <c r="O84" s="18">
        <f t="shared" ref="O84:O85" si="61">I84</f>
        <v>0</v>
      </c>
      <c r="P84" s="18">
        <v>0</v>
      </c>
      <c r="Q84" s="18">
        <v>0</v>
      </c>
      <c r="R84" s="18"/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</row>
    <row r="85" spans="1:25">
      <c r="A85" s="2" t="s">
        <v>3233</v>
      </c>
      <c r="B85" s="2" t="s">
        <v>3407</v>
      </c>
      <c r="C85" s="2" t="s">
        <v>3408</v>
      </c>
      <c r="D85" s="2" t="s">
        <v>3411</v>
      </c>
      <c r="E85" s="54"/>
      <c r="F85" s="54"/>
      <c r="G85" s="46">
        <v>0</v>
      </c>
      <c r="H85" s="46">
        <f t="shared" si="59"/>
        <v>0</v>
      </c>
      <c r="I85" s="46">
        <f>+H85*F85</f>
        <v>0</v>
      </c>
      <c r="J85" s="2"/>
      <c r="K85" s="2"/>
      <c r="L85" s="2"/>
      <c r="M85" s="18">
        <f>SUM(N85:Y85)</f>
        <v>0</v>
      </c>
      <c r="N85" s="18">
        <v>0</v>
      </c>
      <c r="O85" s="18">
        <f t="shared" si="61"/>
        <v>0</v>
      </c>
      <c r="P85" s="18">
        <v>0</v>
      </c>
      <c r="Q85" s="18">
        <v>0</v>
      </c>
      <c r="R85" s="18"/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</row>
    <row r="86" spans="1:25">
      <c r="A86" s="2" t="s">
        <v>3233</v>
      </c>
      <c r="B86" s="2" t="s">
        <v>3407</v>
      </c>
      <c r="C86" s="2" t="s">
        <v>3408</v>
      </c>
      <c r="D86" s="2" t="s">
        <v>3412</v>
      </c>
      <c r="E86" s="54" t="s">
        <v>3362</v>
      </c>
      <c r="F86" s="54">
        <v>1</v>
      </c>
      <c r="G86" s="46">
        <v>2316900</v>
      </c>
      <c r="H86" s="46">
        <f>G86*(1+C$3)</f>
        <v>2435061.9</v>
      </c>
      <c r="I86" s="46">
        <f t="shared" ref="I86:I100" si="62">+H86*F86</f>
        <v>2435061.9</v>
      </c>
      <c r="J86" s="2"/>
      <c r="K86" s="2"/>
      <c r="L86" s="2"/>
      <c r="M86" s="18">
        <f t="shared" si="39"/>
        <v>2435061.9</v>
      </c>
      <c r="N86" s="18">
        <v>0</v>
      </c>
      <c r="O86" s="18">
        <v>0</v>
      </c>
      <c r="P86" s="18">
        <v>0</v>
      </c>
      <c r="Q86" s="18">
        <v>0</v>
      </c>
      <c r="R86" s="18">
        <f>I86*F86</f>
        <v>2435061.9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</row>
    <row r="87" spans="1:25">
      <c r="A87" s="2" t="s">
        <v>3233</v>
      </c>
      <c r="B87" s="2" t="s">
        <v>3407</v>
      </c>
      <c r="C87" s="2" t="s">
        <v>3408</v>
      </c>
      <c r="D87" s="2" t="s">
        <v>3413</v>
      </c>
      <c r="E87" s="54" t="s">
        <v>3362</v>
      </c>
      <c r="F87" s="54">
        <v>1</v>
      </c>
      <c r="G87" s="46">
        <v>2499900</v>
      </c>
      <c r="H87" s="46">
        <f t="shared" ref="H87" si="63">G87*(1+C$3)</f>
        <v>2627394.9</v>
      </c>
      <c r="I87" s="46">
        <f t="shared" ref="I87" si="64">+H87*F87</f>
        <v>2627394.9</v>
      </c>
      <c r="J87" s="2"/>
      <c r="K87" s="2"/>
      <c r="L87" s="2"/>
      <c r="M87" s="18">
        <f t="shared" ref="M87" si="65">SUM(N87:Y87)</f>
        <v>2627394.9</v>
      </c>
      <c r="N87" s="18">
        <v>0</v>
      </c>
      <c r="O87" s="18">
        <v>0</v>
      </c>
      <c r="P87" s="18">
        <v>0</v>
      </c>
      <c r="Q87" s="18">
        <v>0</v>
      </c>
      <c r="R87" s="18">
        <f>I87*F87</f>
        <v>2627394.9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</row>
    <row r="88" spans="1:25">
      <c r="A88" s="2" t="s">
        <v>3233</v>
      </c>
      <c r="B88" s="2" t="s">
        <v>3407</v>
      </c>
      <c r="C88" s="2" t="s">
        <v>3408</v>
      </c>
      <c r="D88" s="2" t="s">
        <v>3414</v>
      </c>
      <c r="E88" s="54" t="s">
        <v>3362</v>
      </c>
      <c r="F88" s="54">
        <v>4</v>
      </c>
      <c r="G88" s="46">
        <v>2081900</v>
      </c>
      <c r="H88" s="46">
        <f t="shared" ref="H88:H104" si="66">G88*(1+C$3)</f>
        <v>2188076.9</v>
      </c>
      <c r="I88" s="46">
        <f>+H88*F88</f>
        <v>8752307.5999999996</v>
      </c>
      <c r="J88" s="2"/>
      <c r="K88" s="2"/>
      <c r="L88" s="2"/>
      <c r="M88" s="18">
        <f>SUM(N88:Y88)</f>
        <v>8752307.5999999996</v>
      </c>
      <c r="N88" s="18">
        <v>0</v>
      </c>
      <c r="O88" s="18">
        <v>0</v>
      </c>
      <c r="P88" s="18">
        <v>0</v>
      </c>
      <c r="Q88" s="18">
        <v>0</v>
      </c>
      <c r="R88" s="18">
        <f>H88*F88</f>
        <v>8752307.5999999996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</row>
    <row r="89" spans="1:25">
      <c r="A89" s="2" t="s">
        <v>3233</v>
      </c>
      <c r="B89" s="2" t="s">
        <v>3407</v>
      </c>
      <c r="C89" s="2" t="s">
        <v>3408</v>
      </c>
      <c r="D89" s="2" t="s">
        <v>3415</v>
      </c>
      <c r="E89" s="54" t="s">
        <v>3362</v>
      </c>
      <c r="F89" s="54">
        <v>6</v>
      </c>
      <c r="G89" s="46">
        <v>980512</v>
      </c>
      <c r="H89" s="46">
        <f t="shared" si="66"/>
        <v>1030518.112</v>
      </c>
      <c r="I89" s="46">
        <f t="shared" si="62"/>
        <v>6183108.6720000003</v>
      </c>
      <c r="J89" s="2"/>
      <c r="K89" s="2"/>
      <c r="L89" s="2"/>
      <c r="M89" s="18">
        <f>SUM(N89:Y89)</f>
        <v>6183108.6719999993</v>
      </c>
      <c r="N89" s="18">
        <v>0</v>
      </c>
      <c r="O89" s="18">
        <f>H89*3</f>
        <v>3091554.3360000001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f>H89</f>
        <v>1030518.112</v>
      </c>
      <c r="W89" s="18">
        <v>0</v>
      </c>
      <c r="X89" s="18">
        <f>H89</f>
        <v>1030518.112</v>
      </c>
      <c r="Y89" s="18">
        <f>H89</f>
        <v>1030518.112</v>
      </c>
    </row>
    <row r="90" spans="1:25">
      <c r="A90" s="2" t="s">
        <v>3233</v>
      </c>
      <c r="B90" s="2" t="s">
        <v>3407</v>
      </c>
      <c r="C90" s="2" t="s">
        <v>3408</v>
      </c>
      <c r="D90" s="2" t="s">
        <v>3416</v>
      </c>
      <c r="E90" s="54" t="s">
        <v>3362</v>
      </c>
      <c r="F90" s="54">
        <v>6</v>
      </c>
      <c r="G90" s="46">
        <v>334403</v>
      </c>
      <c r="H90" s="46">
        <f t="shared" si="66"/>
        <v>351457.55299999996</v>
      </c>
      <c r="I90" s="46">
        <f t="shared" si="62"/>
        <v>2108745.318</v>
      </c>
      <c r="J90" s="2"/>
      <c r="K90" s="2"/>
      <c r="L90" s="2"/>
      <c r="M90" s="18">
        <f t="shared" si="39"/>
        <v>2108745.3179999995</v>
      </c>
      <c r="N90" s="18">
        <v>0</v>
      </c>
      <c r="O90" s="18">
        <f>H90*3</f>
        <v>1054372.659</v>
      </c>
      <c r="P90" s="18">
        <v>0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  <c r="V90" s="18">
        <f>H90</f>
        <v>351457.55299999996</v>
      </c>
      <c r="W90" s="18">
        <v>0</v>
      </c>
      <c r="X90" s="18">
        <f>H90</f>
        <v>351457.55299999996</v>
      </c>
      <c r="Y90" s="18">
        <f>H90</f>
        <v>351457.55299999996</v>
      </c>
    </row>
    <row r="91" spans="1:25">
      <c r="A91" s="2" t="s">
        <v>3233</v>
      </c>
      <c r="B91" s="2" t="s">
        <v>3407</v>
      </c>
      <c r="C91" s="2" t="s">
        <v>3408</v>
      </c>
      <c r="D91" s="2" t="s">
        <v>3417</v>
      </c>
      <c r="E91" s="54" t="s">
        <v>3362</v>
      </c>
      <c r="F91" s="54">
        <v>6</v>
      </c>
      <c r="G91" s="46">
        <f>43779*12</f>
        <v>525348</v>
      </c>
      <c r="H91" s="46">
        <f>G91*(1+C$3)</f>
        <v>552140.74800000002</v>
      </c>
      <c r="I91" s="46">
        <f>+H91*F91</f>
        <v>3312844.4879999999</v>
      </c>
      <c r="J91" s="2"/>
      <c r="K91" s="2"/>
      <c r="L91" s="2"/>
      <c r="M91" s="18">
        <f>SUM(N91:Y91)</f>
        <v>39754133.855999991</v>
      </c>
      <c r="N91" s="18">
        <f>H91*F91</f>
        <v>3312844.4879999999</v>
      </c>
      <c r="O91" s="18">
        <f>N91</f>
        <v>3312844.4879999999</v>
      </c>
      <c r="P91" s="18">
        <f t="shared" ref="P91:Y91" si="67">O91</f>
        <v>3312844.4879999999</v>
      </c>
      <c r="Q91" s="18">
        <f t="shared" si="67"/>
        <v>3312844.4879999999</v>
      </c>
      <c r="R91" s="18">
        <f t="shared" si="67"/>
        <v>3312844.4879999999</v>
      </c>
      <c r="S91" s="18">
        <f t="shared" si="67"/>
        <v>3312844.4879999999</v>
      </c>
      <c r="T91" s="18">
        <f t="shared" si="67"/>
        <v>3312844.4879999999</v>
      </c>
      <c r="U91" s="18">
        <f t="shared" si="67"/>
        <v>3312844.4879999999</v>
      </c>
      <c r="V91" s="18">
        <f t="shared" si="67"/>
        <v>3312844.4879999999</v>
      </c>
      <c r="W91" s="18">
        <f t="shared" si="67"/>
        <v>3312844.4879999999</v>
      </c>
      <c r="X91" s="18">
        <f t="shared" si="67"/>
        <v>3312844.4879999999</v>
      </c>
      <c r="Y91" s="18">
        <f t="shared" si="67"/>
        <v>3312844.4879999999</v>
      </c>
    </row>
    <row r="92" spans="1:25">
      <c r="A92" s="2" t="s">
        <v>3233</v>
      </c>
      <c r="B92" s="2" t="s">
        <v>3407</v>
      </c>
      <c r="C92" s="2" t="s">
        <v>3408</v>
      </c>
      <c r="D92" s="2" t="s">
        <v>3418</v>
      </c>
      <c r="E92" s="54" t="s">
        <v>3419</v>
      </c>
      <c r="F92" s="57">
        <f>M92/H92</f>
        <v>6609.9854096096551</v>
      </c>
      <c r="G92" s="46">
        <v>12689</v>
      </c>
      <c r="H92" s="46">
        <f>G92*(1+C$3)</f>
        <v>13336.138999999999</v>
      </c>
      <c r="I92" s="46">
        <f>+H92*F92</f>
        <v>88151684.210526288</v>
      </c>
      <c r="J92" s="2"/>
      <c r="K92" s="2"/>
      <c r="L92" s="2"/>
      <c r="M92" s="18">
        <f t="shared" si="39"/>
        <v>88151684.210526288</v>
      </c>
      <c r="N92" s="18">
        <v>7345973.684210524</v>
      </c>
      <c r="O92" s="18">
        <v>7345973.684210524</v>
      </c>
      <c r="P92" s="18">
        <v>7345973.684210524</v>
      </c>
      <c r="Q92" s="18">
        <v>7345973.684210524</v>
      </c>
      <c r="R92" s="18">
        <v>7345973.684210524</v>
      </c>
      <c r="S92" s="18">
        <v>7345973.684210524</v>
      </c>
      <c r="T92" s="18">
        <v>7345973.684210524</v>
      </c>
      <c r="U92" s="18">
        <v>7345973.684210524</v>
      </c>
      <c r="V92" s="18">
        <v>7345973.684210524</v>
      </c>
      <c r="W92" s="18">
        <v>7345973.684210524</v>
      </c>
      <c r="X92" s="18">
        <v>7345973.684210524</v>
      </c>
      <c r="Y92" s="18">
        <v>7345973.684210524</v>
      </c>
    </row>
    <row r="93" spans="1:25">
      <c r="A93" s="2" t="s">
        <v>3233</v>
      </c>
      <c r="B93" s="2" t="s">
        <v>3407</v>
      </c>
      <c r="C93" s="2" t="s">
        <v>3408</v>
      </c>
      <c r="D93" s="2" t="s">
        <v>3420</v>
      </c>
      <c r="E93" s="54" t="s">
        <v>3362</v>
      </c>
      <c r="F93" s="54">
        <f>12*6</f>
        <v>72</v>
      </c>
      <c r="G93" s="46">
        <v>79900</v>
      </c>
      <c r="H93" s="46">
        <f>G93*(1+C$3)</f>
        <v>83974.9</v>
      </c>
      <c r="I93" s="46">
        <f>+H93*F93</f>
        <v>6046192.7999999998</v>
      </c>
      <c r="J93" s="2"/>
      <c r="K93" s="2"/>
      <c r="L93" s="2"/>
      <c r="M93" s="18">
        <f>SUM(N93:Y93)</f>
        <v>72554313.599999979</v>
      </c>
      <c r="N93" s="18">
        <f>H93*F93</f>
        <v>6046192.7999999998</v>
      </c>
      <c r="O93" s="18">
        <f>N93</f>
        <v>6046192.7999999998</v>
      </c>
      <c r="P93" s="18">
        <f t="shared" ref="P93:Y93" si="68">O93</f>
        <v>6046192.7999999998</v>
      </c>
      <c r="Q93" s="18">
        <f t="shared" si="68"/>
        <v>6046192.7999999998</v>
      </c>
      <c r="R93" s="18">
        <f t="shared" si="68"/>
        <v>6046192.7999999998</v>
      </c>
      <c r="S93" s="18">
        <f t="shared" si="68"/>
        <v>6046192.7999999998</v>
      </c>
      <c r="T93" s="18">
        <f t="shared" si="68"/>
        <v>6046192.7999999998</v>
      </c>
      <c r="U93" s="18">
        <f t="shared" si="68"/>
        <v>6046192.7999999998</v>
      </c>
      <c r="V93" s="18">
        <f t="shared" si="68"/>
        <v>6046192.7999999998</v>
      </c>
      <c r="W93" s="18">
        <f t="shared" si="68"/>
        <v>6046192.7999999998</v>
      </c>
      <c r="X93" s="18">
        <f t="shared" si="68"/>
        <v>6046192.7999999998</v>
      </c>
      <c r="Y93" s="18">
        <f t="shared" si="68"/>
        <v>6046192.7999999998</v>
      </c>
    </row>
    <row r="94" spans="1:25">
      <c r="A94" s="2" t="s">
        <v>3233</v>
      </c>
      <c r="B94" s="2" t="s">
        <v>3407</v>
      </c>
      <c r="C94" s="2" t="s">
        <v>3408</v>
      </c>
      <c r="D94" s="2" t="s">
        <v>3421</v>
      </c>
      <c r="E94" s="54" t="s">
        <v>3362</v>
      </c>
      <c r="F94" s="54">
        <f>12*6</f>
        <v>72</v>
      </c>
      <c r="G94" s="46">
        <v>40000</v>
      </c>
      <c r="H94" s="46">
        <f t="shared" si="66"/>
        <v>42040</v>
      </c>
      <c r="I94" s="46">
        <f>+H94*F94</f>
        <v>3026880</v>
      </c>
      <c r="J94" s="2"/>
      <c r="K94" s="2"/>
      <c r="L94" s="2"/>
      <c r="M94" s="18">
        <f t="shared" si="39"/>
        <v>36322560</v>
      </c>
      <c r="N94" s="18">
        <f t="shared" ref="N94:N100" si="69">H94*F94</f>
        <v>3026880</v>
      </c>
      <c r="O94" s="18">
        <f>N94</f>
        <v>3026880</v>
      </c>
      <c r="P94" s="18">
        <f t="shared" ref="O94:Y101" si="70">O94</f>
        <v>3026880</v>
      </c>
      <c r="Q94" s="18">
        <f t="shared" si="70"/>
        <v>3026880</v>
      </c>
      <c r="R94" s="18">
        <f t="shared" si="70"/>
        <v>3026880</v>
      </c>
      <c r="S94" s="18">
        <f t="shared" si="70"/>
        <v>3026880</v>
      </c>
      <c r="T94" s="18">
        <f t="shared" si="70"/>
        <v>3026880</v>
      </c>
      <c r="U94" s="18">
        <f t="shared" si="70"/>
        <v>3026880</v>
      </c>
      <c r="V94" s="18">
        <f t="shared" si="70"/>
        <v>3026880</v>
      </c>
      <c r="W94" s="18">
        <f t="shared" si="70"/>
        <v>3026880</v>
      </c>
      <c r="X94" s="18">
        <f t="shared" si="70"/>
        <v>3026880</v>
      </c>
      <c r="Y94" s="18">
        <f t="shared" si="70"/>
        <v>3026880</v>
      </c>
    </row>
    <row r="95" spans="1:25">
      <c r="A95" s="2" t="s">
        <v>3233</v>
      </c>
      <c r="B95" s="2" t="s">
        <v>3407</v>
      </c>
      <c r="C95" s="2" t="s">
        <v>3408</v>
      </c>
      <c r="D95" s="2" t="s">
        <v>3422</v>
      </c>
      <c r="E95" s="54" t="s">
        <v>3362</v>
      </c>
      <c r="F95" s="54">
        <f>12*6</f>
        <v>72</v>
      </c>
      <c r="G95" s="46">
        <v>31185</v>
      </c>
      <c r="H95" s="46">
        <f t="shared" si="66"/>
        <v>32775.434999999998</v>
      </c>
      <c r="I95" s="46">
        <f t="shared" si="62"/>
        <v>2359831.3199999998</v>
      </c>
      <c r="J95" s="2"/>
      <c r="K95" s="2"/>
      <c r="L95" s="2"/>
      <c r="M95" s="18">
        <f t="shared" si="39"/>
        <v>28317975.84</v>
      </c>
      <c r="N95" s="18">
        <f>H95*F95</f>
        <v>2359831.3199999998</v>
      </c>
      <c r="O95" s="18">
        <f t="shared" si="70"/>
        <v>2359831.3199999998</v>
      </c>
      <c r="P95" s="18">
        <f t="shared" si="70"/>
        <v>2359831.3199999998</v>
      </c>
      <c r="Q95" s="18">
        <f t="shared" si="70"/>
        <v>2359831.3199999998</v>
      </c>
      <c r="R95" s="18">
        <f t="shared" si="70"/>
        <v>2359831.3199999998</v>
      </c>
      <c r="S95" s="18">
        <f t="shared" si="70"/>
        <v>2359831.3199999998</v>
      </c>
      <c r="T95" s="18">
        <f t="shared" si="70"/>
        <v>2359831.3199999998</v>
      </c>
      <c r="U95" s="18">
        <f t="shared" si="70"/>
        <v>2359831.3199999998</v>
      </c>
      <c r="V95" s="18">
        <f t="shared" si="70"/>
        <v>2359831.3199999998</v>
      </c>
      <c r="W95" s="18">
        <f t="shared" si="70"/>
        <v>2359831.3199999998</v>
      </c>
      <c r="X95" s="18">
        <f t="shared" si="70"/>
        <v>2359831.3199999998</v>
      </c>
      <c r="Y95" s="18">
        <f t="shared" si="70"/>
        <v>2359831.3199999998</v>
      </c>
    </row>
    <row r="96" spans="1:25">
      <c r="A96" s="2" t="s">
        <v>3233</v>
      </c>
      <c r="B96" s="2" t="s">
        <v>3407</v>
      </c>
      <c r="C96" s="2" t="s">
        <v>3408</v>
      </c>
      <c r="D96" s="2" t="s">
        <v>3423</v>
      </c>
      <c r="E96" s="54" t="s">
        <v>3362</v>
      </c>
      <c r="F96" s="54">
        <f>12*6</f>
        <v>72</v>
      </c>
      <c r="G96" s="46">
        <v>44900</v>
      </c>
      <c r="H96" s="46">
        <f t="shared" si="66"/>
        <v>47189.899999999994</v>
      </c>
      <c r="I96" s="46">
        <f t="shared" si="62"/>
        <v>3397672.8</v>
      </c>
      <c r="J96" s="2"/>
      <c r="K96" s="2"/>
      <c r="L96" s="2"/>
      <c r="M96" s="18">
        <f t="shared" si="39"/>
        <v>40772073.599999994</v>
      </c>
      <c r="N96" s="18">
        <f t="shared" si="69"/>
        <v>3397672.8</v>
      </c>
      <c r="O96" s="18">
        <f t="shared" si="70"/>
        <v>3397672.8</v>
      </c>
      <c r="P96" s="18">
        <f t="shared" si="70"/>
        <v>3397672.8</v>
      </c>
      <c r="Q96" s="18">
        <f t="shared" si="70"/>
        <v>3397672.8</v>
      </c>
      <c r="R96" s="18">
        <f t="shared" si="70"/>
        <v>3397672.8</v>
      </c>
      <c r="S96" s="18">
        <f t="shared" si="70"/>
        <v>3397672.8</v>
      </c>
      <c r="T96" s="18">
        <f t="shared" si="70"/>
        <v>3397672.8</v>
      </c>
      <c r="U96" s="18">
        <f t="shared" si="70"/>
        <v>3397672.8</v>
      </c>
      <c r="V96" s="18">
        <f t="shared" si="70"/>
        <v>3397672.8</v>
      </c>
      <c r="W96" s="18">
        <f t="shared" si="70"/>
        <v>3397672.8</v>
      </c>
      <c r="X96" s="18">
        <f t="shared" si="70"/>
        <v>3397672.8</v>
      </c>
      <c r="Y96" s="18">
        <f t="shared" si="70"/>
        <v>3397672.8</v>
      </c>
    </row>
    <row r="97" spans="1:25">
      <c r="A97" s="2" t="s">
        <v>3233</v>
      </c>
      <c r="B97" s="2" t="s">
        <v>3407</v>
      </c>
      <c r="C97" s="2" t="s">
        <v>3408</v>
      </c>
      <c r="D97" s="2" t="s">
        <v>3424</v>
      </c>
      <c r="E97" s="54" t="s">
        <v>3362</v>
      </c>
      <c r="F97" s="54">
        <f>12*6</f>
        <v>72</v>
      </c>
      <c r="G97" s="46">
        <v>5000</v>
      </c>
      <c r="H97" s="46">
        <f t="shared" si="66"/>
        <v>5255</v>
      </c>
      <c r="I97" s="46">
        <f t="shared" si="62"/>
        <v>378360</v>
      </c>
      <c r="J97" s="2"/>
      <c r="K97" s="2"/>
      <c r="L97" s="2"/>
      <c r="M97" s="18">
        <f t="shared" si="39"/>
        <v>4540320</v>
      </c>
      <c r="N97" s="18">
        <f t="shared" si="69"/>
        <v>378360</v>
      </c>
      <c r="O97" s="18">
        <f t="shared" si="70"/>
        <v>378360</v>
      </c>
      <c r="P97" s="18">
        <f t="shared" si="70"/>
        <v>378360</v>
      </c>
      <c r="Q97" s="18">
        <f t="shared" si="70"/>
        <v>378360</v>
      </c>
      <c r="R97" s="18">
        <f t="shared" si="70"/>
        <v>378360</v>
      </c>
      <c r="S97" s="18">
        <f t="shared" si="70"/>
        <v>378360</v>
      </c>
      <c r="T97" s="18">
        <f t="shared" si="70"/>
        <v>378360</v>
      </c>
      <c r="U97" s="18">
        <f t="shared" si="70"/>
        <v>378360</v>
      </c>
      <c r="V97" s="18">
        <f t="shared" si="70"/>
        <v>378360</v>
      </c>
      <c r="W97" s="18">
        <f t="shared" si="70"/>
        <v>378360</v>
      </c>
      <c r="X97" s="18">
        <f t="shared" si="70"/>
        <v>378360</v>
      </c>
      <c r="Y97" s="18">
        <f t="shared" si="70"/>
        <v>378360</v>
      </c>
    </row>
    <row r="98" spans="1:25">
      <c r="A98" s="2" t="s">
        <v>3233</v>
      </c>
      <c r="B98" s="2" t="s">
        <v>3407</v>
      </c>
      <c r="C98" s="2" t="s">
        <v>3408</v>
      </c>
      <c r="D98" s="2" t="s">
        <v>3425</v>
      </c>
      <c r="E98" s="54" t="s">
        <v>3419</v>
      </c>
      <c r="F98" s="54">
        <f>24*6</f>
        <v>144</v>
      </c>
      <c r="G98" s="46">
        <v>72363.64</v>
      </c>
      <c r="H98" s="46">
        <f>G98*(1+C$3)</f>
        <v>76054.185639999996</v>
      </c>
      <c r="I98" s="46">
        <f>+H98*F98</f>
        <v>10951802.73216</v>
      </c>
      <c r="J98" s="2"/>
      <c r="K98" s="2"/>
      <c r="L98" s="2"/>
      <c r="M98" s="18">
        <f t="shared" si="39"/>
        <v>131421632.78592001</v>
      </c>
      <c r="N98" s="18">
        <f>H98*F98</f>
        <v>10951802.73216</v>
      </c>
      <c r="O98" s="18">
        <f t="shared" si="70"/>
        <v>10951802.73216</v>
      </c>
      <c r="P98" s="18">
        <f t="shared" si="70"/>
        <v>10951802.73216</v>
      </c>
      <c r="Q98" s="18">
        <f t="shared" si="70"/>
        <v>10951802.73216</v>
      </c>
      <c r="R98" s="18">
        <f t="shared" si="70"/>
        <v>10951802.73216</v>
      </c>
      <c r="S98" s="18">
        <f t="shared" si="70"/>
        <v>10951802.73216</v>
      </c>
      <c r="T98" s="18">
        <f t="shared" si="70"/>
        <v>10951802.73216</v>
      </c>
      <c r="U98" s="18">
        <f t="shared" si="70"/>
        <v>10951802.73216</v>
      </c>
      <c r="V98" s="18">
        <f t="shared" si="70"/>
        <v>10951802.73216</v>
      </c>
      <c r="W98" s="18">
        <f t="shared" si="70"/>
        <v>10951802.73216</v>
      </c>
      <c r="X98" s="18">
        <f t="shared" si="70"/>
        <v>10951802.73216</v>
      </c>
      <c r="Y98" s="18">
        <f t="shared" si="70"/>
        <v>10951802.73216</v>
      </c>
    </row>
    <row r="99" spans="1:25">
      <c r="A99" s="2" t="s">
        <v>3233</v>
      </c>
      <c r="B99" s="2" t="s">
        <v>3407</v>
      </c>
      <c r="C99" s="2" t="s">
        <v>3408</v>
      </c>
      <c r="D99" s="2" t="s">
        <v>3426</v>
      </c>
      <c r="E99" s="54" t="s">
        <v>3362</v>
      </c>
      <c r="F99" s="54">
        <f>2*6</f>
        <v>12</v>
      </c>
      <c r="G99" s="46">
        <v>37000</v>
      </c>
      <c r="H99" s="46">
        <f t="shared" si="66"/>
        <v>38887</v>
      </c>
      <c r="I99" s="46">
        <f t="shared" si="62"/>
        <v>466644</v>
      </c>
      <c r="J99" s="2"/>
      <c r="K99" s="2"/>
      <c r="L99" s="2"/>
      <c r="M99" s="18">
        <f t="shared" si="39"/>
        <v>5599728</v>
      </c>
      <c r="N99" s="18">
        <f t="shared" si="69"/>
        <v>466644</v>
      </c>
      <c r="O99" s="18">
        <f t="shared" si="70"/>
        <v>466644</v>
      </c>
      <c r="P99" s="18">
        <f t="shared" si="70"/>
        <v>466644</v>
      </c>
      <c r="Q99" s="18">
        <f t="shared" si="70"/>
        <v>466644</v>
      </c>
      <c r="R99" s="18">
        <f t="shared" si="70"/>
        <v>466644</v>
      </c>
      <c r="S99" s="18">
        <f t="shared" si="70"/>
        <v>466644</v>
      </c>
      <c r="T99" s="18">
        <f t="shared" si="70"/>
        <v>466644</v>
      </c>
      <c r="U99" s="18">
        <f t="shared" si="70"/>
        <v>466644</v>
      </c>
      <c r="V99" s="18">
        <f t="shared" si="70"/>
        <v>466644</v>
      </c>
      <c r="W99" s="18">
        <f t="shared" si="70"/>
        <v>466644</v>
      </c>
      <c r="X99" s="18">
        <f t="shared" si="70"/>
        <v>466644</v>
      </c>
      <c r="Y99" s="18">
        <f t="shared" si="70"/>
        <v>466644</v>
      </c>
    </row>
    <row r="100" spans="1:25">
      <c r="A100" s="2" t="s">
        <v>3233</v>
      </c>
      <c r="B100" s="2" t="s">
        <v>3407</v>
      </c>
      <c r="C100" s="2" t="s">
        <v>3408</v>
      </c>
      <c r="D100" s="2" t="s">
        <v>3427</v>
      </c>
      <c r="E100" s="54" t="s">
        <v>3428</v>
      </c>
      <c r="F100" s="54">
        <f>2*6</f>
        <v>12</v>
      </c>
      <c r="G100" s="46">
        <v>55000</v>
      </c>
      <c r="H100" s="46">
        <f t="shared" si="66"/>
        <v>57805</v>
      </c>
      <c r="I100" s="46">
        <f t="shared" si="62"/>
        <v>693660</v>
      </c>
      <c r="J100" s="2"/>
      <c r="K100" s="2"/>
      <c r="L100" s="2"/>
      <c r="M100" s="18">
        <f t="shared" si="39"/>
        <v>8323920</v>
      </c>
      <c r="N100" s="18">
        <f t="shared" si="69"/>
        <v>693660</v>
      </c>
      <c r="O100" s="18">
        <f t="shared" si="70"/>
        <v>693660</v>
      </c>
      <c r="P100" s="18">
        <f t="shared" si="70"/>
        <v>693660</v>
      </c>
      <c r="Q100" s="18">
        <f t="shared" si="70"/>
        <v>693660</v>
      </c>
      <c r="R100" s="18">
        <f t="shared" si="70"/>
        <v>693660</v>
      </c>
      <c r="S100" s="18">
        <f t="shared" si="70"/>
        <v>693660</v>
      </c>
      <c r="T100" s="18">
        <f t="shared" si="70"/>
        <v>693660</v>
      </c>
      <c r="U100" s="18">
        <f t="shared" si="70"/>
        <v>693660</v>
      </c>
      <c r="V100" s="18">
        <f t="shared" si="70"/>
        <v>693660</v>
      </c>
      <c r="W100" s="18">
        <f t="shared" si="70"/>
        <v>693660</v>
      </c>
      <c r="X100" s="18">
        <f t="shared" si="70"/>
        <v>693660</v>
      </c>
      <c r="Y100" s="18">
        <f t="shared" si="70"/>
        <v>693660</v>
      </c>
    </row>
    <row r="101" spans="1:25">
      <c r="A101" s="2" t="s">
        <v>3233</v>
      </c>
      <c r="B101" s="2" t="s">
        <v>3407</v>
      </c>
      <c r="C101" s="2" t="s">
        <v>3408</v>
      </c>
      <c r="D101" s="2" t="s">
        <v>3429</v>
      </c>
      <c r="E101" s="54" t="s">
        <v>3428</v>
      </c>
      <c r="F101" s="54">
        <f>8*6</f>
        <v>48</v>
      </c>
      <c r="G101" s="46">
        <v>138000</v>
      </c>
      <c r="H101" s="46">
        <f>G101*(1+C$3)</f>
        <v>145038</v>
      </c>
      <c r="I101" s="46">
        <f>+H101*F101</f>
        <v>6961824</v>
      </c>
      <c r="J101" s="2"/>
      <c r="K101" s="2"/>
      <c r="L101" s="2"/>
      <c r="M101" s="18">
        <f>SUM(N101:Y101)</f>
        <v>6961824</v>
      </c>
      <c r="N101" s="18">
        <f>H101*F101/12</f>
        <v>580152</v>
      </c>
      <c r="O101" s="18">
        <f t="shared" si="70"/>
        <v>580152</v>
      </c>
      <c r="P101" s="18">
        <f t="shared" si="70"/>
        <v>580152</v>
      </c>
      <c r="Q101" s="18">
        <f t="shared" si="70"/>
        <v>580152</v>
      </c>
      <c r="R101" s="18">
        <f t="shared" si="70"/>
        <v>580152</v>
      </c>
      <c r="S101" s="18">
        <f t="shared" si="70"/>
        <v>580152</v>
      </c>
      <c r="T101" s="18">
        <f t="shared" si="70"/>
        <v>580152</v>
      </c>
      <c r="U101" s="18">
        <f t="shared" si="70"/>
        <v>580152</v>
      </c>
      <c r="V101" s="18">
        <f t="shared" si="70"/>
        <v>580152</v>
      </c>
      <c r="W101" s="18">
        <f t="shared" si="70"/>
        <v>580152</v>
      </c>
      <c r="X101" s="18">
        <f t="shared" si="70"/>
        <v>580152</v>
      </c>
      <c r="Y101" s="18">
        <f t="shared" si="70"/>
        <v>580152</v>
      </c>
    </row>
    <row r="102" spans="1:25">
      <c r="A102" s="2" t="s">
        <v>3233</v>
      </c>
      <c r="B102" s="2" t="s">
        <v>3407</v>
      </c>
      <c r="C102" s="2" t="s">
        <v>3408</v>
      </c>
      <c r="D102" s="2" t="s">
        <v>3430</v>
      </c>
      <c r="E102" s="54" t="s">
        <v>3362</v>
      </c>
      <c r="F102" s="54">
        <v>2</v>
      </c>
      <c r="G102" s="46">
        <v>1800000</v>
      </c>
      <c r="H102" s="46">
        <f>G102*(1+C$3)</f>
        <v>1891799.9999999998</v>
      </c>
      <c r="I102" s="46">
        <f>H102*F102</f>
        <v>3783599.9999999995</v>
      </c>
      <c r="J102" s="2"/>
      <c r="K102" s="2"/>
      <c r="L102" s="2"/>
      <c r="M102" s="18">
        <f>SUM(N102:Y102)</f>
        <v>3783600</v>
      </c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  <c r="T102" s="18">
        <v>3783600</v>
      </c>
      <c r="U102" s="18">
        <v>0</v>
      </c>
      <c r="V102" s="18">
        <v>0</v>
      </c>
      <c r="W102" s="18">
        <v>0</v>
      </c>
      <c r="X102" s="18">
        <v>0</v>
      </c>
      <c r="Y102" s="18">
        <v>0</v>
      </c>
    </row>
    <row r="103" spans="1:25">
      <c r="A103" s="2" t="s">
        <v>3233</v>
      </c>
      <c r="B103" s="2" t="s">
        <v>3407</v>
      </c>
      <c r="C103" s="2" t="s">
        <v>3408</v>
      </c>
      <c r="D103" s="2" t="s">
        <v>3431</v>
      </c>
      <c r="E103" s="54" t="s">
        <v>3362</v>
      </c>
      <c r="F103" s="54">
        <v>5</v>
      </c>
      <c r="G103" s="46">
        <v>2499000</v>
      </c>
      <c r="H103" s="46">
        <f t="shared" si="66"/>
        <v>2626449</v>
      </c>
      <c r="I103" s="46">
        <f t="shared" ref="I103:I110" si="71">H103*F103</f>
        <v>13132245</v>
      </c>
      <c r="J103" s="2"/>
      <c r="K103" s="2"/>
      <c r="L103" s="2"/>
      <c r="M103" s="18">
        <f>SUM(N103:Y103)</f>
        <v>13132245</v>
      </c>
      <c r="N103" s="18">
        <v>0</v>
      </c>
      <c r="O103" s="18">
        <v>0</v>
      </c>
      <c r="P103" s="18">
        <v>0</v>
      </c>
      <c r="Q103" s="18">
        <f>H103*2</f>
        <v>5252898</v>
      </c>
      <c r="R103" s="18">
        <f>H103</f>
        <v>2626449</v>
      </c>
      <c r="S103" s="18">
        <v>0</v>
      </c>
      <c r="T103" s="18">
        <v>0</v>
      </c>
      <c r="U103" s="18">
        <v>0</v>
      </c>
      <c r="V103" s="18">
        <v>0</v>
      </c>
      <c r="W103" s="18">
        <v>0</v>
      </c>
      <c r="X103" s="18">
        <f>H103</f>
        <v>2626449</v>
      </c>
      <c r="Y103" s="18">
        <f>H103</f>
        <v>2626449</v>
      </c>
    </row>
    <row r="104" spans="1:25">
      <c r="A104" s="2" t="s">
        <v>3233</v>
      </c>
      <c r="B104" s="2" t="s">
        <v>3407</v>
      </c>
      <c r="C104" s="2" t="s">
        <v>3408</v>
      </c>
      <c r="D104" s="2" t="s">
        <v>3432</v>
      </c>
      <c r="E104" s="54" t="s">
        <v>3387</v>
      </c>
      <c r="F104" s="54">
        <f>4*6</f>
        <v>24</v>
      </c>
      <c r="G104" s="46">
        <v>1366343</v>
      </c>
      <c r="H104" s="46">
        <f t="shared" si="66"/>
        <v>1436026.493</v>
      </c>
      <c r="I104" s="46">
        <f t="shared" si="71"/>
        <v>34464635.832000002</v>
      </c>
      <c r="J104" s="2"/>
      <c r="K104" s="2"/>
      <c r="L104" s="2"/>
      <c r="M104" s="18">
        <f>SUM(N104:Y104)</f>
        <v>34464637.899999999</v>
      </c>
      <c r="N104" s="18">
        <v>0</v>
      </c>
      <c r="O104" s="18">
        <v>0</v>
      </c>
      <c r="P104" s="18">
        <v>11657143.515999999</v>
      </c>
      <c r="Q104" s="18">
        <v>0</v>
      </c>
      <c r="R104" s="18">
        <v>0</v>
      </c>
      <c r="S104" s="18">
        <v>1520530.0460000001</v>
      </c>
      <c r="T104" s="18">
        <v>10136613.469999999</v>
      </c>
      <c r="U104" s="18">
        <v>0</v>
      </c>
      <c r="V104" s="18">
        <v>1520530.0460000001</v>
      </c>
      <c r="W104" s="18">
        <v>0</v>
      </c>
      <c r="X104" s="18">
        <v>8109290.7759999996</v>
      </c>
      <c r="Y104" s="18">
        <v>1520530.0460000001</v>
      </c>
    </row>
    <row r="105" spans="1:25">
      <c r="A105" s="2" t="s">
        <v>3233</v>
      </c>
      <c r="B105" s="2" t="s">
        <v>3407</v>
      </c>
      <c r="C105" s="2" t="s">
        <v>3408</v>
      </c>
      <c r="D105" s="2" t="s">
        <v>3433</v>
      </c>
      <c r="E105" s="54" t="s">
        <v>3387</v>
      </c>
      <c r="F105" s="54">
        <v>21</v>
      </c>
      <c r="G105" s="46">
        <v>662557</v>
      </c>
      <c r="H105" s="46">
        <f t="shared" ref="H105:H110" si="72">G105*(1+C$3)</f>
        <v>696347.40700000001</v>
      </c>
      <c r="I105" s="46">
        <f t="shared" si="71"/>
        <v>14623295.547</v>
      </c>
      <c r="J105" s="2"/>
      <c r="K105" s="2"/>
      <c r="L105" s="2"/>
      <c r="M105" s="18">
        <f>SUM(N105:Y105)</f>
        <v>14623295.6</v>
      </c>
      <c r="N105" s="18">
        <v>649690</v>
      </c>
      <c r="O105" s="18">
        <v>0</v>
      </c>
      <c r="P105" s="18">
        <v>150000</v>
      </c>
      <c r="Q105" s="18">
        <v>150000</v>
      </c>
      <c r="R105" s="18">
        <v>649690</v>
      </c>
      <c r="S105" s="18">
        <v>472950</v>
      </c>
      <c r="T105" s="18">
        <v>150000</v>
      </c>
      <c r="U105" s="18">
        <v>1941827.6</v>
      </c>
      <c r="V105" s="18">
        <v>7767310.4000000004</v>
      </c>
      <c r="W105" s="18">
        <v>1941827.6</v>
      </c>
      <c r="X105" s="18">
        <v>150000</v>
      </c>
      <c r="Y105" s="18">
        <v>600000</v>
      </c>
    </row>
    <row r="106" spans="1:25">
      <c r="A106" s="2" t="s">
        <v>3233</v>
      </c>
      <c r="B106" s="2" t="s">
        <v>3407</v>
      </c>
      <c r="C106" s="2" t="s">
        <v>3408</v>
      </c>
      <c r="D106" s="2" t="s">
        <v>3434</v>
      </c>
      <c r="E106" s="54" t="s">
        <v>3435</v>
      </c>
      <c r="F106" s="54">
        <f>8*6</f>
        <v>48</v>
      </c>
      <c r="G106" s="46">
        <v>784471</v>
      </c>
      <c r="H106" s="46">
        <f t="shared" si="72"/>
        <v>824479.02099999995</v>
      </c>
      <c r="I106" s="46">
        <f t="shared" si="71"/>
        <v>39574993.008000001</v>
      </c>
      <c r="J106" s="2"/>
      <c r="K106" s="2"/>
      <c r="L106" s="2"/>
      <c r="M106" s="18">
        <f t="shared" ref="M106" si="73">SUM(N106:Y106)</f>
        <v>39574993.007999994</v>
      </c>
      <c r="N106" s="18">
        <v>0</v>
      </c>
      <c r="O106" s="18">
        <f>H106*4*2</f>
        <v>6595832.1679999996</v>
      </c>
      <c r="P106" s="18">
        <v>0</v>
      </c>
      <c r="Q106" s="18">
        <f>O106</f>
        <v>6595832.1679999996</v>
      </c>
      <c r="R106" s="18">
        <f t="shared" ref="R106:Y106" si="74">Q106</f>
        <v>6595832.1679999996</v>
      </c>
      <c r="S106" s="18">
        <v>0</v>
      </c>
      <c r="T106" s="18">
        <v>0</v>
      </c>
      <c r="U106" s="18">
        <f t="shared" si="74"/>
        <v>0</v>
      </c>
      <c r="V106" s="18">
        <f>R106</f>
        <v>6595832.1679999996</v>
      </c>
      <c r="W106" s="18">
        <v>0</v>
      </c>
      <c r="X106" s="18">
        <f>V106</f>
        <v>6595832.1679999996</v>
      </c>
      <c r="Y106" s="18">
        <f t="shared" si="74"/>
        <v>6595832.1679999996</v>
      </c>
    </row>
    <row r="107" spans="1:25">
      <c r="A107" s="2" t="s">
        <v>3233</v>
      </c>
      <c r="B107" s="2" t="s">
        <v>3407</v>
      </c>
      <c r="C107" s="2" t="s">
        <v>3408</v>
      </c>
      <c r="D107" s="2" t="s">
        <v>3436</v>
      </c>
      <c r="E107" s="54" t="s">
        <v>3435</v>
      </c>
      <c r="F107" s="54">
        <f>8*6</f>
        <v>48</v>
      </c>
      <c r="G107" s="46">
        <v>11900</v>
      </c>
      <c r="H107" s="46">
        <f t="shared" si="72"/>
        <v>12506.9</v>
      </c>
      <c r="I107" s="46">
        <f t="shared" si="71"/>
        <v>600331.19999999995</v>
      </c>
      <c r="J107" s="2"/>
      <c r="K107" s="2"/>
      <c r="L107" s="2"/>
      <c r="M107" s="18">
        <f>SUM(N107:Y107)</f>
        <v>600331.19999999995</v>
      </c>
      <c r="N107" s="18">
        <v>0</v>
      </c>
      <c r="O107" s="18">
        <f>H107*4*2</f>
        <v>100055.2</v>
      </c>
      <c r="P107" s="18">
        <v>0</v>
      </c>
      <c r="Q107" s="18">
        <f>O107</f>
        <v>100055.2</v>
      </c>
      <c r="R107" s="18">
        <f t="shared" ref="R107" si="75">Q107</f>
        <v>100055.2</v>
      </c>
      <c r="S107" s="18">
        <v>0</v>
      </c>
      <c r="T107" s="18">
        <v>0</v>
      </c>
      <c r="U107" s="18">
        <f t="shared" ref="U107" si="76">T107</f>
        <v>0</v>
      </c>
      <c r="V107" s="18">
        <f>R107</f>
        <v>100055.2</v>
      </c>
      <c r="W107" s="18">
        <v>0</v>
      </c>
      <c r="X107" s="18">
        <f>V107</f>
        <v>100055.2</v>
      </c>
      <c r="Y107" s="18">
        <f>X107</f>
        <v>100055.2</v>
      </c>
    </row>
    <row r="108" spans="1:25">
      <c r="A108" s="2" t="s">
        <v>3233</v>
      </c>
      <c r="B108" s="2" t="s">
        <v>3407</v>
      </c>
      <c r="C108" s="2" t="s">
        <v>3408</v>
      </c>
      <c r="D108" s="2" t="s">
        <v>3437</v>
      </c>
      <c r="E108" s="54" t="s">
        <v>3387</v>
      </c>
      <c r="F108" s="54">
        <f>2*6</f>
        <v>12</v>
      </c>
      <c r="G108" s="46">
        <v>149959</v>
      </c>
      <c r="H108" s="46">
        <f t="shared" si="72"/>
        <v>157606.90899999999</v>
      </c>
      <c r="I108" s="46">
        <f t="shared" si="71"/>
        <v>1891282.9079999998</v>
      </c>
      <c r="J108" s="2"/>
      <c r="K108" s="2"/>
      <c r="L108" s="2"/>
      <c r="M108" s="18">
        <f>SUM(N108:Y108)</f>
        <v>1891282.9079999998</v>
      </c>
      <c r="N108" s="18">
        <v>0</v>
      </c>
      <c r="O108" s="18">
        <f>H108*2</f>
        <v>315213.81799999997</v>
      </c>
      <c r="P108" s="18">
        <v>0</v>
      </c>
      <c r="Q108" s="18">
        <f>O108</f>
        <v>315213.81799999997</v>
      </c>
      <c r="R108" s="18">
        <f>Q108</f>
        <v>315213.81799999997</v>
      </c>
      <c r="S108" s="18">
        <v>0</v>
      </c>
      <c r="T108" s="18">
        <v>0</v>
      </c>
      <c r="U108" s="18">
        <f t="shared" ref="U108" si="77">T108</f>
        <v>0</v>
      </c>
      <c r="V108" s="18">
        <f>R108</f>
        <v>315213.81799999997</v>
      </c>
      <c r="W108" s="18">
        <v>0</v>
      </c>
      <c r="X108" s="18">
        <f>V108</f>
        <v>315213.81799999997</v>
      </c>
      <c r="Y108" s="18">
        <f>X108</f>
        <v>315213.81799999997</v>
      </c>
    </row>
    <row r="109" spans="1:25">
      <c r="A109" s="2" t="s">
        <v>3233</v>
      </c>
      <c r="B109" s="2" t="s">
        <v>3407</v>
      </c>
      <c r="C109" s="2" t="s">
        <v>3408</v>
      </c>
      <c r="D109" s="2" t="s">
        <v>3438</v>
      </c>
      <c r="E109" s="54" t="s">
        <v>3435</v>
      </c>
      <c r="F109" s="54">
        <v>5</v>
      </c>
      <c r="G109" s="46">
        <v>600000</v>
      </c>
      <c r="H109" s="46">
        <f t="shared" si="72"/>
        <v>630600</v>
      </c>
      <c r="I109" s="46">
        <f t="shared" si="71"/>
        <v>3153000</v>
      </c>
      <c r="J109" s="2"/>
      <c r="K109" s="2"/>
      <c r="L109" s="2"/>
      <c r="M109" s="18">
        <f>SUM(N109:Y109)</f>
        <v>3153000</v>
      </c>
      <c r="N109" s="18">
        <v>0</v>
      </c>
      <c r="O109" s="18">
        <v>0</v>
      </c>
      <c r="P109" s="18">
        <v>0</v>
      </c>
      <c r="Q109" s="18">
        <v>0</v>
      </c>
      <c r="R109" s="18">
        <v>0</v>
      </c>
      <c r="S109" s="18">
        <v>0</v>
      </c>
      <c r="T109" s="18">
        <f>H109</f>
        <v>630600</v>
      </c>
      <c r="U109" s="18">
        <f>T109</f>
        <v>630600</v>
      </c>
      <c r="V109" s="18">
        <v>0</v>
      </c>
      <c r="W109" s="18">
        <f>H109*2</f>
        <v>1261200</v>
      </c>
      <c r="X109" s="18">
        <f>U109</f>
        <v>630600</v>
      </c>
      <c r="Y109" s="18">
        <v>0</v>
      </c>
    </row>
    <row r="110" spans="1:25">
      <c r="A110" s="2" t="s">
        <v>3233</v>
      </c>
      <c r="B110" s="2" t="s">
        <v>3407</v>
      </c>
      <c r="C110" s="2" t="s">
        <v>3408</v>
      </c>
      <c r="D110" s="2" t="s">
        <v>3439</v>
      </c>
      <c r="E110" s="54" t="s">
        <v>3387</v>
      </c>
      <c r="F110" s="54">
        <v>4</v>
      </c>
      <c r="G110" s="46">
        <v>2450000</v>
      </c>
      <c r="H110" s="46">
        <f t="shared" si="72"/>
        <v>2574950</v>
      </c>
      <c r="I110" s="46">
        <f t="shared" si="71"/>
        <v>10299800</v>
      </c>
      <c r="J110" s="2"/>
      <c r="K110" s="2"/>
      <c r="L110" s="2"/>
      <c r="M110" s="18">
        <f>SUM(N110:Y110)</f>
        <v>10299800</v>
      </c>
      <c r="N110" s="18">
        <v>0</v>
      </c>
      <c r="O110" s="18">
        <v>0</v>
      </c>
      <c r="P110" s="18">
        <v>0</v>
      </c>
      <c r="Q110" s="18">
        <v>0</v>
      </c>
      <c r="R110" s="18">
        <f>H110*2</f>
        <v>5149900</v>
      </c>
      <c r="S110" s="18">
        <v>0</v>
      </c>
      <c r="T110" s="18">
        <v>0</v>
      </c>
      <c r="U110" s="18">
        <v>0</v>
      </c>
      <c r="V110" s="18">
        <v>0</v>
      </c>
      <c r="W110" s="18">
        <f>R110</f>
        <v>5149900</v>
      </c>
      <c r="X110" s="18">
        <v>0</v>
      </c>
      <c r="Y110" s="18">
        <v>0</v>
      </c>
    </row>
    <row r="111" spans="1:25">
      <c r="A111" s="2" t="s">
        <v>3233</v>
      </c>
      <c r="B111" s="2" t="s">
        <v>3407</v>
      </c>
      <c r="C111" s="2" t="s">
        <v>3408</v>
      </c>
      <c r="D111" s="2" t="s">
        <v>3440</v>
      </c>
      <c r="E111" s="54" t="s">
        <v>3387</v>
      </c>
      <c r="F111" s="54">
        <v>6</v>
      </c>
      <c r="G111" s="46">
        <v>1466413</v>
      </c>
      <c r="H111" s="46">
        <f>G111*(1+C$3)</f>
        <v>1541200.0629999998</v>
      </c>
      <c r="I111" s="46">
        <f>H111*F111</f>
        <v>9247200.3779999986</v>
      </c>
      <c r="J111" s="2"/>
      <c r="K111" s="2"/>
      <c r="L111" s="2"/>
      <c r="M111" s="18">
        <f>SUM(N111:Y111)</f>
        <v>9247200</v>
      </c>
      <c r="N111" s="18">
        <v>567540</v>
      </c>
      <c r="O111" s="18">
        <v>567540</v>
      </c>
      <c r="P111" s="18">
        <v>567540</v>
      </c>
      <c r="Q111" s="18">
        <v>1785900</v>
      </c>
      <c r="R111" s="18">
        <v>567540</v>
      </c>
      <c r="S111" s="18">
        <v>567540</v>
      </c>
      <c r="T111" s="18">
        <v>567540</v>
      </c>
      <c r="U111" s="18">
        <v>567540</v>
      </c>
      <c r="V111" s="18">
        <v>567540</v>
      </c>
      <c r="W111" s="18">
        <v>1176720</v>
      </c>
      <c r="X111" s="18">
        <v>1176720</v>
      </c>
      <c r="Y111" s="18">
        <v>567540</v>
      </c>
    </row>
    <row r="112" spans="1:25">
      <c r="A112" s="2" t="s">
        <v>3233</v>
      </c>
      <c r="B112" s="2" t="s">
        <v>3407</v>
      </c>
      <c r="C112" s="2" t="s">
        <v>3408</v>
      </c>
      <c r="D112" s="2" t="s">
        <v>3441</v>
      </c>
      <c r="E112" s="54" t="s">
        <v>3387</v>
      </c>
      <c r="F112" s="54">
        <v>6</v>
      </c>
      <c r="G112" s="52">
        <v>386289</v>
      </c>
      <c r="H112" s="46">
        <f>G112*(1+C$3)</f>
        <v>405989.739</v>
      </c>
      <c r="I112" s="46">
        <f>H112*F112</f>
        <v>2435938.4339999999</v>
      </c>
      <c r="J112" s="2"/>
      <c r="K112" s="2"/>
      <c r="L112" s="2"/>
      <c r="M112" s="18">
        <f>SUM(N112:Y112)</f>
        <v>2435696.7040000004</v>
      </c>
      <c r="N112" s="18">
        <v>0</v>
      </c>
      <c r="O112" s="18">
        <v>173978.33600000001</v>
      </c>
      <c r="P112" s="18">
        <v>260967.50400000002</v>
      </c>
      <c r="Q112" s="18">
        <v>86989.168000000005</v>
      </c>
      <c r="R112" s="18">
        <v>434945.84</v>
      </c>
      <c r="S112" s="18">
        <v>0</v>
      </c>
      <c r="T112" s="18">
        <v>434945.84</v>
      </c>
      <c r="U112" s="18">
        <v>86989.168000000005</v>
      </c>
      <c r="V112" s="18">
        <v>434945.84</v>
      </c>
      <c r="W112" s="18">
        <v>0</v>
      </c>
      <c r="X112" s="18">
        <v>434945.84</v>
      </c>
      <c r="Y112" s="18">
        <v>86989.168000000005</v>
      </c>
    </row>
    <row r="113" spans="1:25">
      <c r="A113" s="2" t="s">
        <v>3233</v>
      </c>
      <c r="B113" s="2" t="s">
        <v>3407</v>
      </c>
      <c r="C113" s="2" t="s">
        <v>3408</v>
      </c>
      <c r="D113" s="2" t="s">
        <v>3442</v>
      </c>
      <c r="E113" s="54" t="s">
        <v>3362</v>
      </c>
      <c r="F113" s="54">
        <v>4</v>
      </c>
      <c r="G113" s="46">
        <v>3317536</v>
      </c>
      <c r="H113" s="46">
        <f>G113*(1+C$3)</f>
        <v>3486730.3359999997</v>
      </c>
      <c r="I113" s="46">
        <f>H113*F113</f>
        <v>13946921.343999999</v>
      </c>
      <c r="J113" s="2"/>
      <c r="K113" s="2"/>
      <c r="L113" s="2"/>
      <c r="M113" s="18">
        <f>SUM(N113:Y113)</f>
        <v>13946919</v>
      </c>
      <c r="N113" s="18">
        <v>0</v>
      </c>
      <c r="O113" s="18">
        <v>0</v>
      </c>
      <c r="P113" s="18">
        <v>6399939</v>
      </c>
      <c r="Q113" s="18">
        <v>0</v>
      </c>
      <c r="R113" s="18">
        <v>0</v>
      </c>
      <c r="S113" s="18">
        <v>0</v>
      </c>
      <c r="T113" s="18">
        <v>7546980</v>
      </c>
      <c r="U113" s="18">
        <v>0</v>
      </c>
      <c r="V113" s="18">
        <v>0</v>
      </c>
      <c r="W113" s="18">
        <v>0</v>
      </c>
      <c r="X113" s="18">
        <v>0</v>
      </c>
      <c r="Y113" s="18">
        <v>0</v>
      </c>
    </row>
    <row r="114" spans="1:25">
      <c r="A114" s="2" t="s">
        <v>3233</v>
      </c>
      <c r="B114" s="2" t="s">
        <v>3407</v>
      </c>
      <c r="C114" s="2" t="s">
        <v>3408</v>
      </c>
      <c r="D114" s="2" t="s">
        <v>3443</v>
      </c>
      <c r="E114" s="54" t="s">
        <v>3362</v>
      </c>
      <c r="F114" s="54">
        <v>4</v>
      </c>
      <c r="G114" s="46">
        <v>9520000</v>
      </c>
      <c r="H114" s="46">
        <f>G114*(1+C$3)</f>
        <v>10005520</v>
      </c>
      <c r="I114" s="46">
        <f>H114*F114</f>
        <v>40022080</v>
      </c>
      <c r="J114" s="2"/>
      <c r="K114" s="2"/>
      <c r="L114" s="2"/>
      <c r="M114" s="18">
        <f t="shared" ref="M114:M117" si="78">SUM(N114:Y114)</f>
        <v>40022080</v>
      </c>
      <c r="N114" s="18">
        <v>0</v>
      </c>
      <c r="O114" s="18">
        <v>0</v>
      </c>
      <c r="P114" s="18">
        <v>20011040</v>
      </c>
      <c r="Q114" s="18">
        <v>0</v>
      </c>
      <c r="R114" s="18">
        <v>0</v>
      </c>
      <c r="S114" s="18">
        <v>0</v>
      </c>
      <c r="T114" s="18">
        <v>20011040</v>
      </c>
      <c r="U114" s="18">
        <v>0</v>
      </c>
      <c r="V114" s="18">
        <v>0</v>
      </c>
      <c r="W114" s="18">
        <v>0</v>
      </c>
      <c r="X114" s="18">
        <v>0</v>
      </c>
      <c r="Y114" s="18">
        <v>0</v>
      </c>
    </row>
    <row r="115" spans="1:25">
      <c r="A115" s="2" t="s">
        <v>3233</v>
      </c>
      <c r="B115" s="2" t="s">
        <v>3407</v>
      </c>
      <c r="C115" s="2" t="s">
        <v>3408</v>
      </c>
      <c r="D115" s="2" t="s">
        <v>3444</v>
      </c>
      <c r="E115" s="54" t="s">
        <v>3362</v>
      </c>
      <c r="F115" s="54">
        <v>4</v>
      </c>
      <c r="G115" s="46">
        <v>1900000</v>
      </c>
      <c r="H115" s="46">
        <f>G115*(1+C$3)</f>
        <v>1996899.9999999998</v>
      </c>
      <c r="I115" s="46">
        <f>H115*F115</f>
        <v>7987599.9999999991</v>
      </c>
      <c r="J115" s="2"/>
      <c r="K115" s="2"/>
      <c r="L115" s="2"/>
      <c r="M115" s="18">
        <f t="shared" si="78"/>
        <v>7987600</v>
      </c>
      <c r="N115" s="18">
        <v>0</v>
      </c>
      <c r="O115" s="18">
        <v>0</v>
      </c>
      <c r="P115" s="18">
        <v>3993800</v>
      </c>
      <c r="Q115" s="18">
        <v>0</v>
      </c>
      <c r="R115" s="18">
        <v>0</v>
      </c>
      <c r="S115" s="18">
        <v>3993800</v>
      </c>
      <c r="T115" s="18">
        <v>0</v>
      </c>
      <c r="U115" s="18">
        <v>0</v>
      </c>
      <c r="V115" s="18">
        <v>0</v>
      </c>
      <c r="W115" s="18">
        <v>0</v>
      </c>
      <c r="X115" s="18">
        <v>0</v>
      </c>
      <c r="Y115" s="18">
        <v>0</v>
      </c>
    </row>
    <row r="116" spans="1:25">
      <c r="A116" s="2" t="s">
        <v>3233</v>
      </c>
      <c r="B116" s="2" t="s">
        <v>3407</v>
      </c>
      <c r="C116" s="2" t="s">
        <v>3408</v>
      </c>
      <c r="D116" s="2" t="s">
        <v>2230</v>
      </c>
      <c r="E116" s="54" t="s">
        <v>3362</v>
      </c>
      <c r="F116" s="54">
        <v>3</v>
      </c>
      <c r="G116" s="46">
        <v>272272</v>
      </c>
      <c r="H116" s="46">
        <f t="shared" ref="H116:H117" si="79">G116*(1+C$3)</f>
        <v>286157.87199999997</v>
      </c>
      <c r="I116" s="46">
        <f t="shared" ref="I116:I117" si="80">H116*F116</f>
        <v>858473.61599999992</v>
      </c>
      <c r="J116" s="2"/>
      <c r="K116" s="2"/>
      <c r="L116" s="2"/>
      <c r="M116" s="18">
        <f t="shared" si="78"/>
        <v>858473.61599999992</v>
      </c>
      <c r="N116" s="18">
        <v>0</v>
      </c>
      <c r="O116" s="18">
        <v>0</v>
      </c>
      <c r="P116" s="18">
        <v>0</v>
      </c>
      <c r="Q116" s="18">
        <v>0</v>
      </c>
      <c r="R116" s="18">
        <v>0</v>
      </c>
      <c r="S116" s="18">
        <v>0</v>
      </c>
      <c r="T116" s="18">
        <v>286157.87199999997</v>
      </c>
      <c r="U116" s="18">
        <v>0</v>
      </c>
      <c r="V116" s="18">
        <v>0</v>
      </c>
      <c r="W116" s="18">
        <v>572315.74399999995</v>
      </c>
      <c r="X116" s="18">
        <v>0</v>
      </c>
      <c r="Y116" s="18">
        <v>0</v>
      </c>
    </row>
    <row r="117" spans="1:25">
      <c r="A117" s="2" t="s">
        <v>3233</v>
      </c>
      <c r="B117" s="2" t="s">
        <v>3407</v>
      </c>
      <c r="C117" s="2" t="s">
        <v>3408</v>
      </c>
      <c r="D117" s="2" t="s">
        <v>3445</v>
      </c>
      <c r="E117" s="54" t="s">
        <v>3362</v>
      </c>
      <c r="F117" s="54">
        <v>2</v>
      </c>
      <c r="G117" s="46">
        <v>416500</v>
      </c>
      <c r="H117" s="46">
        <f t="shared" si="79"/>
        <v>437741.5</v>
      </c>
      <c r="I117" s="46">
        <f t="shared" si="80"/>
        <v>875483</v>
      </c>
      <c r="J117" s="2"/>
      <c r="K117" s="2"/>
      <c r="L117" s="2"/>
      <c r="M117" s="18">
        <f t="shared" si="78"/>
        <v>875483</v>
      </c>
      <c r="N117" s="18">
        <v>0</v>
      </c>
      <c r="O117" s="18">
        <v>0</v>
      </c>
      <c r="P117" s="18">
        <v>0</v>
      </c>
      <c r="Q117" s="18">
        <v>437741.5</v>
      </c>
      <c r="R117" s="18">
        <v>0</v>
      </c>
      <c r="S117" s="18">
        <v>0</v>
      </c>
      <c r="T117" s="18">
        <v>0</v>
      </c>
      <c r="U117" s="18">
        <v>0</v>
      </c>
      <c r="V117" s="18">
        <v>437741.5</v>
      </c>
      <c r="W117" s="18">
        <v>0</v>
      </c>
      <c r="X117" s="18">
        <v>0</v>
      </c>
      <c r="Y117" s="18">
        <v>0</v>
      </c>
    </row>
    <row r="118" spans="1:25">
      <c r="A118" s="47" t="s">
        <v>3233</v>
      </c>
      <c r="B118" s="47" t="s">
        <v>3407</v>
      </c>
      <c r="C118" s="47" t="s">
        <v>3446</v>
      </c>
      <c r="D118" s="62" t="s">
        <v>3447</v>
      </c>
      <c r="E118" s="63"/>
      <c r="F118" s="63"/>
      <c r="G118" s="64">
        <v>0</v>
      </c>
      <c r="H118" s="64">
        <f>G118*(1+C$3)</f>
        <v>0</v>
      </c>
      <c r="I118" s="64">
        <f>H118*F118</f>
        <v>0</v>
      </c>
      <c r="J118" s="62"/>
      <c r="K118" s="62"/>
      <c r="L118" s="62"/>
      <c r="M118" s="65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</row>
    <row r="119" spans="1:25">
      <c r="A119" s="2" t="s">
        <v>3233</v>
      </c>
      <c r="B119" s="2" t="s">
        <v>3407</v>
      </c>
      <c r="C119" s="2" t="s">
        <v>3446</v>
      </c>
      <c r="D119" s="62" t="s">
        <v>3448</v>
      </c>
      <c r="E119" s="63" t="s">
        <v>3362</v>
      </c>
      <c r="F119" s="63">
        <v>2</v>
      </c>
      <c r="G119" s="64">
        <v>1900069</v>
      </c>
      <c r="H119" s="64">
        <f>G119*(1+C$3)</f>
        <v>1996972.5189999999</v>
      </c>
      <c r="I119" s="64">
        <f>H119*F119</f>
        <v>3993945.0379999997</v>
      </c>
      <c r="J119" s="66"/>
      <c r="K119" s="62"/>
      <c r="L119" s="62"/>
      <c r="M119" s="31">
        <f>SUM(N119:Y119)</f>
        <v>3993945.0379999997</v>
      </c>
      <c r="N119" s="31">
        <v>0</v>
      </c>
      <c r="O119" s="31">
        <v>0</v>
      </c>
      <c r="P119" s="31">
        <v>0</v>
      </c>
      <c r="Q119" s="31">
        <v>0</v>
      </c>
      <c r="R119" s="31">
        <f>I119</f>
        <v>3993945.0379999997</v>
      </c>
      <c r="S119" s="31">
        <v>0</v>
      </c>
      <c r="T119" s="31">
        <v>0</v>
      </c>
      <c r="U119" s="31">
        <v>0</v>
      </c>
      <c r="V119" s="31">
        <v>0</v>
      </c>
      <c r="W119" s="31">
        <v>0</v>
      </c>
      <c r="X119" s="31">
        <v>0</v>
      </c>
      <c r="Y119" s="31">
        <v>0</v>
      </c>
    </row>
    <row r="120" spans="1:25">
      <c r="A120" s="2" t="s">
        <v>3233</v>
      </c>
      <c r="B120" s="2" t="s">
        <v>3407</v>
      </c>
      <c r="C120" s="2" t="s">
        <v>3446</v>
      </c>
      <c r="D120" s="62" t="s">
        <v>3449</v>
      </c>
      <c r="E120" s="63" t="s">
        <v>3362</v>
      </c>
      <c r="F120" s="63">
        <v>2</v>
      </c>
      <c r="G120" s="64">
        <v>789600</v>
      </c>
      <c r="H120" s="64">
        <f>G120*(1+C$3)</f>
        <v>829869.6</v>
      </c>
      <c r="I120" s="64">
        <f>H120*F120</f>
        <v>1659739.2</v>
      </c>
      <c r="J120" s="66"/>
      <c r="K120" s="62"/>
      <c r="L120" s="62"/>
      <c r="M120" s="31">
        <f>SUM(N120:Y120)</f>
        <v>1659739</v>
      </c>
      <c r="N120" s="31"/>
      <c r="O120" s="31"/>
      <c r="P120" s="31"/>
      <c r="Q120" s="31">
        <v>1659739</v>
      </c>
      <c r="R120" s="31"/>
      <c r="S120" s="31"/>
      <c r="T120" s="31"/>
      <c r="U120" s="31"/>
      <c r="V120" s="31"/>
      <c r="W120" s="31"/>
      <c r="X120" s="31"/>
      <c r="Y120" s="31"/>
    </row>
    <row r="121" spans="1:25">
      <c r="A121" s="2" t="s">
        <v>3233</v>
      </c>
      <c r="B121" s="2" t="s">
        <v>3407</v>
      </c>
      <c r="C121" s="2" t="s">
        <v>3446</v>
      </c>
      <c r="D121" s="62" t="s">
        <v>3450</v>
      </c>
      <c r="E121" s="63" t="s">
        <v>3419</v>
      </c>
      <c r="F121" s="67">
        <v>3453.3209999999999</v>
      </c>
      <c r="G121" s="64">
        <v>16700</v>
      </c>
      <c r="H121" s="64">
        <f>G121*(1+C$3)</f>
        <v>17551.699999999997</v>
      </c>
      <c r="I121" s="64">
        <f>H121*F121</f>
        <v>60611654.19569999</v>
      </c>
      <c r="J121" s="66"/>
      <c r="K121" s="62"/>
      <c r="L121" s="62"/>
      <c r="M121" s="31">
        <f>SUM(N121:Y121)</f>
        <v>60612650</v>
      </c>
      <c r="N121" s="31">
        <v>5961900</v>
      </c>
      <c r="O121" s="31">
        <v>4968250</v>
      </c>
      <c r="P121" s="31">
        <v>4968250</v>
      </c>
      <c r="Q121" s="31">
        <v>4968250</v>
      </c>
      <c r="R121" s="31">
        <v>4968250</v>
      </c>
      <c r="S121" s="31">
        <v>4968250</v>
      </c>
      <c r="T121" s="31">
        <v>4968250</v>
      </c>
      <c r="U121" s="31">
        <v>4968250</v>
      </c>
      <c r="V121" s="31">
        <v>4968250</v>
      </c>
      <c r="W121" s="31">
        <v>4968250</v>
      </c>
      <c r="X121" s="31">
        <v>4968250</v>
      </c>
      <c r="Y121" s="31">
        <v>4968250</v>
      </c>
    </row>
    <row r="122" spans="1:25">
      <c r="A122" s="2" t="s">
        <v>3233</v>
      </c>
      <c r="B122" s="2" t="s">
        <v>3407</v>
      </c>
      <c r="C122" s="2" t="s">
        <v>3446</v>
      </c>
      <c r="D122" s="62" t="s">
        <v>3451</v>
      </c>
      <c r="E122" s="63" t="s">
        <v>3362</v>
      </c>
      <c r="F122" s="63">
        <v>16</v>
      </c>
      <c r="G122" s="64">
        <v>30000</v>
      </c>
      <c r="H122" s="64">
        <f>G122*(1+C$3)</f>
        <v>31529.999999999996</v>
      </c>
      <c r="I122" s="64">
        <f>H122*F122</f>
        <v>504479.99999999994</v>
      </c>
      <c r="J122" s="66"/>
      <c r="K122" s="62"/>
      <c r="L122" s="62"/>
      <c r="M122" s="31">
        <f>SUM(N122:Y122)</f>
        <v>756720</v>
      </c>
      <c r="N122" s="31">
        <f>31530*2</f>
        <v>63060</v>
      </c>
      <c r="O122" s="31">
        <f>31530*2</f>
        <v>63060</v>
      </c>
      <c r="P122" s="31">
        <f>31530*2</f>
        <v>63060</v>
      </c>
      <c r="Q122" s="31">
        <f>31530*2</f>
        <v>63060</v>
      </c>
      <c r="R122" s="31">
        <f>31530*2</f>
        <v>63060</v>
      </c>
      <c r="S122" s="31">
        <f>31530*2</f>
        <v>63060</v>
      </c>
      <c r="T122" s="31">
        <f>31530*2</f>
        <v>63060</v>
      </c>
      <c r="U122" s="31">
        <f>31530*2</f>
        <v>63060</v>
      </c>
      <c r="V122" s="31">
        <f>31530*2</f>
        <v>63060</v>
      </c>
      <c r="W122" s="31">
        <f>31530*2</f>
        <v>63060</v>
      </c>
      <c r="X122" s="31">
        <f>31530*2</f>
        <v>63060</v>
      </c>
      <c r="Y122" s="31">
        <f>31530*2</f>
        <v>63060</v>
      </c>
    </row>
    <row r="123" spans="1:25">
      <c r="A123" s="2" t="s">
        <v>3233</v>
      </c>
      <c r="B123" s="2" t="s">
        <v>3407</v>
      </c>
      <c r="C123" s="2" t="s">
        <v>3446</v>
      </c>
      <c r="D123" s="62" t="s">
        <v>3452</v>
      </c>
      <c r="E123" s="63" t="s">
        <v>3362</v>
      </c>
      <c r="F123" s="63">
        <v>16</v>
      </c>
      <c r="G123" s="64">
        <v>36000</v>
      </c>
      <c r="H123" s="64">
        <f>G123*(1+C$3)</f>
        <v>37836</v>
      </c>
      <c r="I123" s="64">
        <f>H123*F123</f>
        <v>605376</v>
      </c>
      <c r="J123" s="66"/>
      <c r="K123" s="62"/>
      <c r="L123" s="62"/>
      <c r="M123" s="31">
        <f>SUM(N123:Y123)</f>
        <v>908064</v>
      </c>
      <c r="N123" s="31">
        <f>37836*2</f>
        <v>75672</v>
      </c>
      <c r="O123" s="31">
        <f>37836*2</f>
        <v>75672</v>
      </c>
      <c r="P123" s="31">
        <f>37836*2</f>
        <v>75672</v>
      </c>
      <c r="Q123" s="31">
        <f>37836*2</f>
        <v>75672</v>
      </c>
      <c r="R123" s="31">
        <f>37836*2</f>
        <v>75672</v>
      </c>
      <c r="S123" s="31">
        <f>37836*2</f>
        <v>75672</v>
      </c>
      <c r="T123" s="31">
        <f>37836*2</f>
        <v>75672</v>
      </c>
      <c r="U123" s="31">
        <f>37836*2</f>
        <v>75672</v>
      </c>
      <c r="V123" s="31">
        <f>37836*2</f>
        <v>75672</v>
      </c>
      <c r="W123" s="31">
        <f>37836*2</f>
        <v>75672</v>
      </c>
      <c r="X123" s="31">
        <f>37836*2</f>
        <v>75672</v>
      </c>
      <c r="Y123" s="31">
        <f>37836*2</f>
        <v>75672</v>
      </c>
    </row>
    <row r="124" spans="1:25">
      <c r="A124" s="2" t="s">
        <v>3233</v>
      </c>
      <c r="B124" s="2" t="s">
        <v>3407</v>
      </c>
      <c r="C124" s="2" t="s">
        <v>3446</v>
      </c>
      <c r="D124" s="62" t="s">
        <v>3453</v>
      </c>
      <c r="E124" s="63" t="s">
        <v>3362</v>
      </c>
      <c r="F124" s="63">
        <v>16</v>
      </c>
      <c r="G124" s="64">
        <v>22000</v>
      </c>
      <c r="H124" s="64">
        <f>G124*(1+C$3)</f>
        <v>23122</v>
      </c>
      <c r="I124" s="64">
        <f>H124*F124</f>
        <v>369952</v>
      </c>
      <c r="J124" s="66"/>
      <c r="K124" s="62"/>
      <c r="L124" s="62"/>
      <c r="M124" s="31">
        <f>SUM(N124:Y124)</f>
        <v>554928</v>
      </c>
      <c r="N124" s="31">
        <f>23122*2</f>
        <v>46244</v>
      </c>
      <c r="O124" s="31">
        <f>23122*2</f>
        <v>46244</v>
      </c>
      <c r="P124" s="31">
        <f>23122*2</f>
        <v>46244</v>
      </c>
      <c r="Q124" s="31">
        <f>23122*2</f>
        <v>46244</v>
      </c>
      <c r="R124" s="31">
        <f>23122*2</f>
        <v>46244</v>
      </c>
      <c r="S124" s="31">
        <f>23122*2</f>
        <v>46244</v>
      </c>
      <c r="T124" s="31">
        <f>23122*2</f>
        <v>46244</v>
      </c>
      <c r="U124" s="31">
        <f>23122*2</f>
        <v>46244</v>
      </c>
      <c r="V124" s="31">
        <f>23122*2</f>
        <v>46244</v>
      </c>
      <c r="W124" s="31">
        <f>23122*2</f>
        <v>46244</v>
      </c>
      <c r="X124" s="31">
        <f>23122*2</f>
        <v>46244</v>
      </c>
      <c r="Y124" s="31">
        <f>23122*2</f>
        <v>46244</v>
      </c>
    </row>
    <row r="125" spans="1:25">
      <c r="A125" s="2" t="s">
        <v>3233</v>
      </c>
      <c r="B125" s="2" t="s">
        <v>3407</v>
      </c>
      <c r="C125" s="2" t="s">
        <v>3446</v>
      </c>
      <c r="D125" s="62" t="s">
        <v>3454</v>
      </c>
      <c r="E125" s="63" t="s">
        <v>3362</v>
      </c>
      <c r="F125" s="63">
        <v>16</v>
      </c>
      <c r="G125" s="64">
        <v>22000</v>
      </c>
      <c r="H125" s="64">
        <f>G125*(1+C$3)</f>
        <v>23122</v>
      </c>
      <c r="I125" s="64">
        <f>H125*F125</f>
        <v>369952</v>
      </c>
      <c r="J125" s="66"/>
      <c r="K125" s="62"/>
      <c r="L125" s="62"/>
      <c r="M125" s="31">
        <f>SUM(N125:Y125)</f>
        <v>554928</v>
      </c>
      <c r="N125" s="31">
        <f>23122*2</f>
        <v>46244</v>
      </c>
      <c r="O125" s="31">
        <f>23122*2</f>
        <v>46244</v>
      </c>
      <c r="P125" s="31">
        <f>23122*2</f>
        <v>46244</v>
      </c>
      <c r="Q125" s="31">
        <f>23122*2</f>
        <v>46244</v>
      </c>
      <c r="R125" s="31">
        <f>23122*2</f>
        <v>46244</v>
      </c>
      <c r="S125" s="31">
        <f>23122*2</f>
        <v>46244</v>
      </c>
      <c r="T125" s="31">
        <f>23122*2</f>
        <v>46244</v>
      </c>
      <c r="U125" s="31">
        <f>23122*2</f>
        <v>46244</v>
      </c>
      <c r="V125" s="31">
        <f>23122*2</f>
        <v>46244</v>
      </c>
      <c r="W125" s="31">
        <f>23122*2</f>
        <v>46244</v>
      </c>
      <c r="X125" s="31">
        <f>23122*2</f>
        <v>46244</v>
      </c>
      <c r="Y125" s="31">
        <f>23122*2</f>
        <v>46244</v>
      </c>
    </row>
    <row r="126" spans="1:25">
      <c r="A126" s="2" t="s">
        <v>3233</v>
      </c>
      <c r="B126" s="2" t="s">
        <v>3407</v>
      </c>
      <c r="C126" s="2" t="s">
        <v>3446</v>
      </c>
      <c r="D126" s="62" t="s">
        <v>3455</v>
      </c>
      <c r="E126" s="63" t="s">
        <v>3362</v>
      </c>
      <c r="F126" s="63">
        <v>16</v>
      </c>
      <c r="G126" s="64">
        <v>4202</v>
      </c>
      <c r="H126" s="64">
        <f>G126*(1+C$3)</f>
        <v>4416.3019999999997</v>
      </c>
      <c r="I126" s="64">
        <f>H126*F126</f>
        <v>70660.831999999995</v>
      </c>
      <c r="J126" s="66"/>
      <c r="K126" s="62"/>
      <c r="L126" s="62"/>
      <c r="M126" s="31">
        <f>SUM(N126:Y126)</f>
        <v>105984</v>
      </c>
      <c r="N126" s="31">
        <f>4416*2</f>
        <v>8832</v>
      </c>
      <c r="O126" s="31">
        <f>4416*2</f>
        <v>8832</v>
      </c>
      <c r="P126" s="31">
        <f>4416*2</f>
        <v>8832</v>
      </c>
      <c r="Q126" s="31">
        <f>4416*2</f>
        <v>8832</v>
      </c>
      <c r="R126" s="31">
        <f>4416*2</f>
        <v>8832</v>
      </c>
      <c r="S126" s="31">
        <f>4416*2</f>
        <v>8832</v>
      </c>
      <c r="T126" s="31">
        <f>4416*2</f>
        <v>8832</v>
      </c>
      <c r="U126" s="31">
        <f>4416*2</f>
        <v>8832</v>
      </c>
      <c r="V126" s="31">
        <f>4416*2</f>
        <v>8832</v>
      </c>
      <c r="W126" s="31">
        <f>4416*2</f>
        <v>8832</v>
      </c>
      <c r="X126" s="31">
        <f>4416*2</f>
        <v>8832</v>
      </c>
      <c r="Y126" s="31">
        <f>4416*2</f>
        <v>8832</v>
      </c>
    </row>
    <row r="127" spans="1:25">
      <c r="A127" s="2" t="s">
        <v>3233</v>
      </c>
      <c r="B127" s="2" t="s">
        <v>3407</v>
      </c>
      <c r="C127" s="2" t="s">
        <v>3446</v>
      </c>
      <c r="D127" s="62" t="s">
        <v>3456</v>
      </c>
      <c r="E127" s="63" t="s">
        <v>3419</v>
      </c>
      <c r="F127" s="63">
        <v>32</v>
      </c>
      <c r="G127" s="64">
        <v>243697</v>
      </c>
      <c r="H127" s="64">
        <f>G127*(1+C$3)</f>
        <v>256125.54699999999</v>
      </c>
      <c r="I127" s="64">
        <f>H127*F127</f>
        <v>8196017.5039999997</v>
      </c>
      <c r="J127" s="66"/>
      <c r="K127" s="62"/>
      <c r="L127" s="62"/>
      <c r="M127" s="31">
        <f>SUM(N127:Y127)</f>
        <v>6147024</v>
      </c>
      <c r="N127" s="31">
        <f>256126*2</f>
        <v>512252</v>
      </c>
      <c r="O127" s="31">
        <f>256126*2</f>
        <v>512252</v>
      </c>
      <c r="P127" s="31">
        <f>256126*2</f>
        <v>512252</v>
      </c>
      <c r="Q127" s="31">
        <f>256126*2</f>
        <v>512252</v>
      </c>
      <c r="R127" s="31">
        <f>256126*2</f>
        <v>512252</v>
      </c>
      <c r="S127" s="31">
        <f>256126*2</f>
        <v>512252</v>
      </c>
      <c r="T127" s="31">
        <f>256126*2</f>
        <v>512252</v>
      </c>
      <c r="U127" s="31">
        <f>256126*2</f>
        <v>512252</v>
      </c>
      <c r="V127" s="31">
        <f>256126*2</f>
        <v>512252</v>
      </c>
      <c r="W127" s="31">
        <f>256126*2</f>
        <v>512252</v>
      </c>
      <c r="X127" s="31">
        <f>256126*2</f>
        <v>512252</v>
      </c>
      <c r="Y127" s="31">
        <f>256126*2</f>
        <v>512252</v>
      </c>
    </row>
    <row r="128" spans="1:25">
      <c r="A128" s="2" t="s">
        <v>3233</v>
      </c>
      <c r="B128" s="2" t="s">
        <v>3407</v>
      </c>
      <c r="C128" s="2" t="s">
        <v>3446</v>
      </c>
      <c r="D128" s="62" t="s">
        <v>3457</v>
      </c>
      <c r="E128" s="63" t="s">
        <v>3387</v>
      </c>
      <c r="F128" s="63">
        <v>12</v>
      </c>
      <c r="G128" s="64">
        <v>216533</v>
      </c>
      <c r="H128" s="64">
        <f>G128*(1+C$3)</f>
        <v>227576.18299999999</v>
      </c>
      <c r="I128" s="64">
        <f>H128*F128</f>
        <v>2730914.196</v>
      </c>
      <c r="J128" s="66"/>
      <c r="K128" s="62"/>
      <c r="L128" s="62"/>
      <c r="M128" s="31">
        <f>SUM(N128:Y128)</f>
        <v>2730914.196</v>
      </c>
      <c r="N128" s="31">
        <v>0</v>
      </c>
      <c r="O128" s="31">
        <v>0</v>
      </c>
      <c r="P128" s="31">
        <v>0</v>
      </c>
      <c r="Q128" s="31">
        <v>0</v>
      </c>
      <c r="R128" s="31">
        <v>0</v>
      </c>
      <c r="S128" s="31">
        <v>0</v>
      </c>
      <c r="T128" s="31">
        <v>0</v>
      </c>
      <c r="U128" s="31">
        <v>1365457.098</v>
      </c>
      <c r="V128" s="31">
        <v>0</v>
      </c>
      <c r="W128" s="31">
        <v>0</v>
      </c>
      <c r="X128" s="31">
        <v>0</v>
      </c>
      <c r="Y128" s="31">
        <v>1365457.098</v>
      </c>
    </row>
    <row r="129" spans="1:25">
      <c r="A129" s="2" t="s">
        <v>3233</v>
      </c>
      <c r="B129" s="2" t="s">
        <v>3407</v>
      </c>
      <c r="C129" s="2" t="s">
        <v>3446</v>
      </c>
      <c r="D129" s="62" t="s">
        <v>3458</v>
      </c>
      <c r="E129" s="63" t="s">
        <v>3387</v>
      </c>
      <c r="F129" s="63">
        <v>8</v>
      </c>
      <c r="G129" s="64">
        <v>280353.25</v>
      </c>
      <c r="H129" s="64">
        <f>G129*(1+C$3)</f>
        <v>294651.26574999996</v>
      </c>
      <c r="I129" s="64">
        <f>H129*F129</f>
        <v>2357210.1259999997</v>
      </c>
      <c r="J129" s="66"/>
      <c r="K129" s="62"/>
      <c r="L129" s="62"/>
      <c r="M129" s="31">
        <f>SUM(N129:Y129)</f>
        <v>2357210</v>
      </c>
      <c r="N129" s="31">
        <v>0</v>
      </c>
      <c r="O129" s="31">
        <v>599070</v>
      </c>
      <c r="P129" s="31">
        <v>0</v>
      </c>
      <c r="Q129" s="31">
        <v>0</v>
      </c>
      <c r="R129" s="31">
        <v>0</v>
      </c>
      <c r="S129" s="31">
        <v>579535</v>
      </c>
      <c r="T129" s="31">
        <v>0</v>
      </c>
      <c r="U129" s="31">
        <v>0</v>
      </c>
      <c r="V129" s="31">
        <v>0</v>
      </c>
      <c r="W129" s="31">
        <v>579535</v>
      </c>
      <c r="X129" s="31">
        <v>0</v>
      </c>
      <c r="Y129" s="31">
        <v>599070</v>
      </c>
    </row>
    <row r="130" spans="1:25">
      <c r="A130" s="2" t="s">
        <v>3233</v>
      </c>
      <c r="B130" s="2" t="s">
        <v>3407</v>
      </c>
      <c r="C130" s="2" t="s">
        <v>3446</v>
      </c>
      <c r="D130" s="62" t="s">
        <v>3459</v>
      </c>
      <c r="E130" s="63" t="s">
        <v>3362</v>
      </c>
      <c r="F130" s="63">
        <v>20</v>
      </c>
      <c r="G130" s="64">
        <v>546210</v>
      </c>
      <c r="H130" s="64">
        <f>G130*(1+C$3)</f>
        <v>574066.71</v>
      </c>
      <c r="I130" s="64">
        <f>H130*F130</f>
        <v>11481334.199999999</v>
      </c>
      <c r="J130" s="66"/>
      <c r="K130" s="62"/>
      <c r="L130" s="62"/>
      <c r="M130" s="31">
        <f>SUM(N130:Y130)</f>
        <v>11481334.199999999</v>
      </c>
      <c r="N130" s="31">
        <v>0</v>
      </c>
      <c r="O130" s="31">
        <v>0</v>
      </c>
      <c r="P130" s="31">
        <v>0</v>
      </c>
      <c r="Q130" s="31">
        <f>H130*4</f>
        <v>2296266.84</v>
      </c>
      <c r="R130" s="31">
        <v>0</v>
      </c>
      <c r="S130" s="31">
        <f>Q130</f>
        <v>2296266.84</v>
      </c>
      <c r="T130" s="31">
        <v>0</v>
      </c>
      <c r="U130" s="31">
        <v>0</v>
      </c>
      <c r="V130" s="31">
        <v>0</v>
      </c>
      <c r="W130" s="31">
        <f>S130</f>
        <v>2296266.84</v>
      </c>
      <c r="X130" s="31">
        <v>0</v>
      </c>
      <c r="Y130" s="31">
        <f>W130*2</f>
        <v>4592533.68</v>
      </c>
    </row>
    <row r="131" spans="1:25">
      <c r="A131" s="2" t="s">
        <v>3233</v>
      </c>
      <c r="B131" s="2" t="s">
        <v>3407</v>
      </c>
      <c r="C131" s="2" t="s">
        <v>3446</v>
      </c>
      <c r="D131" s="62" t="s">
        <v>3460</v>
      </c>
      <c r="E131" s="63" t="s">
        <v>3362</v>
      </c>
      <c r="F131" s="63">
        <v>20</v>
      </c>
      <c r="G131" s="64">
        <v>11900</v>
      </c>
      <c r="H131" s="64">
        <f>G131*(1+C$3)</f>
        <v>12506.9</v>
      </c>
      <c r="I131" s="64">
        <f>H131*F131</f>
        <v>250138</v>
      </c>
      <c r="J131" s="66"/>
      <c r="K131" s="62"/>
      <c r="L131" s="62"/>
      <c r="M131" s="31">
        <f>SUM(N131:Y131)</f>
        <v>250138</v>
      </c>
      <c r="N131" s="31">
        <v>0</v>
      </c>
      <c r="O131" s="31">
        <v>0</v>
      </c>
      <c r="P131" s="31">
        <v>0</v>
      </c>
      <c r="Q131" s="31">
        <f>H131*4</f>
        <v>50027.6</v>
      </c>
      <c r="R131" s="31">
        <v>0</v>
      </c>
      <c r="S131" s="31">
        <f>Q131</f>
        <v>50027.6</v>
      </c>
      <c r="T131" s="31">
        <v>0</v>
      </c>
      <c r="U131" s="31">
        <v>0</v>
      </c>
      <c r="V131" s="31">
        <v>0</v>
      </c>
      <c r="W131" s="31">
        <f>S131</f>
        <v>50027.6</v>
      </c>
      <c r="X131" s="31">
        <v>0</v>
      </c>
      <c r="Y131" s="31">
        <f>W131*2</f>
        <v>100055.2</v>
      </c>
    </row>
    <row r="132" spans="1:25">
      <c r="A132" s="2" t="s">
        <v>3233</v>
      </c>
      <c r="B132" s="2" t="s">
        <v>3407</v>
      </c>
      <c r="C132" s="2" t="s">
        <v>3446</v>
      </c>
      <c r="D132" s="62" t="s">
        <v>3437</v>
      </c>
      <c r="E132" s="63" t="s">
        <v>3387</v>
      </c>
      <c r="F132" s="63">
        <v>5</v>
      </c>
      <c r="G132" s="64">
        <v>149959</v>
      </c>
      <c r="H132" s="64">
        <f>G132*(1+C$3)</f>
        <v>157606.90899999999</v>
      </c>
      <c r="I132" s="64">
        <f t="shared" ref="I132:I134" si="81">H132*F132</f>
        <v>788034.54499999993</v>
      </c>
      <c r="J132" s="62"/>
      <c r="K132" s="62"/>
      <c r="L132" s="62"/>
      <c r="M132" s="31">
        <f>SUM(N132:Y132)</f>
        <v>788034.54499999993</v>
      </c>
      <c r="N132" s="31">
        <v>0</v>
      </c>
      <c r="O132" s="31">
        <v>0</v>
      </c>
      <c r="P132" s="31">
        <v>0</v>
      </c>
      <c r="Q132" s="31">
        <f>H132</f>
        <v>157606.90899999999</v>
      </c>
      <c r="R132" s="31">
        <v>0</v>
      </c>
      <c r="S132" s="31">
        <f>Q132</f>
        <v>157606.90899999999</v>
      </c>
      <c r="T132" s="31">
        <v>0</v>
      </c>
      <c r="U132" s="31">
        <f t="shared" ref="U132" si="82">T132</f>
        <v>0</v>
      </c>
      <c r="V132" s="31">
        <f>R132</f>
        <v>0</v>
      </c>
      <c r="W132" s="31">
        <f>S132</f>
        <v>157606.90899999999</v>
      </c>
      <c r="X132" s="31">
        <f>V132</f>
        <v>0</v>
      </c>
      <c r="Y132" s="31">
        <f>W132*2</f>
        <v>315213.81799999997</v>
      </c>
    </row>
    <row r="133" spans="1:25">
      <c r="A133" s="2" t="s">
        <v>3233</v>
      </c>
      <c r="B133" s="2" t="s">
        <v>3407</v>
      </c>
      <c r="C133" s="2" t="s">
        <v>3446</v>
      </c>
      <c r="D133" s="62" t="s">
        <v>3461</v>
      </c>
      <c r="E133" s="63" t="s">
        <v>3362</v>
      </c>
      <c r="F133" s="63">
        <v>0</v>
      </c>
      <c r="G133" s="64">
        <v>0</v>
      </c>
      <c r="H133" s="64">
        <v>0</v>
      </c>
      <c r="I133" s="64">
        <v>0</v>
      </c>
      <c r="J133" s="66"/>
      <c r="K133" s="62"/>
      <c r="L133" s="62"/>
      <c r="M133" s="31">
        <f t="shared" ref="M133:M135" si="83">SUM(N133:Y133)</f>
        <v>0</v>
      </c>
      <c r="N133" s="31">
        <v>0</v>
      </c>
      <c r="O133" s="31">
        <v>0</v>
      </c>
      <c r="P133" s="31">
        <v>0</v>
      </c>
      <c r="Q133" s="31"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1">
        <v>0</v>
      </c>
      <c r="X133" s="31">
        <v>0</v>
      </c>
      <c r="Y133" s="31">
        <v>0</v>
      </c>
    </row>
    <row r="134" spans="1:25">
      <c r="A134" s="2" t="s">
        <v>3233</v>
      </c>
      <c r="B134" s="2" t="s">
        <v>3407</v>
      </c>
      <c r="C134" s="2" t="s">
        <v>3446</v>
      </c>
      <c r="D134" s="62" t="s">
        <v>3462</v>
      </c>
      <c r="E134" s="63" t="s">
        <v>3387</v>
      </c>
      <c r="F134" s="63">
        <v>1</v>
      </c>
      <c r="G134" s="64">
        <v>2450000</v>
      </c>
      <c r="H134" s="64">
        <f>G134*(1+C$3)</f>
        <v>2574950</v>
      </c>
      <c r="I134" s="64">
        <f t="shared" si="81"/>
        <v>2574950</v>
      </c>
      <c r="J134" s="64">
        <v>2574950</v>
      </c>
      <c r="K134" s="64">
        <v>2574950</v>
      </c>
      <c r="L134" s="64">
        <v>2574950</v>
      </c>
      <c r="M134" s="31">
        <f t="shared" si="83"/>
        <v>2574950</v>
      </c>
      <c r="N134" s="31">
        <v>0</v>
      </c>
      <c r="O134" s="31">
        <v>0</v>
      </c>
      <c r="P134" s="31">
        <v>0</v>
      </c>
      <c r="Q134" s="31">
        <v>0</v>
      </c>
      <c r="R134" s="31">
        <v>0</v>
      </c>
      <c r="S134" s="31">
        <v>0</v>
      </c>
      <c r="T134" s="31">
        <v>0</v>
      </c>
      <c r="U134" s="31">
        <v>0</v>
      </c>
      <c r="V134" s="31">
        <v>0</v>
      </c>
      <c r="W134" s="31">
        <v>2574950</v>
      </c>
      <c r="X134" s="31">
        <v>0</v>
      </c>
      <c r="Y134" s="31">
        <v>0</v>
      </c>
    </row>
    <row r="135" spans="1:25">
      <c r="A135" s="2" t="s">
        <v>3233</v>
      </c>
      <c r="B135" s="2" t="s">
        <v>3407</v>
      </c>
      <c r="C135" s="2" t="s">
        <v>3446</v>
      </c>
      <c r="D135" s="62" t="s">
        <v>3463</v>
      </c>
      <c r="E135" s="63" t="s">
        <v>3387</v>
      </c>
      <c r="F135" s="63">
        <v>24</v>
      </c>
      <c r="G135" s="64">
        <v>73545</v>
      </c>
      <c r="H135" s="64">
        <f>G135*(1+C$3)</f>
        <v>77295.794999999998</v>
      </c>
      <c r="I135" s="64">
        <f>H135*F135</f>
        <v>1855099.08</v>
      </c>
      <c r="J135" s="66"/>
      <c r="K135" s="62"/>
      <c r="L135" s="62"/>
      <c r="M135" s="31">
        <f t="shared" si="83"/>
        <v>1855080</v>
      </c>
      <c r="N135" s="31">
        <v>94590</v>
      </c>
      <c r="O135" s="31">
        <v>94590</v>
      </c>
      <c r="P135" s="31">
        <v>94590</v>
      </c>
      <c r="Q135" s="31">
        <v>454590</v>
      </c>
      <c r="R135" s="31">
        <v>94590</v>
      </c>
      <c r="S135" s="31">
        <v>94590</v>
      </c>
      <c r="T135" s="31">
        <v>94590</v>
      </c>
      <c r="U135" s="31">
        <v>94590</v>
      </c>
      <c r="V135" s="31">
        <v>94590</v>
      </c>
      <c r="W135" s="31">
        <v>94590</v>
      </c>
      <c r="X135" s="31">
        <v>274590</v>
      </c>
      <c r="Y135" s="31">
        <v>274590</v>
      </c>
    </row>
    <row r="136" spans="1:25">
      <c r="A136" s="2" t="s">
        <v>3233</v>
      </c>
      <c r="B136" s="2" t="s">
        <v>3407</v>
      </c>
      <c r="C136" s="2" t="s">
        <v>3446</v>
      </c>
      <c r="D136" s="62" t="s">
        <v>3464</v>
      </c>
      <c r="E136" s="63" t="s">
        <v>3387</v>
      </c>
      <c r="F136" s="63">
        <v>10</v>
      </c>
      <c r="G136" s="64">
        <v>82768</v>
      </c>
      <c r="H136" s="64">
        <f>G136*(1+C$3)</f>
        <v>86989.167999999991</v>
      </c>
      <c r="I136" s="64">
        <f>H136*F136</f>
        <v>869891.67999999993</v>
      </c>
      <c r="J136" s="66"/>
      <c r="K136" s="62"/>
      <c r="L136" s="62"/>
      <c r="M136" s="31">
        <f>SUM(N136:Y136)</f>
        <v>869891.68</v>
      </c>
      <c r="N136" s="31">
        <v>0</v>
      </c>
      <c r="O136" s="31">
        <v>0</v>
      </c>
      <c r="P136" s="31">
        <v>173978.33600000001</v>
      </c>
      <c r="Q136" s="31">
        <v>0</v>
      </c>
      <c r="R136" s="31">
        <v>173978.33600000001</v>
      </c>
      <c r="S136" s="31">
        <v>0</v>
      </c>
      <c r="T136" s="31">
        <v>173978.33600000001</v>
      </c>
      <c r="U136" s="31">
        <v>0</v>
      </c>
      <c r="V136" s="31">
        <v>173978.33600000001</v>
      </c>
      <c r="W136" s="31">
        <v>0</v>
      </c>
      <c r="X136" s="31">
        <v>173978.33600000001</v>
      </c>
      <c r="Y136" s="31">
        <v>0</v>
      </c>
    </row>
    <row r="137" spans="1:25">
      <c r="A137" s="47" t="s">
        <v>3233</v>
      </c>
      <c r="B137" s="47" t="s">
        <v>3407</v>
      </c>
      <c r="C137" s="47" t="s">
        <v>3465</v>
      </c>
      <c r="D137" s="2" t="s">
        <v>3466</v>
      </c>
      <c r="E137" s="54"/>
      <c r="F137" s="54"/>
      <c r="G137" s="3">
        <v>0</v>
      </c>
      <c r="H137" s="3">
        <f t="shared" ref="H137:H142" si="84">G137*(1+C$3)</f>
        <v>0</v>
      </c>
      <c r="I137" s="3">
        <f t="shared" ref="I137:I141" si="85">H137*F137</f>
        <v>0</v>
      </c>
      <c r="J137" s="2"/>
      <c r="K137" s="2"/>
      <c r="L137" s="2"/>
      <c r="M137" s="18">
        <f>SUM(N137:Y137)</f>
        <v>0</v>
      </c>
      <c r="N137" s="18">
        <v>0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8">
        <v>0</v>
      </c>
    </row>
    <row r="138" spans="1:25">
      <c r="A138" s="2" t="s">
        <v>3233</v>
      </c>
      <c r="B138" s="2" t="s">
        <v>3407</v>
      </c>
      <c r="C138" s="2" t="s">
        <v>3465</v>
      </c>
      <c r="D138" s="2" t="s">
        <v>3467</v>
      </c>
      <c r="E138" s="54"/>
      <c r="F138" s="54"/>
      <c r="G138" s="3">
        <v>0</v>
      </c>
      <c r="H138" s="3">
        <f t="shared" si="84"/>
        <v>0</v>
      </c>
      <c r="I138" s="3">
        <f t="shared" si="85"/>
        <v>0</v>
      </c>
      <c r="J138" s="2"/>
      <c r="K138" s="2"/>
      <c r="L138" s="2"/>
      <c r="M138" s="18">
        <f t="shared" ref="M138:M176" si="86">SUM(N138:Y138)</f>
        <v>0</v>
      </c>
      <c r="N138" s="18">
        <v>0</v>
      </c>
      <c r="O138" s="18">
        <v>0</v>
      </c>
      <c r="P138" s="18">
        <v>0</v>
      </c>
      <c r="Q138" s="18">
        <v>0</v>
      </c>
      <c r="R138" s="18">
        <v>0</v>
      </c>
      <c r="S138" s="18">
        <v>0</v>
      </c>
      <c r="T138" s="18">
        <v>0</v>
      </c>
      <c r="U138" s="18">
        <v>0</v>
      </c>
      <c r="V138" s="18">
        <v>0</v>
      </c>
      <c r="W138" s="18">
        <v>0</v>
      </c>
      <c r="X138" s="18">
        <v>0</v>
      </c>
      <c r="Y138" s="18">
        <v>0</v>
      </c>
    </row>
    <row r="139" spans="1:25">
      <c r="A139" s="2" t="s">
        <v>3233</v>
      </c>
      <c r="B139" s="2" t="s">
        <v>3407</v>
      </c>
      <c r="C139" s="2" t="s">
        <v>3465</v>
      </c>
      <c r="D139" s="2" t="s">
        <v>3468</v>
      </c>
      <c r="E139" s="54" t="s">
        <v>3362</v>
      </c>
      <c r="F139" s="54">
        <v>1</v>
      </c>
      <c r="G139" s="46">
        <v>885000</v>
      </c>
      <c r="H139" s="46">
        <f t="shared" si="84"/>
        <v>930135</v>
      </c>
      <c r="I139" s="46">
        <f t="shared" si="85"/>
        <v>930135</v>
      </c>
      <c r="J139" s="2"/>
      <c r="K139" s="2"/>
      <c r="L139" s="2"/>
      <c r="M139" s="18">
        <f t="shared" si="86"/>
        <v>930135</v>
      </c>
      <c r="N139" s="18">
        <v>0</v>
      </c>
      <c r="O139" s="18">
        <v>0</v>
      </c>
      <c r="P139" s="18">
        <v>0</v>
      </c>
      <c r="Q139" s="18">
        <v>0</v>
      </c>
      <c r="R139" s="18">
        <v>0</v>
      </c>
      <c r="S139" s="18">
        <v>0</v>
      </c>
      <c r="T139" s="18">
        <v>0</v>
      </c>
      <c r="U139" s="18">
        <v>0</v>
      </c>
      <c r="V139" s="18">
        <v>0</v>
      </c>
      <c r="W139" s="18">
        <v>0</v>
      </c>
      <c r="X139" s="18">
        <v>0</v>
      </c>
      <c r="Y139" s="18">
        <f>I139</f>
        <v>930135</v>
      </c>
    </row>
    <row r="140" spans="1:25">
      <c r="A140" s="2" t="s">
        <v>3233</v>
      </c>
      <c r="B140" s="2" t="s">
        <v>3407</v>
      </c>
      <c r="C140" s="2" t="s">
        <v>3465</v>
      </c>
      <c r="D140" s="2" t="s">
        <v>3469</v>
      </c>
      <c r="E140" s="54" t="s">
        <v>3362</v>
      </c>
      <c r="F140" s="54">
        <v>1</v>
      </c>
      <c r="G140" s="46">
        <v>477341</v>
      </c>
      <c r="H140" s="46">
        <f t="shared" si="84"/>
        <v>501685.39099999995</v>
      </c>
      <c r="I140" s="46">
        <f t="shared" si="85"/>
        <v>501685.39099999995</v>
      </c>
      <c r="J140" s="2"/>
      <c r="K140" s="2"/>
      <c r="L140" s="2"/>
      <c r="M140" s="18">
        <v>434939</v>
      </c>
      <c r="N140" s="18">
        <v>0</v>
      </c>
      <c r="O140" s="18">
        <v>0</v>
      </c>
      <c r="P140" s="18">
        <v>0</v>
      </c>
      <c r="Q140" s="18">
        <v>0</v>
      </c>
      <c r="R140" s="18">
        <v>0</v>
      </c>
      <c r="S140" s="18">
        <v>0</v>
      </c>
      <c r="T140" s="18">
        <v>0</v>
      </c>
      <c r="U140" s="18">
        <v>0</v>
      </c>
      <c r="V140" s="18">
        <v>0</v>
      </c>
      <c r="W140" s="18">
        <v>0</v>
      </c>
      <c r="X140" s="18">
        <v>0</v>
      </c>
      <c r="Y140" s="18">
        <f>I140</f>
        <v>501685.39099999995</v>
      </c>
    </row>
    <row r="141" spans="1:25">
      <c r="A141" s="2" t="s">
        <v>3233</v>
      </c>
      <c r="B141" s="2" t="s">
        <v>3407</v>
      </c>
      <c r="C141" s="2" t="s">
        <v>3465</v>
      </c>
      <c r="D141" s="2" t="s">
        <v>3470</v>
      </c>
      <c r="E141" s="54" t="s">
        <v>3362</v>
      </c>
      <c r="F141" s="54">
        <v>1</v>
      </c>
      <c r="G141" s="46">
        <v>1071000</v>
      </c>
      <c r="H141" s="46">
        <f t="shared" si="84"/>
        <v>1125621</v>
      </c>
      <c r="I141" s="46">
        <f t="shared" si="85"/>
        <v>1125621</v>
      </c>
      <c r="J141" s="2"/>
      <c r="K141" s="2"/>
      <c r="L141" s="2"/>
      <c r="M141" s="18">
        <f t="shared" si="86"/>
        <v>1125621</v>
      </c>
      <c r="N141" s="18">
        <v>0</v>
      </c>
      <c r="O141" s="18">
        <f>I141</f>
        <v>1125621</v>
      </c>
      <c r="P141" s="18">
        <v>0</v>
      </c>
      <c r="Q141" s="18">
        <v>0</v>
      </c>
      <c r="R141" s="18">
        <v>0</v>
      </c>
      <c r="S141" s="18">
        <v>0</v>
      </c>
      <c r="T141" s="18">
        <v>0</v>
      </c>
      <c r="U141" s="18">
        <v>0</v>
      </c>
      <c r="V141" s="18">
        <v>0</v>
      </c>
      <c r="W141" s="18">
        <v>0</v>
      </c>
      <c r="X141" s="18">
        <v>0</v>
      </c>
      <c r="Y141" s="18">
        <v>0</v>
      </c>
    </row>
    <row r="142" spans="1:25">
      <c r="A142" s="2" t="s">
        <v>3233</v>
      </c>
      <c r="B142" s="2" t="s">
        <v>3407</v>
      </c>
      <c r="C142" s="2" t="s">
        <v>3465</v>
      </c>
      <c r="D142" s="2" t="s">
        <v>3417</v>
      </c>
      <c r="E142" s="54" t="s">
        <v>3362</v>
      </c>
      <c r="F142" s="54">
        <v>12</v>
      </c>
      <c r="G142" s="46">
        <v>43071</v>
      </c>
      <c r="H142" s="46">
        <f t="shared" si="84"/>
        <v>45267.620999999999</v>
      </c>
      <c r="I142" s="46">
        <f>+H142*F142</f>
        <v>543211.45200000005</v>
      </c>
      <c r="J142" s="2"/>
      <c r="K142" s="2"/>
      <c r="L142" s="2"/>
      <c r="M142" s="18">
        <f>SUM(N142:Y142)</f>
        <v>6518537.4239999987</v>
      </c>
      <c r="N142" s="18">
        <f>H142*F142</f>
        <v>543211.45200000005</v>
      </c>
      <c r="O142" s="18">
        <f>N142</f>
        <v>543211.45200000005</v>
      </c>
      <c r="P142" s="18">
        <f t="shared" ref="P142" si="87">O142</f>
        <v>543211.45200000005</v>
      </c>
      <c r="Q142" s="18">
        <f t="shared" ref="Q142" si="88">P142</f>
        <v>543211.45200000005</v>
      </c>
      <c r="R142" s="18">
        <f t="shared" ref="R142" si="89">Q142</f>
        <v>543211.45200000005</v>
      </c>
      <c r="S142" s="18">
        <f t="shared" ref="S142" si="90">R142</f>
        <v>543211.45200000005</v>
      </c>
      <c r="T142" s="18">
        <f t="shared" ref="T142" si="91">S142</f>
        <v>543211.45200000005</v>
      </c>
      <c r="U142" s="18">
        <f t="shared" ref="U142" si="92">T142</f>
        <v>543211.45200000005</v>
      </c>
      <c r="V142" s="18">
        <f t="shared" ref="V142" si="93">U142</f>
        <v>543211.45200000005</v>
      </c>
      <c r="W142" s="18">
        <f t="shared" ref="W142" si="94">V142</f>
        <v>543211.45200000005</v>
      </c>
      <c r="X142" s="18">
        <f t="shared" ref="X142" si="95">W142</f>
        <v>543211.45200000005</v>
      </c>
      <c r="Y142" s="18">
        <f t="shared" ref="Y142" si="96">X142</f>
        <v>543211.45200000005</v>
      </c>
    </row>
    <row r="143" spans="1:25">
      <c r="A143" s="2" t="s">
        <v>3233</v>
      </c>
      <c r="B143" s="2" t="s">
        <v>3407</v>
      </c>
      <c r="C143" s="2" t="s">
        <v>3465</v>
      </c>
      <c r="D143" s="2" t="s">
        <v>3418</v>
      </c>
      <c r="E143" s="54" t="s">
        <v>3419</v>
      </c>
      <c r="F143" s="57">
        <f>M143/H143</f>
        <v>856.29356442670553</v>
      </c>
      <c r="G143" s="46">
        <v>12689</v>
      </c>
      <c r="H143" s="46">
        <f>G143*(1+C$3)</f>
        <v>13336.138999999999</v>
      </c>
      <c r="I143" s="46">
        <f>+H143*F143</f>
        <v>11419650</v>
      </c>
      <c r="J143" s="2"/>
      <c r="K143" s="2"/>
      <c r="L143" s="2"/>
      <c r="M143" s="18">
        <f t="shared" ref="M143" si="97">SUM(N143:Y143)</f>
        <v>11419650</v>
      </c>
      <c r="N143" s="18">
        <v>951637.5</v>
      </c>
      <c r="O143" s="18">
        <v>951637.5</v>
      </c>
      <c r="P143" s="18">
        <v>951637.5</v>
      </c>
      <c r="Q143" s="18">
        <v>951637.5</v>
      </c>
      <c r="R143" s="18">
        <v>951637.5</v>
      </c>
      <c r="S143" s="18">
        <v>951637.5</v>
      </c>
      <c r="T143" s="18">
        <v>951637.5</v>
      </c>
      <c r="U143" s="18">
        <v>951637.5</v>
      </c>
      <c r="V143" s="18">
        <v>951637.5</v>
      </c>
      <c r="W143" s="18">
        <v>951637.5</v>
      </c>
      <c r="X143" s="18">
        <v>951637.5</v>
      </c>
      <c r="Y143" s="18">
        <v>951637.5</v>
      </c>
    </row>
    <row r="144" spans="1:25">
      <c r="A144" s="2" t="s">
        <v>3233</v>
      </c>
      <c r="B144" s="2" t="s">
        <v>3407</v>
      </c>
      <c r="C144" s="2" t="s">
        <v>3465</v>
      </c>
      <c r="D144" s="2" t="s">
        <v>3471</v>
      </c>
      <c r="E144" s="54" t="s">
        <v>3362</v>
      </c>
      <c r="F144" s="54">
        <v>5</v>
      </c>
      <c r="G144" s="46">
        <v>63900</v>
      </c>
      <c r="H144" s="46">
        <f>G144*(1+C$3)</f>
        <v>67158.899999999994</v>
      </c>
      <c r="I144" s="46">
        <f>H144*F144</f>
        <v>335794.5</v>
      </c>
      <c r="J144" s="2"/>
      <c r="K144" s="2"/>
      <c r="L144" s="2"/>
      <c r="M144" s="18">
        <f t="shared" si="86"/>
        <v>335795</v>
      </c>
      <c r="N144" s="18">
        <v>67159</v>
      </c>
      <c r="O144" s="18">
        <v>0</v>
      </c>
      <c r="P144" s="18">
        <v>67159</v>
      </c>
      <c r="Q144" s="18">
        <v>0</v>
      </c>
      <c r="R144" s="18">
        <v>0</v>
      </c>
      <c r="S144" s="18">
        <v>67159</v>
      </c>
      <c r="T144" s="18">
        <v>0</v>
      </c>
      <c r="U144" s="18">
        <v>0</v>
      </c>
      <c r="V144" s="18">
        <v>67159</v>
      </c>
      <c r="W144" s="18">
        <v>0</v>
      </c>
      <c r="X144" s="18">
        <v>0</v>
      </c>
      <c r="Y144" s="18">
        <v>67159</v>
      </c>
    </row>
    <row r="145" spans="1:25">
      <c r="A145" s="2" t="s">
        <v>3233</v>
      </c>
      <c r="B145" s="2" t="s">
        <v>3407</v>
      </c>
      <c r="C145" s="2" t="s">
        <v>3465</v>
      </c>
      <c r="D145" s="2" t="s">
        <v>3472</v>
      </c>
      <c r="E145" s="54" t="s">
        <v>3362</v>
      </c>
      <c r="F145" s="54">
        <v>5</v>
      </c>
      <c r="G145" s="46">
        <v>33700</v>
      </c>
      <c r="H145" s="46">
        <f>G145*(1+C$3)</f>
        <v>35418.699999999997</v>
      </c>
      <c r="I145" s="46">
        <f>H145*F145</f>
        <v>177093.5</v>
      </c>
      <c r="J145" s="2"/>
      <c r="K145" s="2"/>
      <c r="L145" s="2"/>
      <c r="M145" s="18">
        <f t="shared" si="86"/>
        <v>177095</v>
      </c>
      <c r="N145" s="18">
        <v>35419</v>
      </c>
      <c r="O145" s="18">
        <v>0</v>
      </c>
      <c r="P145" s="18">
        <v>35419</v>
      </c>
      <c r="Q145" s="18">
        <v>0</v>
      </c>
      <c r="R145" s="18">
        <v>0</v>
      </c>
      <c r="S145" s="18">
        <v>35419</v>
      </c>
      <c r="T145" s="18">
        <v>0</v>
      </c>
      <c r="U145" s="18">
        <v>0</v>
      </c>
      <c r="V145" s="18">
        <v>35419</v>
      </c>
      <c r="W145" s="18">
        <v>0</v>
      </c>
      <c r="X145" s="18">
        <v>0</v>
      </c>
      <c r="Y145" s="18">
        <v>35419</v>
      </c>
    </row>
    <row r="146" spans="1:25">
      <c r="A146" s="2" t="s">
        <v>3233</v>
      </c>
      <c r="B146" s="2" t="s">
        <v>3407</v>
      </c>
      <c r="C146" s="2" t="s">
        <v>3465</v>
      </c>
      <c r="D146" s="2" t="s">
        <v>3473</v>
      </c>
      <c r="E146" s="54" t="s">
        <v>3362</v>
      </c>
      <c r="F146" s="54">
        <v>5</v>
      </c>
      <c r="G146" s="46">
        <v>36400</v>
      </c>
      <c r="H146" s="46">
        <f>G146*(1+C$3)</f>
        <v>38256.399999999994</v>
      </c>
      <c r="I146" s="46">
        <f>H146*F146</f>
        <v>191281.99999999997</v>
      </c>
      <c r="J146" s="2"/>
      <c r="K146" s="2"/>
      <c r="L146" s="2"/>
      <c r="M146" s="18">
        <f t="shared" si="86"/>
        <v>191280</v>
      </c>
      <c r="N146" s="18">
        <v>38256</v>
      </c>
      <c r="O146" s="18">
        <v>0</v>
      </c>
      <c r="P146" s="18">
        <v>38256</v>
      </c>
      <c r="Q146" s="18">
        <v>0</v>
      </c>
      <c r="R146" s="18">
        <v>0</v>
      </c>
      <c r="S146" s="18">
        <v>38256</v>
      </c>
      <c r="T146" s="18">
        <v>0</v>
      </c>
      <c r="U146" s="18">
        <v>0</v>
      </c>
      <c r="V146" s="18">
        <v>38256</v>
      </c>
      <c r="W146" s="18">
        <v>0</v>
      </c>
      <c r="X146" s="18">
        <v>0</v>
      </c>
      <c r="Y146" s="18">
        <v>38256</v>
      </c>
    </row>
    <row r="147" spans="1:25">
      <c r="A147" s="2" t="s">
        <v>3233</v>
      </c>
      <c r="B147" s="2" t="s">
        <v>3407</v>
      </c>
      <c r="C147" s="2" t="s">
        <v>3465</v>
      </c>
      <c r="D147" s="2" t="s">
        <v>3474</v>
      </c>
      <c r="E147" s="54" t="s">
        <v>3362</v>
      </c>
      <c r="F147" s="54">
        <v>5</v>
      </c>
      <c r="G147" s="46">
        <v>45000</v>
      </c>
      <c r="H147" s="46">
        <f>G147*(1+C$3)</f>
        <v>47295</v>
      </c>
      <c r="I147" s="46">
        <f>H147*F147</f>
        <v>236475</v>
      </c>
      <c r="J147" s="2"/>
      <c r="K147" s="2"/>
      <c r="L147" s="2"/>
      <c r="M147" s="18">
        <f t="shared" si="86"/>
        <v>236475</v>
      </c>
      <c r="N147" s="18">
        <v>47295</v>
      </c>
      <c r="O147" s="18">
        <v>0</v>
      </c>
      <c r="P147" s="18">
        <v>47295</v>
      </c>
      <c r="Q147" s="18">
        <v>0</v>
      </c>
      <c r="R147" s="18">
        <v>0</v>
      </c>
      <c r="S147" s="18">
        <v>47295</v>
      </c>
      <c r="T147" s="18">
        <v>0</v>
      </c>
      <c r="U147" s="18">
        <v>0</v>
      </c>
      <c r="V147" s="18">
        <v>47295</v>
      </c>
      <c r="W147" s="18">
        <v>0</v>
      </c>
      <c r="X147" s="18">
        <v>0</v>
      </c>
      <c r="Y147" s="18">
        <v>47295</v>
      </c>
    </row>
    <row r="148" spans="1:25">
      <c r="A148" s="2" t="s">
        <v>3233</v>
      </c>
      <c r="B148" s="2" t="s">
        <v>3407</v>
      </c>
      <c r="C148" s="2" t="s">
        <v>3465</v>
      </c>
      <c r="D148" s="2" t="s">
        <v>3475</v>
      </c>
      <c r="E148" s="54" t="s">
        <v>3362</v>
      </c>
      <c r="F148" s="54">
        <v>5</v>
      </c>
      <c r="G148" s="46">
        <v>8000</v>
      </c>
      <c r="H148" s="46">
        <f>G148*(1+C$3)</f>
        <v>8408</v>
      </c>
      <c r="I148" s="46">
        <f>H148*F148</f>
        <v>42040</v>
      </c>
      <c r="J148" s="2"/>
      <c r="K148" s="2"/>
      <c r="L148" s="2"/>
      <c r="M148" s="18">
        <f t="shared" si="86"/>
        <v>42040</v>
      </c>
      <c r="N148" s="18">
        <v>8408</v>
      </c>
      <c r="O148" s="18">
        <v>0</v>
      </c>
      <c r="P148" s="18">
        <v>8408</v>
      </c>
      <c r="Q148" s="18">
        <v>0</v>
      </c>
      <c r="R148" s="18">
        <v>0</v>
      </c>
      <c r="S148" s="18">
        <v>8408</v>
      </c>
      <c r="T148" s="18">
        <v>0</v>
      </c>
      <c r="U148" s="18">
        <v>0</v>
      </c>
      <c r="V148" s="18">
        <v>8408</v>
      </c>
      <c r="W148" s="18">
        <v>0</v>
      </c>
      <c r="X148" s="18">
        <v>0</v>
      </c>
      <c r="Y148" s="18">
        <v>8408</v>
      </c>
    </row>
    <row r="149" spans="1:25">
      <c r="A149" s="2" t="s">
        <v>3233</v>
      </c>
      <c r="B149" s="2" t="s">
        <v>3407</v>
      </c>
      <c r="C149" s="2" t="s">
        <v>3465</v>
      </c>
      <c r="D149" s="2" t="s">
        <v>3476</v>
      </c>
      <c r="E149" s="54" t="s">
        <v>3419</v>
      </c>
      <c r="F149" s="54">
        <v>15</v>
      </c>
      <c r="G149" s="46">
        <v>73131</v>
      </c>
      <c r="H149" s="46">
        <f>G149*(1+C$3)</f>
        <v>76860.680999999997</v>
      </c>
      <c r="I149" s="46">
        <f>H149*F149</f>
        <v>1152910.2149999999</v>
      </c>
      <c r="J149" s="2"/>
      <c r="K149" s="2"/>
      <c r="L149" s="2"/>
      <c r="M149" s="18">
        <f t="shared" si="86"/>
        <v>1152915</v>
      </c>
      <c r="N149" s="18">
        <f>76861*3</f>
        <v>230583</v>
      </c>
      <c r="O149" s="18">
        <v>0</v>
      </c>
      <c r="P149" s="18">
        <f>76861*3</f>
        <v>230583</v>
      </c>
      <c r="Q149" s="18">
        <v>0</v>
      </c>
      <c r="R149" s="18">
        <v>0</v>
      </c>
      <c r="S149" s="18">
        <f>76861*3</f>
        <v>230583</v>
      </c>
      <c r="T149" s="18">
        <v>0</v>
      </c>
      <c r="U149" s="18">
        <v>0</v>
      </c>
      <c r="V149" s="18">
        <f>76861*3</f>
        <v>230583</v>
      </c>
      <c r="W149" s="18">
        <v>0</v>
      </c>
      <c r="X149" s="18">
        <v>0</v>
      </c>
      <c r="Y149" s="18">
        <f>76861*3</f>
        <v>230583</v>
      </c>
    </row>
    <row r="150" spans="1:25">
      <c r="A150" s="2" t="s">
        <v>3233</v>
      </c>
      <c r="B150" s="2" t="s">
        <v>3407</v>
      </c>
      <c r="C150" s="2" t="s">
        <v>3465</v>
      </c>
      <c r="D150" s="2" t="s">
        <v>3477</v>
      </c>
      <c r="E150" s="54" t="s">
        <v>3387</v>
      </c>
      <c r="F150" s="54">
        <v>12</v>
      </c>
      <c r="G150" s="46">
        <v>675201</v>
      </c>
      <c r="H150" s="46">
        <f>G150*(1+C$3)</f>
        <v>709636.25099999993</v>
      </c>
      <c r="I150" s="46">
        <f>H150*F150</f>
        <v>8515635.0119999982</v>
      </c>
      <c r="J150" s="2"/>
      <c r="K150" s="2"/>
      <c r="L150" s="2"/>
      <c r="M150" s="18">
        <f t="shared" si="86"/>
        <v>8515639.216</v>
      </c>
      <c r="N150" s="18">
        <v>2128909.804</v>
      </c>
      <c r="O150" s="18">
        <v>0</v>
      </c>
      <c r="P150" s="18">
        <v>2128909.804</v>
      </c>
      <c r="Q150" s="18">
        <v>0</v>
      </c>
      <c r="R150" s="18">
        <v>0</v>
      </c>
      <c r="S150" s="18">
        <v>0</v>
      </c>
      <c r="T150" s="18">
        <v>2128909.804</v>
      </c>
      <c r="U150" s="18">
        <v>0</v>
      </c>
      <c r="V150" s="18">
        <v>0</v>
      </c>
      <c r="W150" s="18">
        <v>2128909.804</v>
      </c>
      <c r="X150" s="18">
        <v>0</v>
      </c>
      <c r="Y150" s="18">
        <v>0</v>
      </c>
    </row>
    <row r="151" spans="1:25">
      <c r="A151" s="2" t="s">
        <v>3233</v>
      </c>
      <c r="B151" s="2" t="s">
        <v>3407</v>
      </c>
      <c r="C151" s="2" t="s">
        <v>3465</v>
      </c>
      <c r="D151" s="2" t="s">
        <v>3478</v>
      </c>
      <c r="E151" s="54" t="s">
        <v>3362</v>
      </c>
      <c r="F151" s="54">
        <v>2</v>
      </c>
      <c r="G151" s="46">
        <v>650000</v>
      </c>
      <c r="H151" s="46">
        <f>G151*(1+C$3)</f>
        <v>683150</v>
      </c>
      <c r="I151" s="46">
        <f>H151*F151</f>
        <v>1366300</v>
      </c>
      <c r="J151" s="2"/>
      <c r="K151" s="2"/>
      <c r="L151" s="2"/>
      <c r="M151" s="18">
        <f t="shared" si="86"/>
        <v>1366300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18">
        <v>1366300</v>
      </c>
      <c r="T151" s="18">
        <v>0</v>
      </c>
      <c r="U151" s="18">
        <v>0</v>
      </c>
      <c r="V151" s="18">
        <v>0</v>
      </c>
      <c r="W151" s="18">
        <v>0</v>
      </c>
      <c r="X151" s="18">
        <v>0</v>
      </c>
      <c r="Y151" s="18">
        <v>0</v>
      </c>
    </row>
    <row r="152" spans="1:25">
      <c r="A152" s="2" t="s">
        <v>3233</v>
      </c>
      <c r="B152" s="2" t="s">
        <v>3407</v>
      </c>
      <c r="C152" s="2" t="s">
        <v>3465</v>
      </c>
      <c r="D152" s="2" t="s">
        <v>3479</v>
      </c>
      <c r="E152" s="54" t="s">
        <v>3362</v>
      </c>
      <c r="F152" s="54">
        <v>5</v>
      </c>
      <c r="G152" s="46">
        <v>1309000</v>
      </c>
      <c r="H152" s="46">
        <f>G152*(1+C$3)</f>
        <v>1375759</v>
      </c>
      <c r="I152" s="46">
        <f>H152*F152</f>
        <v>6878795</v>
      </c>
      <c r="J152" s="2"/>
      <c r="K152" s="2"/>
      <c r="L152" s="2"/>
      <c r="M152" s="18">
        <f t="shared" si="86"/>
        <v>6878795</v>
      </c>
      <c r="N152" s="18">
        <v>1375759</v>
      </c>
      <c r="O152" s="18">
        <v>0</v>
      </c>
      <c r="P152" s="18">
        <v>0</v>
      </c>
      <c r="Q152" s="18">
        <v>1375759</v>
      </c>
      <c r="R152" s="18">
        <v>0</v>
      </c>
      <c r="S152" s="18">
        <v>0</v>
      </c>
      <c r="T152" s="18">
        <v>1375759</v>
      </c>
      <c r="U152" s="18">
        <v>0</v>
      </c>
      <c r="V152" s="18">
        <v>0</v>
      </c>
      <c r="W152" s="18">
        <v>1375759</v>
      </c>
      <c r="X152" s="18">
        <v>0</v>
      </c>
      <c r="Y152" s="18">
        <v>1375759</v>
      </c>
    </row>
    <row r="153" spans="1:25">
      <c r="A153" s="2" t="s">
        <v>3233</v>
      </c>
      <c r="B153" s="2" t="s">
        <v>3407</v>
      </c>
      <c r="C153" s="2" t="s">
        <v>3465</v>
      </c>
      <c r="D153" s="2" t="s">
        <v>3480</v>
      </c>
      <c r="E153" s="54" t="s">
        <v>3387</v>
      </c>
      <c r="F153" s="54">
        <v>12</v>
      </c>
      <c r="G153" s="46">
        <v>294272.12</v>
      </c>
      <c r="H153" s="46">
        <f>G153*(1+C$3)</f>
        <v>309279.99812</v>
      </c>
      <c r="I153" s="46">
        <f>H153*F153</f>
        <v>3711359.97744</v>
      </c>
      <c r="J153" s="2"/>
      <c r="K153" s="2"/>
      <c r="L153" s="2"/>
      <c r="M153" s="18">
        <f t="shared" si="86"/>
        <v>3771360</v>
      </c>
      <c r="N153" s="18">
        <v>294280</v>
      </c>
      <c r="O153" s="18">
        <v>294280</v>
      </c>
      <c r="P153" s="18">
        <v>294280</v>
      </c>
      <c r="Q153" s="18">
        <v>534280</v>
      </c>
      <c r="R153" s="18">
        <v>294280</v>
      </c>
      <c r="S153" s="18">
        <v>294280</v>
      </c>
      <c r="T153" s="18">
        <v>294280</v>
      </c>
      <c r="U153" s="18">
        <v>294280</v>
      </c>
      <c r="V153" s="18">
        <v>294280</v>
      </c>
      <c r="W153" s="18">
        <v>294280</v>
      </c>
      <c r="X153" s="18">
        <v>294280</v>
      </c>
      <c r="Y153" s="18">
        <v>294280</v>
      </c>
    </row>
    <row r="154" spans="1:25">
      <c r="A154" s="2" t="s">
        <v>3233</v>
      </c>
      <c r="B154" s="2" t="s">
        <v>3407</v>
      </c>
      <c r="C154" s="2" t="s">
        <v>3465</v>
      </c>
      <c r="D154" s="2" t="s">
        <v>3481</v>
      </c>
      <c r="E154" s="54" t="s">
        <v>3387</v>
      </c>
      <c r="F154" s="54">
        <v>4</v>
      </c>
      <c r="G154" s="46">
        <v>173224</v>
      </c>
      <c r="H154" s="46">
        <f>G154*(1+C$3)</f>
        <v>182058.424</v>
      </c>
      <c r="I154" s="46">
        <f>H154*F154</f>
        <v>728233.696</v>
      </c>
      <c r="J154" s="2"/>
      <c r="K154" s="2"/>
      <c r="L154" s="2"/>
      <c r="M154" s="18">
        <f t="shared" si="86"/>
        <v>728233.696</v>
      </c>
      <c r="N154" s="18">
        <v>0</v>
      </c>
      <c r="O154" s="18">
        <v>0</v>
      </c>
      <c r="P154" s="18">
        <v>182058.424</v>
      </c>
      <c r="Q154" s="18">
        <v>0</v>
      </c>
      <c r="R154" s="18">
        <v>0</v>
      </c>
      <c r="S154" s="18">
        <v>0</v>
      </c>
      <c r="T154" s="18">
        <v>182058.424</v>
      </c>
      <c r="U154" s="18">
        <v>0</v>
      </c>
      <c r="V154" s="18">
        <v>0</v>
      </c>
      <c r="W154" s="18">
        <v>182058.424</v>
      </c>
      <c r="X154" s="18">
        <v>0</v>
      </c>
      <c r="Y154" s="18">
        <v>182058.424</v>
      </c>
    </row>
    <row r="155" spans="1:25">
      <c r="A155" s="2" t="s">
        <v>3233</v>
      </c>
      <c r="B155" s="2" t="s">
        <v>3407</v>
      </c>
      <c r="C155" s="2" t="s">
        <v>3465</v>
      </c>
      <c r="D155" s="2" t="s">
        <v>3482</v>
      </c>
      <c r="E155" s="54" t="s">
        <v>3362</v>
      </c>
      <c r="F155" s="54">
        <v>1</v>
      </c>
      <c r="G155" s="46">
        <v>416500</v>
      </c>
      <c r="H155" s="46">
        <f t="shared" ref="H155" si="98">G155*(1+C$3)</f>
        <v>437741.5</v>
      </c>
      <c r="I155" s="46">
        <f t="shared" ref="I155:I156" si="99">H155*F155</f>
        <v>437741.5</v>
      </c>
      <c r="J155" s="2"/>
      <c r="K155" s="2"/>
      <c r="L155" s="2"/>
      <c r="M155" s="18">
        <f t="shared" si="86"/>
        <v>437741.5</v>
      </c>
      <c r="N155" s="18">
        <v>0</v>
      </c>
      <c r="O155" s="18">
        <v>0</v>
      </c>
      <c r="P155" s="18">
        <v>0</v>
      </c>
      <c r="Q155" s="18">
        <v>437741.5</v>
      </c>
      <c r="R155" s="18">
        <v>0</v>
      </c>
      <c r="S155" s="18">
        <v>0</v>
      </c>
      <c r="T155" s="18">
        <v>0</v>
      </c>
      <c r="U155" s="18">
        <v>0</v>
      </c>
      <c r="V155" s="18">
        <v>0</v>
      </c>
      <c r="W155" s="18">
        <v>0</v>
      </c>
      <c r="X155" s="18">
        <v>0</v>
      </c>
      <c r="Y155" s="18">
        <v>0</v>
      </c>
    </row>
    <row r="156" spans="1:25">
      <c r="A156" s="47" t="s">
        <v>3233</v>
      </c>
      <c r="B156" s="47" t="s">
        <v>3407</v>
      </c>
      <c r="C156" s="47" t="s">
        <v>3483</v>
      </c>
      <c r="D156" s="2" t="s">
        <v>3484</v>
      </c>
      <c r="E156" s="54"/>
      <c r="F156" s="54"/>
      <c r="G156" s="3">
        <v>0</v>
      </c>
      <c r="H156" s="3">
        <v>0</v>
      </c>
      <c r="I156" s="3">
        <f t="shared" si="99"/>
        <v>0</v>
      </c>
      <c r="J156" s="2"/>
      <c r="K156" s="2"/>
      <c r="L156" s="2"/>
      <c r="M156" s="18">
        <f t="shared" si="86"/>
        <v>0</v>
      </c>
      <c r="N156" s="18">
        <v>0</v>
      </c>
      <c r="O156" s="18">
        <v>0</v>
      </c>
      <c r="P156" s="18">
        <v>0</v>
      </c>
      <c r="Q156" s="18">
        <v>0</v>
      </c>
      <c r="R156" s="18">
        <v>0</v>
      </c>
      <c r="S156" s="18">
        <v>0</v>
      </c>
      <c r="T156" s="18">
        <v>0</v>
      </c>
      <c r="U156" s="18">
        <v>0</v>
      </c>
      <c r="V156" s="18">
        <v>0</v>
      </c>
      <c r="W156" s="18">
        <v>0</v>
      </c>
      <c r="X156" s="18">
        <v>0</v>
      </c>
      <c r="Y156" s="18">
        <v>0</v>
      </c>
    </row>
    <row r="157" spans="1:25">
      <c r="A157" s="2" t="s">
        <v>3233</v>
      </c>
      <c r="B157" s="2" t="s">
        <v>3407</v>
      </c>
      <c r="C157" s="2" t="s">
        <v>3483</v>
      </c>
      <c r="D157" s="2" t="s">
        <v>3485</v>
      </c>
      <c r="E157" s="54"/>
      <c r="F157" s="54"/>
      <c r="G157" s="3">
        <v>0</v>
      </c>
      <c r="H157" s="3">
        <v>0</v>
      </c>
      <c r="I157" s="3">
        <f t="shared" ref="I157" si="100">H157*F157</f>
        <v>0</v>
      </c>
      <c r="J157" s="2"/>
      <c r="K157" s="2"/>
      <c r="L157" s="2"/>
      <c r="M157" s="18">
        <f t="shared" si="86"/>
        <v>0</v>
      </c>
      <c r="N157" s="18">
        <v>0</v>
      </c>
      <c r="O157" s="18">
        <v>0</v>
      </c>
      <c r="P157" s="18">
        <v>0</v>
      </c>
      <c r="Q157" s="18">
        <v>0</v>
      </c>
      <c r="R157" s="18">
        <v>0</v>
      </c>
      <c r="S157" s="18">
        <v>0</v>
      </c>
      <c r="T157" s="18">
        <v>0</v>
      </c>
      <c r="U157" s="18">
        <v>0</v>
      </c>
      <c r="V157" s="18">
        <v>0</v>
      </c>
      <c r="W157" s="18">
        <v>0</v>
      </c>
      <c r="X157" s="18">
        <v>0</v>
      </c>
      <c r="Y157" s="18">
        <v>0</v>
      </c>
    </row>
    <row r="158" spans="1:25">
      <c r="A158" s="2" t="s">
        <v>3233</v>
      </c>
      <c r="B158" s="2" t="s">
        <v>3407</v>
      </c>
      <c r="C158" s="2" t="s">
        <v>3483</v>
      </c>
      <c r="D158" s="2" t="s">
        <v>3486</v>
      </c>
      <c r="E158" s="54" t="s">
        <v>3362</v>
      </c>
      <c r="F158" s="54">
        <v>2</v>
      </c>
      <c r="G158" s="46">
        <v>1277600</v>
      </c>
      <c r="H158" s="46">
        <f>G158*(1+C$3)</f>
        <v>1342757.5999999999</v>
      </c>
      <c r="I158" s="46">
        <f>H158*F158</f>
        <v>2685515.1999999997</v>
      </c>
      <c r="J158" s="2"/>
      <c r="K158" s="2"/>
      <c r="L158" s="2"/>
      <c r="M158" s="18">
        <f t="shared" si="86"/>
        <v>2685515.1999999997</v>
      </c>
      <c r="N158" s="18">
        <v>0</v>
      </c>
      <c r="O158" s="18">
        <v>0</v>
      </c>
      <c r="P158" s="18">
        <v>0</v>
      </c>
      <c r="Q158" s="18">
        <f>H158*2</f>
        <v>2685515.1999999997</v>
      </c>
      <c r="R158" s="18">
        <v>0</v>
      </c>
      <c r="S158" s="18">
        <v>0</v>
      </c>
      <c r="T158" s="18">
        <v>0</v>
      </c>
      <c r="U158" s="18">
        <v>0</v>
      </c>
      <c r="V158" s="18">
        <v>0</v>
      </c>
      <c r="W158" s="18">
        <v>0</v>
      </c>
      <c r="X158" s="18">
        <v>0</v>
      </c>
      <c r="Y158" s="18">
        <v>0</v>
      </c>
    </row>
    <row r="159" spans="1:25">
      <c r="A159" s="2" t="s">
        <v>3233</v>
      </c>
      <c r="B159" s="2" t="s">
        <v>3407</v>
      </c>
      <c r="C159" s="2" t="s">
        <v>3483</v>
      </c>
      <c r="D159" s="2" t="s">
        <v>3487</v>
      </c>
      <c r="E159" s="54" t="s">
        <v>3362</v>
      </c>
      <c r="F159" s="54">
        <v>2</v>
      </c>
      <c r="G159" s="46">
        <v>477341</v>
      </c>
      <c r="H159" s="46">
        <f>G159*(1+C$3)</f>
        <v>501685.39099999995</v>
      </c>
      <c r="I159" s="46">
        <f t="shared" ref="I159:I176" si="101">H159*F159</f>
        <v>1003370.7819999999</v>
      </c>
      <c r="J159" s="2"/>
      <c r="K159" s="2"/>
      <c r="L159" s="2"/>
      <c r="M159" s="18">
        <f t="shared" si="86"/>
        <v>1003370.7819999999</v>
      </c>
      <c r="N159" s="18">
        <v>0</v>
      </c>
      <c r="O159" s="18">
        <v>0</v>
      </c>
      <c r="P159" s="18">
        <v>0</v>
      </c>
      <c r="Q159" s="18">
        <f>H159*2</f>
        <v>1003370.7819999999</v>
      </c>
      <c r="R159" s="18">
        <v>0</v>
      </c>
      <c r="S159" s="18">
        <v>0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</row>
    <row r="160" spans="1:25">
      <c r="A160" s="2" t="s">
        <v>3233</v>
      </c>
      <c r="B160" s="2" t="s">
        <v>3407</v>
      </c>
      <c r="C160" s="2" t="s">
        <v>3483</v>
      </c>
      <c r="D160" s="2" t="s">
        <v>3417</v>
      </c>
      <c r="E160" s="54" t="s">
        <v>3362</v>
      </c>
      <c r="F160" s="54">
        <v>2</v>
      </c>
      <c r="G160" s="46">
        <f>43779*12</f>
        <v>525348</v>
      </c>
      <c r="H160" s="46">
        <f>G160*(1+C$3)</f>
        <v>552140.74800000002</v>
      </c>
      <c r="I160" s="46">
        <f>+H160*F160</f>
        <v>1104281.496</v>
      </c>
      <c r="J160" s="2"/>
      <c r="K160" s="2"/>
      <c r="L160" s="2"/>
      <c r="M160" s="18">
        <f>SUM(N160:Y160)</f>
        <v>13251377.951999998</v>
      </c>
      <c r="N160" s="18">
        <f>H160*F160</f>
        <v>1104281.496</v>
      </c>
      <c r="O160" s="18">
        <f>N160</f>
        <v>1104281.496</v>
      </c>
      <c r="P160" s="18">
        <f t="shared" ref="P160" si="102">O160</f>
        <v>1104281.496</v>
      </c>
      <c r="Q160" s="18">
        <f t="shared" ref="Q160" si="103">P160</f>
        <v>1104281.496</v>
      </c>
      <c r="R160" s="18">
        <f t="shared" ref="R160" si="104">Q160</f>
        <v>1104281.496</v>
      </c>
      <c r="S160" s="18">
        <f t="shared" ref="S160" si="105">R160</f>
        <v>1104281.496</v>
      </c>
      <c r="T160" s="18">
        <f t="shared" ref="T160" si="106">S160</f>
        <v>1104281.496</v>
      </c>
      <c r="U160" s="18">
        <f t="shared" ref="U160" si="107">T160</f>
        <v>1104281.496</v>
      </c>
      <c r="V160" s="18">
        <f t="shared" ref="V160" si="108">U160</f>
        <v>1104281.496</v>
      </c>
      <c r="W160" s="18">
        <f t="shared" ref="W160" si="109">V160</f>
        <v>1104281.496</v>
      </c>
      <c r="X160" s="18">
        <f t="shared" ref="X160" si="110">W160</f>
        <v>1104281.496</v>
      </c>
      <c r="Y160" s="18">
        <f t="shared" ref="Y160" si="111">X160</f>
        <v>1104281.496</v>
      </c>
    </row>
    <row r="161" spans="1:25">
      <c r="A161" s="2" t="s">
        <v>3233</v>
      </c>
      <c r="B161" s="2" t="s">
        <v>3407</v>
      </c>
      <c r="C161" s="2" t="s">
        <v>3483</v>
      </c>
      <c r="D161" s="2" t="s">
        <v>3418</v>
      </c>
      <c r="E161" s="54" t="s">
        <v>3488</v>
      </c>
      <c r="F161" s="57">
        <f>M161/H161</f>
        <v>4852.330198417998</v>
      </c>
      <c r="G161" s="46">
        <v>12689</v>
      </c>
      <c r="H161" s="46">
        <f>G161*(1+C$3)</f>
        <v>13336.138999999999</v>
      </c>
      <c r="I161" s="46">
        <f>+H161*F161</f>
        <v>64711350</v>
      </c>
      <c r="J161" s="2"/>
      <c r="K161" s="2"/>
      <c r="L161" s="2"/>
      <c r="M161" s="18">
        <f t="shared" ref="M161" si="112">SUM(N161:Y161)</f>
        <v>64711350</v>
      </c>
      <c r="N161" s="18">
        <v>5392612.5</v>
      </c>
      <c r="O161" s="18">
        <v>5392612.5</v>
      </c>
      <c r="P161" s="18">
        <v>5392612.5</v>
      </c>
      <c r="Q161" s="18">
        <v>5392612.5</v>
      </c>
      <c r="R161" s="18">
        <v>5392612.5</v>
      </c>
      <c r="S161" s="18">
        <v>5392612.5</v>
      </c>
      <c r="T161" s="18">
        <v>5392612.5</v>
      </c>
      <c r="U161" s="18">
        <v>5392612.5</v>
      </c>
      <c r="V161" s="18">
        <v>5392612.5</v>
      </c>
      <c r="W161" s="18">
        <v>5392612.5</v>
      </c>
      <c r="X161" s="18">
        <v>5392612.5</v>
      </c>
      <c r="Y161" s="18">
        <v>5392612.5</v>
      </c>
    </row>
    <row r="162" spans="1:25">
      <c r="A162" s="2" t="s">
        <v>3233</v>
      </c>
      <c r="B162" s="2" t="s">
        <v>3407</v>
      </c>
      <c r="C162" s="2" t="s">
        <v>3483</v>
      </c>
      <c r="D162" s="2" t="s">
        <v>3489</v>
      </c>
      <c r="E162" s="54" t="s">
        <v>3362</v>
      </c>
      <c r="F162" s="54">
        <v>12</v>
      </c>
      <c r="G162" s="46">
        <v>84244</v>
      </c>
      <c r="H162" s="46">
        <f t="shared" ref="H162:H176" si="113">G162*(1+C$3)</f>
        <v>88540.443999999989</v>
      </c>
      <c r="I162" s="46">
        <f t="shared" si="101"/>
        <v>1062485.3279999997</v>
      </c>
      <c r="J162" s="2"/>
      <c r="K162" s="2"/>
      <c r="L162" s="2"/>
      <c r="M162" s="18">
        <f t="shared" si="86"/>
        <v>1062480</v>
      </c>
      <c r="N162" s="18">
        <v>88540</v>
      </c>
      <c r="O162" s="18">
        <v>88540</v>
      </c>
      <c r="P162" s="18">
        <v>88540</v>
      </c>
      <c r="Q162" s="18">
        <v>88540</v>
      </c>
      <c r="R162" s="18">
        <v>88540</v>
      </c>
      <c r="S162" s="18">
        <v>88540</v>
      </c>
      <c r="T162" s="18">
        <v>88540</v>
      </c>
      <c r="U162" s="18">
        <v>88540</v>
      </c>
      <c r="V162" s="18">
        <v>88540</v>
      </c>
      <c r="W162" s="18">
        <v>88540</v>
      </c>
      <c r="X162" s="18">
        <v>88540</v>
      </c>
      <c r="Y162" s="18">
        <v>88540</v>
      </c>
    </row>
    <row r="163" spans="1:25">
      <c r="A163" s="2" t="s">
        <v>3233</v>
      </c>
      <c r="B163" s="2" t="s">
        <v>3407</v>
      </c>
      <c r="C163" s="2" t="s">
        <v>3483</v>
      </c>
      <c r="D163" s="2" t="s">
        <v>3490</v>
      </c>
      <c r="E163" s="54" t="s">
        <v>3362</v>
      </c>
      <c r="F163" s="54">
        <v>12</v>
      </c>
      <c r="G163" s="46">
        <v>102542</v>
      </c>
      <c r="H163" s="46">
        <f t="shared" si="113"/>
        <v>107771.64199999999</v>
      </c>
      <c r="I163" s="46">
        <f t="shared" si="101"/>
        <v>1293259.7039999999</v>
      </c>
      <c r="J163" s="2"/>
      <c r="K163" s="2"/>
      <c r="L163" s="2"/>
      <c r="M163" s="18">
        <f t="shared" si="86"/>
        <v>1293264</v>
      </c>
      <c r="N163" s="18">
        <v>107772</v>
      </c>
      <c r="O163" s="18">
        <v>107772</v>
      </c>
      <c r="P163" s="18">
        <v>107772</v>
      </c>
      <c r="Q163" s="18">
        <v>107772</v>
      </c>
      <c r="R163" s="18">
        <v>107772</v>
      </c>
      <c r="S163" s="18">
        <v>107772</v>
      </c>
      <c r="T163" s="18">
        <v>107772</v>
      </c>
      <c r="U163" s="18">
        <v>107772</v>
      </c>
      <c r="V163" s="18">
        <v>107772</v>
      </c>
      <c r="W163" s="18">
        <v>107772</v>
      </c>
      <c r="X163" s="18">
        <v>107772</v>
      </c>
      <c r="Y163" s="18">
        <v>107772</v>
      </c>
    </row>
    <row r="164" spans="1:25">
      <c r="A164" s="2" t="s">
        <v>3233</v>
      </c>
      <c r="B164" s="2" t="s">
        <v>3407</v>
      </c>
      <c r="C164" s="2" t="s">
        <v>3483</v>
      </c>
      <c r="D164" s="2" t="s">
        <v>3491</v>
      </c>
      <c r="E164" s="54" t="s">
        <v>3362</v>
      </c>
      <c r="F164" s="54">
        <v>12</v>
      </c>
      <c r="G164" s="46">
        <v>45843</v>
      </c>
      <c r="H164" s="46">
        <f t="shared" si="113"/>
        <v>48180.992999999995</v>
      </c>
      <c r="I164" s="46">
        <f t="shared" si="101"/>
        <v>578171.91599999997</v>
      </c>
      <c r="J164" s="2"/>
      <c r="K164" s="2"/>
      <c r="L164" s="2"/>
      <c r="M164" s="18">
        <f t="shared" si="86"/>
        <v>578172</v>
      </c>
      <c r="N164" s="18">
        <v>48181</v>
      </c>
      <c r="O164" s="18">
        <v>48181</v>
      </c>
      <c r="P164" s="18">
        <v>48181</v>
      </c>
      <c r="Q164" s="18">
        <v>48181</v>
      </c>
      <c r="R164" s="18">
        <v>48181</v>
      </c>
      <c r="S164" s="18">
        <v>48181</v>
      </c>
      <c r="T164" s="18">
        <v>48181</v>
      </c>
      <c r="U164" s="18">
        <v>48181</v>
      </c>
      <c r="V164" s="18">
        <v>48181</v>
      </c>
      <c r="W164" s="18">
        <v>48181</v>
      </c>
      <c r="X164" s="18">
        <v>48181</v>
      </c>
      <c r="Y164" s="18">
        <v>48181</v>
      </c>
    </row>
    <row r="165" spans="1:25">
      <c r="A165" s="2" t="s">
        <v>3233</v>
      </c>
      <c r="B165" s="2" t="s">
        <v>3407</v>
      </c>
      <c r="C165" s="2" t="s">
        <v>3483</v>
      </c>
      <c r="D165" s="2" t="s">
        <v>3492</v>
      </c>
      <c r="E165" s="54" t="s">
        <v>3362</v>
      </c>
      <c r="F165" s="54">
        <v>12</v>
      </c>
      <c r="G165" s="46">
        <v>37267</v>
      </c>
      <c r="H165" s="46">
        <f t="shared" si="113"/>
        <v>39167.616999999998</v>
      </c>
      <c r="I165" s="46">
        <f t="shared" si="101"/>
        <v>470011.40399999998</v>
      </c>
      <c r="J165" s="2"/>
      <c r="K165" s="2"/>
      <c r="L165" s="2"/>
      <c r="M165" s="18">
        <f t="shared" si="86"/>
        <v>470016</v>
      </c>
      <c r="N165" s="18">
        <v>39168</v>
      </c>
      <c r="O165" s="18">
        <v>39168</v>
      </c>
      <c r="P165" s="18">
        <v>39168</v>
      </c>
      <c r="Q165" s="18">
        <v>39168</v>
      </c>
      <c r="R165" s="18">
        <v>39168</v>
      </c>
      <c r="S165" s="18">
        <v>39168</v>
      </c>
      <c r="T165" s="18">
        <v>39168</v>
      </c>
      <c r="U165" s="18">
        <v>39168</v>
      </c>
      <c r="V165" s="18">
        <v>39168</v>
      </c>
      <c r="W165" s="18">
        <v>39168</v>
      </c>
      <c r="X165" s="18">
        <v>39168</v>
      </c>
      <c r="Y165" s="18">
        <v>39168</v>
      </c>
    </row>
    <row r="166" spans="1:25">
      <c r="A166" s="2" t="s">
        <v>3233</v>
      </c>
      <c r="B166" s="2" t="s">
        <v>3407</v>
      </c>
      <c r="C166" s="2" t="s">
        <v>3483</v>
      </c>
      <c r="D166" s="2" t="s">
        <v>3493</v>
      </c>
      <c r="E166" s="54" t="s">
        <v>3362</v>
      </c>
      <c r="F166" s="54">
        <v>12</v>
      </c>
      <c r="G166" s="46">
        <v>9324</v>
      </c>
      <c r="H166" s="46">
        <f t="shared" si="113"/>
        <v>9799.5239999999994</v>
      </c>
      <c r="I166" s="46">
        <f t="shared" si="101"/>
        <v>117594.288</v>
      </c>
      <c r="J166" s="2"/>
      <c r="K166" s="2"/>
      <c r="L166" s="2"/>
      <c r="M166" s="18">
        <f t="shared" si="86"/>
        <v>117600</v>
      </c>
      <c r="N166" s="18">
        <v>9800</v>
      </c>
      <c r="O166" s="18">
        <v>9800</v>
      </c>
      <c r="P166" s="18">
        <v>9800</v>
      </c>
      <c r="Q166" s="18">
        <v>9800</v>
      </c>
      <c r="R166" s="18">
        <v>9800</v>
      </c>
      <c r="S166" s="18">
        <v>9800</v>
      </c>
      <c r="T166" s="18">
        <v>9800</v>
      </c>
      <c r="U166" s="18">
        <v>9800</v>
      </c>
      <c r="V166" s="18">
        <v>9800</v>
      </c>
      <c r="W166" s="18">
        <v>9800</v>
      </c>
      <c r="X166" s="18">
        <v>9800</v>
      </c>
      <c r="Y166" s="18">
        <v>9800</v>
      </c>
    </row>
    <row r="167" spans="1:25">
      <c r="A167" s="2" t="s">
        <v>3233</v>
      </c>
      <c r="B167" s="2" t="s">
        <v>3407</v>
      </c>
      <c r="C167" s="2" t="s">
        <v>3483</v>
      </c>
      <c r="D167" s="2" t="s">
        <v>3494</v>
      </c>
      <c r="E167" s="54" t="s">
        <v>3419</v>
      </c>
      <c r="F167" s="54">
        <v>42</v>
      </c>
      <c r="G167" s="46">
        <v>92665</v>
      </c>
      <c r="H167" s="46">
        <f t="shared" si="113"/>
        <v>97390.914999999994</v>
      </c>
      <c r="I167" s="46">
        <f t="shared" si="101"/>
        <v>4090418.4299999997</v>
      </c>
      <c r="J167" s="2"/>
      <c r="K167" s="2"/>
      <c r="L167" s="2"/>
      <c r="M167" s="18">
        <f t="shared" si="86"/>
        <v>4090418.43</v>
      </c>
      <c r="N167" s="18">
        <f>H167*3.5</f>
        <v>340868.20249999996</v>
      </c>
      <c r="O167" s="18">
        <f>N167</f>
        <v>340868.20249999996</v>
      </c>
      <c r="P167" s="18">
        <f t="shared" ref="P167:Y167" si="114">O167</f>
        <v>340868.20249999996</v>
      </c>
      <c r="Q167" s="18">
        <f t="shared" si="114"/>
        <v>340868.20249999996</v>
      </c>
      <c r="R167" s="18">
        <f t="shared" si="114"/>
        <v>340868.20249999996</v>
      </c>
      <c r="S167" s="18">
        <f t="shared" si="114"/>
        <v>340868.20249999996</v>
      </c>
      <c r="T167" s="18">
        <f t="shared" si="114"/>
        <v>340868.20249999996</v>
      </c>
      <c r="U167" s="18">
        <f t="shared" si="114"/>
        <v>340868.20249999996</v>
      </c>
      <c r="V167" s="18">
        <f t="shared" si="114"/>
        <v>340868.20249999996</v>
      </c>
      <c r="W167" s="18">
        <f t="shared" si="114"/>
        <v>340868.20249999996</v>
      </c>
      <c r="X167" s="18">
        <f t="shared" si="114"/>
        <v>340868.20249999996</v>
      </c>
      <c r="Y167" s="18">
        <f t="shared" si="114"/>
        <v>340868.20249999996</v>
      </c>
    </row>
    <row r="168" spans="1:25">
      <c r="A168" s="2" t="s">
        <v>3233</v>
      </c>
      <c r="B168" s="2" t="s">
        <v>3407</v>
      </c>
      <c r="C168" s="2" t="s">
        <v>3483</v>
      </c>
      <c r="D168" s="2" t="s">
        <v>3495</v>
      </c>
      <c r="E168" s="54" t="s">
        <v>3387</v>
      </c>
      <c r="F168" s="54">
        <v>8</v>
      </c>
      <c r="G168" s="46">
        <v>2025604</v>
      </c>
      <c r="H168" s="46">
        <f>G168*(1+C$3)</f>
        <v>2128909.804</v>
      </c>
      <c r="I168" s="46">
        <f t="shared" si="101"/>
        <v>17031278.432</v>
      </c>
      <c r="J168" s="2"/>
      <c r="K168" s="2"/>
      <c r="L168" s="2"/>
      <c r="M168" s="18">
        <f t="shared" si="86"/>
        <v>17031278.432</v>
      </c>
      <c r="N168" s="18">
        <v>4257819.608</v>
      </c>
      <c r="O168" s="18">
        <v>0</v>
      </c>
      <c r="P168" s="18">
        <v>4257819.608</v>
      </c>
      <c r="Q168" s="18">
        <v>0</v>
      </c>
      <c r="R168" s="18">
        <v>0</v>
      </c>
      <c r="S168" s="18">
        <v>0</v>
      </c>
      <c r="T168" s="18">
        <v>4257819.608</v>
      </c>
      <c r="U168" s="18">
        <v>0</v>
      </c>
      <c r="V168" s="18">
        <v>0</v>
      </c>
      <c r="W168" s="18">
        <v>4257819.608</v>
      </c>
      <c r="X168" s="18">
        <v>0</v>
      </c>
      <c r="Y168" s="18">
        <v>0</v>
      </c>
    </row>
    <row r="169" spans="1:25">
      <c r="A169" s="2" t="s">
        <v>3233</v>
      </c>
      <c r="B169" s="2" t="s">
        <v>3407</v>
      </c>
      <c r="C169" s="2" t="s">
        <v>3483</v>
      </c>
      <c r="D169" s="2" t="s">
        <v>3496</v>
      </c>
      <c r="E169" s="54" t="s">
        <v>3362</v>
      </c>
      <c r="F169" s="54">
        <v>24</v>
      </c>
      <c r="G169" s="46">
        <v>1273300</v>
      </c>
      <c r="H169" s="46">
        <f>G169*(1+C$3)</f>
        <v>1338238.2999999998</v>
      </c>
      <c r="I169" s="46">
        <f t="shared" si="101"/>
        <v>32117719.199999996</v>
      </c>
      <c r="J169" s="2"/>
      <c r="K169" s="2"/>
      <c r="L169" s="2"/>
      <c r="M169" s="18">
        <f t="shared" si="86"/>
        <v>32117719.199999996</v>
      </c>
      <c r="N169" s="18">
        <v>0</v>
      </c>
      <c r="O169" s="18">
        <v>0</v>
      </c>
      <c r="P169" s="18">
        <v>0</v>
      </c>
      <c r="Q169" s="18">
        <f>I169/2</f>
        <v>16058859.599999998</v>
      </c>
      <c r="R169" s="18">
        <v>0</v>
      </c>
      <c r="S169" s="18">
        <v>0</v>
      </c>
      <c r="T169" s="18">
        <v>0</v>
      </c>
      <c r="U169" s="18">
        <v>0</v>
      </c>
      <c r="V169" s="18">
        <v>0</v>
      </c>
      <c r="W169" s="18">
        <f>Q169</f>
        <v>16058859.599999998</v>
      </c>
      <c r="X169" s="18">
        <v>0</v>
      </c>
      <c r="Y169" s="18">
        <v>0</v>
      </c>
    </row>
    <row r="170" spans="1:25">
      <c r="A170" s="2" t="s">
        <v>3233</v>
      </c>
      <c r="B170" s="2" t="s">
        <v>3407</v>
      </c>
      <c r="C170" s="2" t="s">
        <v>3483</v>
      </c>
      <c r="D170" s="2" t="s">
        <v>3497</v>
      </c>
      <c r="E170" s="54" t="s">
        <v>3362</v>
      </c>
      <c r="F170" s="54">
        <v>24</v>
      </c>
      <c r="G170" s="46">
        <v>11900</v>
      </c>
      <c r="H170" s="46">
        <f t="shared" si="113"/>
        <v>12506.9</v>
      </c>
      <c r="I170" s="46">
        <f t="shared" si="101"/>
        <v>300165.59999999998</v>
      </c>
      <c r="J170" s="2"/>
      <c r="K170" s="2"/>
      <c r="L170" s="2"/>
      <c r="M170" s="18">
        <f t="shared" si="86"/>
        <v>300165.59999999998</v>
      </c>
      <c r="N170" s="18">
        <v>0</v>
      </c>
      <c r="O170" s="18">
        <v>0</v>
      </c>
      <c r="P170" s="18">
        <v>0</v>
      </c>
      <c r="Q170" s="18">
        <f>I170/2</f>
        <v>150082.79999999999</v>
      </c>
      <c r="R170" s="18">
        <v>0</v>
      </c>
      <c r="S170" s="18">
        <v>0</v>
      </c>
      <c r="T170" s="18">
        <v>0</v>
      </c>
      <c r="U170" s="18">
        <v>0</v>
      </c>
      <c r="V170" s="18">
        <v>0</v>
      </c>
      <c r="W170" s="18">
        <f>Q170</f>
        <v>150082.79999999999</v>
      </c>
      <c r="X170" s="18">
        <v>0</v>
      </c>
      <c r="Y170" s="18">
        <v>0</v>
      </c>
    </row>
    <row r="171" spans="1:25">
      <c r="A171" s="2" t="s">
        <v>3233</v>
      </c>
      <c r="B171" s="2" t="s">
        <v>3407</v>
      </c>
      <c r="C171" s="2" t="s">
        <v>3483</v>
      </c>
      <c r="D171" s="2" t="s">
        <v>3498</v>
      </c>
      <c r="E171" s="54" t="s">
        <v>3362</v>
      </c>
      <c r="F171" s="54">
        <v>4</v>
      </c>
      <c r="G171" s="46">
        <v>328678</v>
      </c>
      <c r="H171" s="46">
        <f t="shared" si="113"/>
        <v>345440.57799999998</v>
      </c>
      <c r="I171" s="46">
        <f t="shared" si="101"/>
        <v>1381762.3119999999</v>
      </c>
      <c r="J171" s="2"/>
      <c r="K171" s="2"/>
      <c r="L171" s="2"/>
      <c r="M171" s="18">
        <f t="shared" si="86"/>
        <v>1381762.3119999999</v>
      </c>
      <c r="N171" s="18">
        <v>0</v>
      </c>
      <c r="O171" s="18">
        <v>0</v>
      </c>
      <c r="P171" s="18">
        <v>0</v>
      </c>
      <c r="Q171" s="18">
        <f>I171/2</f>
        <v>690881.15599999996</v>
      </c>
      <c r="R171" s="18">
        <v>0</v>
      </c>
      <c r="S171" s="18">
        <v>0</v>
      </c>
      <c r="T171" s="18">
        <v>0</v>
      </c>
      <c r="U171" s="18">
        <v>0</v>
      </c>
      <c r="V171" s="18">
        <v>0</v>
      </c>
      <c r="W171" s="18">
        <f>Q171</f>
        <v>690881.15599999996</v>
      </c>
      <c r="X171" s="18">
        <v>0</v>
      </c>
      <c r="Y171" s="18">
        <v>0</v>
      </c>
    </row>
    <row r="172" spans="1:25">
      <c r="A172" s="2" t="s">
        <v>3233</v>
      </c>
      <c r="B172" s="2" t="s">
        <v>3407</v>
      </c>
      <c r="C172" s="2" t="s">
        <v>3483</v>
      </c>
      <c r="D172" s="2" t="s">
        <v>3499</v>
      </c>
      <c r="E172" s="54" t="s">
        <v>3362</v>
      </c>
      <c r="F172" s="54">
        <v>2</v>
      </c>
      <c r="G172" s="46">
        <v>437742</v>
      </c>
      <c r="H172" s="46">
        <f t="shared" si="113"/>
        <v>460066.84199999995</v>
      </c>
      <c r="I172" s="46">
        <f t="shared" si="101"/>
        <v>920133.68399999989</v>
      </c>
      <c r="J172" s="2"/>
      <c r="K172" s="2"/>
      <c r="L172" s="2"/>
      <c r="M172" s="18">
        <f t="shared" si="86"/>
        <v>920133.68399999989</v>
      </c>
      <c r="N172" s="18">
        <v>0</v>
      </c>
      <c r="O172" s="18">
        <v>0</v>
      </c>
      <c r="P172" s="18">
        <v>0</v>
      </c>
      <c r="Q172" s="18">
        <f>I172</f>
        <v>920133.68399999989</v>
      </c>
      <c r="R172" s="18">
        <v>0</v>
      </c>
      <c r="S172" s="18">
        <v>0</v>
      </c>
      <c r="T172" s="18">
        <v>0</v>
      </c>
      <c r="U172" s="18">
        <v>0</v>
      </c>
      <c r="V172" s="18">
        <v>0</v>
      </c>
      <c r="W172" s="18">
        <v>0</v>
      </c>
      <c r="X172" s="18">
        <v>0</v>
      </c>
      <c r="Y172" s="18">
        <v>0</v>
      </c>
    </row>
    <row r="173" spans="1:25">
      <c r="A173" s="2" t="s">
        <v>3233</v>
      </c>
      <c r="B173" s="2" t="s">
        <v>3407</v>
      </c>
      <c r="C173" s="2" t="s">
        <v>3483</v>
      </c>
      <c r="D173" s="2" t="s">
        <v>3500</v>
      </c>
      <c r="E173" s="54" t="s">
        <v>3362</v>
      </c>
      <c r="F173" s="54">
        <v>1</v>
      </c>
      <c r="G173" s="46">
        <v>4063273</v>
      </c>
      <c r="H173" s="46">
        <f t="shared" si="113"/>
        <v>4270499.9229999995</v>
      </c>
      <c r="I173" s="46">
        <f t="shared" si="101"/>
        <v>4270499.9229999995</v>
      </c>
      <c r="J173" s="2"/>
      <c r="K173" s="2"/>
      <c r="L173" s="2"/>
      <c r="M173" s="18">
        <f t="shared" si="86"/>
        <v>4270499.9229999995</v>
      </c>
      <c r="N173" s="18">
        <v>0</v>
      </c>
      <c r="O173" s="18">
        <v>0</v>
      </c>
      <c r="P173" s="18">
        <v>0</v>
      </c>
      <c r="Q173" s="18">
        <v>0</v>
      </c>
      <c r="R173" s="18">
        <v>0</v>
      </c>
      <c r="S173" s="18">
        <v>0</v>
      </c>
      <c r="T173" s="18">
        <v>0</v>
      </c>
      <c r="U173" s="18">
        <v>0</v>
      </c>
      <c r="V173" s="18">
        <v>0</v>
      </c>
      <c r="W173" s="18">
        <f>I173</f>
        <v>4270499.9229999995</v>
      </c>
      <c r="X173" s="18">
        <v>0</v>
      </c>
      <c r="Y173" s="18">
        <v>0</v>
      </c>
    </row>
    <row r="174" spans="1:25">
      <c r="A174" s="2" t="s">
        <v>3233</v>
      </c>
      <c r="B174" s="2" t="s">
        <v>3407</v>
      </c>
      <c r="C174" s="2" t="s">
        <v>3483</v>
      </c>
      <c r="D174" s="2" t="s">
        <v>3501</v>
      </c>
      <c r="E174" s="54" t="s">
        <v>3502</v>
      </c>
      <c r="F174" s="54">
        <v>24</v>
      </c>
      <c r="G174" s="46">
        <v>353200</v>
      </c>
      <c r="H174" s="46">
        <f t="shared" si="113"/>
        <v>371213.19999999995</v>
      </c>
      <c r="I174" s="46">
        <f>H174*F174</f>
        <v>8909116.7999999989</v>
      </c>
      <c r="J174" s="2"/>
      <c r="K174" s="2"/>
      <c r="L174" s="2"/>
      <c r="M174" s="18">
        <f t="shared" si="86"/>
        <v>8909116.8000000026</v>
      </c>
      <c r="N174" s="18">
        <v>700386.4</v>
      </c>
      <c r="O174" s="18">
        <v>700386.4</v>
      </c>
      <c r="P174" s="18">
        <v>700386.4</v>
      </c>
      <c r="Q174" s="18">
        <v>700386.4</v>
      </c>
      <c r="R174" s="18">
        <v>700386.4</v>
      </c>
      <c r="S174" s="18">
        <v>1204866.3999999999</v>
      </c>
      <c r="T174" s="18">
        <v>700386.4</v>
      </c>
      <c r="U174" s="18">
        <v>700386.4</v>
      </c>
      <c r="V174" s="18">
        <v>700386.4</v>
      </c>
      <c r="W174" s="18">
        <v>700386.4</v>
      </c>
      <c r="X174" s="18">
        <v>700386.4</v>
      </c>
      <c r="Y174" s="18">
        <v>700386.4</v>
      </c>
    </row>
    <row r="175" spans="1:25">
      <c r="A175" s="2" t="s">
        <v>3233</v>
      </c>
      <c r="B175" s="2" t="s">
        <v>3407</v>
      </c>
      <c r="C175" s="2" t="s">
        <v>3483</v>
      </c>
      <c r="D175" s="2" t="s">
        <v>3503</v>
      </c>
      <c r="E175" s="54" t="s">
        <v>3362</v>
      </c>
      <c r="F175" s="54">
        <v>2</v>
      </c>
      <c r="G175" s="46">
        <v>290360</v>
      </c>
      <c r="H175" s="46">
        <f t="shared" si="113"/>
        <v>305168.36</v>
      </c>
      <c r="I175" s="46">
        <f t="shared" si="101"/>
        <v>610336.72</v>
      </c>
      <c r="J175" s="2"/>
      <c r="K175" s="2"/>
      <c r="L175" s="2"/>
      <c r="M175" s="18">
        <f t="shared" si="86"/>
        <v>610336</v>
      </c>
      <c r="N175" s="18">
        <v>0</v>
      </c>
      <c r="O175" s="18">
        <v>0</v>
      </c>
      <c r="P175" s="18">
        <v>0</v>
      </c>
      <c r="Q175" s="18">
        <v>0</v>
      </c>
      <c r="R175" s="18">
        <v>0</v>
      </c>
      <c r="S175" s="18">
        <v>0</v>
      </c>
      <c r="T175" s="18">
        <f>305168*2</f>
        <v>610336</v>
      </c>
      <c r="U175" s="18">
        <v>0</v>
      </c>
      <c r="V175" s="18">
        <v>0</v>
      </c>
      <c r="W175" s="18">
        <v>0</v>
      </c>
      <c r="X175" s="18">
        <v>0</v>
      </c>
      <c r="Y175" s="18">
        <v>0</v>
      </c>
    </row>
    <row r="176" spans="1:25">
      <c r="A176" s="2" t="s">
        <v>3233</v>
      </c>
      <c r="B176" s="2" t="s">
        <v>3407</v>
      </c>
      <c r="C176" s="2" t="s">
        <v>3483</v>
      </c>
      <c r="D176" s="2" t="s">
        <v>3504</v>
      </c>
      <c r="E176" s="54" t="s">
        <v>3502</v>
      </c>
      <c r="F176" s="54">
        <v>8</v>
      </c>
      <c r="G176" s="46">
        <v>346448</v>
      </c>
      <c r="H176" s="46">
        <f t="shared" si="113"/>
        <v>364116.848</v>
      </c>
      <c r="I176" s="46">
        <f t="shared" si="101"/>
        <v>2912934.784</v>
      </c>
      <c r="J176" s="2"/>
      <c r="K176" s="2"/>
      <c r="L176" s="2"/>
      <c r="M176" s="18">
        <f t="shared" si="86"/>
        <v>1456467.392</v>
      </c>
      <c r="N176" s="18">
        <v>0</v>
      </c>
      <c r="O176" s="18">
        <v>0</v>
      </c>
      <c r="P176" s="18">
        <v>364116.848</v>
      </c>
      <c r="Q176" s="18">
        <v>0</v>
      </c>
      <c r="R176" s="18">
        <v>0</v>
      </c>
      <c r="S176" s="18">
        <v>0</v>
      </c>
      <c r="T176" s="18">
        <v>364116.848</v>
      </c>
      <c r="U176" s="18">
        <v>0</v>
      </c>
      <c r="V176" s="18">
        <v>0</v>
      </c>
      <c r="W176" s="18">
        <v>364116.848</v>
      </c>
      <c r="X176" s="18">
        <v>0</v>
      </c>
      <c r="Y176" s="18">
        <v>364116.848</v>
      </c>
    </row>
    <row r="177" spans="1:25">
      <c r="A177" s="47" t="s">
        <v>3233</v>
      </c>
      <c r="B177" s="47" t="s">
        <v>3407</v>
      </c>
      <c r="C177" s="47" t="s">
        <v>3505</v>
      </c>
      <c r="D177" s="2" t="s">
        <v>3506</v>
      </c>
      <c r="E177" s="54"/>
      <c r="F177" s="54"/>
      <c r="G177" s="46">
        <v>0</v>
      </c>
      <c r="H177" s="46">
        <v>0</v>
      </c>
      <c r="I177" s="46">
        <v>0</v>
      </c>
      <c r="J177" s="2"/>
      <c r="K177" s="2"/>
      <c r="L177" s="2"/>
      <c r="M177" s="18">
        <v>0</v>
      </c>
      <c r="N177" s="18">
        <v>0</v>
      </c>
      <c r="O177" s="18">
        <v>0</v>
      </c>
      <c r="P177" s="18">
        <v>0</v>
      </c>
      <c r="Q177" s="18">
        <v>0</v>
      </c>
      <c r="R177" s="18">
        <v>0</v>
      </c>
      <c r="S177" s="18">
        <v>0</v>
      </c>
      <c r="T177" s="18">
        <v>0</v>
      </c>
      <c r="U177" s="18">
        <v>0</v>
      </c>
      <c r="V177" s="18">
        <v>0</v>
      </c>
      <c r="W177" s="18">
        <v>0</v>
      </c>
      <c r="X177" s="18">
        <v>0</v>
      </c>
      <c r="Y177" s="18">
        <v>0</v>
      </c>
    </row>
    <row r="178" spans="1:25">
      <c r="A178" s="2" t="s">
        <v>3233</v>
      </c>
      <c r="B178" s="2" t="s">
        <v>3407</v>
      </c>
      <c r="C178" s="2" t="s">
        <v>3505</v>
      </c>
      <c r="D178" s="2" t="s">
        <v>3507</v>
      </c>
      <c r="E178" s="54"/>
      <c r="F178" s="54"/>
      <c r="G178" s="3">
        <v>0</v>
      </c>
      <c r="H178" s="3">
        <v>0</v>
      </c>
      <c r="I178" s="3">
        <v>0</v>
      </c>
      <c r="J178" s="2"/>
      <c r="K178" s="2"/>
      <c r="L178" s="2"/>
      <c r="M178" s="18">
        <v>0</v>
      </c>
      <c r="N178" s="18">
        <v>0</v>
      </c>
      <c r="O178" s="18">
        <v>0</v>
      </c>
      <c r="P178" s="18">
        <v>0</v>
      </c>
      <c r="Q178" s="18">
        <v>0</v>
      </c>
      <c r="R178" s="18">
        <v>0</v>
      </c>
      <c r="S178" s="18">
        <v>0</v>
      </c>
      <c r="T178" s="18">
        <v>0</v>
      </c>
      <c r="U178" s="18">
        <v>0</v>
      </c>
      <c r="V178" s="18">
        <v>0</v>
      </c>
      <c r="W178" s="18">
        <v>0</v>
      </c>
      <c r="X178" s="18">
        <v>0</v>
      </c>
      <c r="Y178" s="18">
        <v>0</v>
      </c>
    </row>
    <row r="179" spans="1:25">
      <c r="A179" s="2" t="s">
        <v>3233</v>
      </c>
      <c r="B179" s="2" t="s">
        <v>3407</v>
      </c>
      <c r="C179" s="2" t="s">
        <v>3505</v>
      </c>
      <c r="D179" s="2" t="s">
        <v>3508</v>
      </c>
      <c r="E179" s="54" t="s">
        <v>3362</v>
      </c>
      <c r="F179" s="54">
        <v>2</v>
      </c>
      <c r="G179" s="46">
        <v>1615800</v>
      </c>
      <c r="H179" s="46">
        <f t="shared" ref="H179" si="115">G179*(1+C$3)</f>
        <v>1698205.7999999998</v>
      </c>
      <c r="I179" s="46">
        <f t="shared" ref="I179" si="116">H179*F179</f>
        <v>3396411.5999999996</v>
      </c>
      <c r="J179" s="59"/>
      <c r="K179" s="59"/>
      <c r="L179" s="59"/>
      <c r="M179" s="59">
        <f t="shared" ref="M179" si="117">SUM(N179:Y179)</f>
        <v>3396411.5999999996</v>
      </c>
      <c r="N179" s="18">
        <v>0</v>
      </c>
      <c r="O179" s="18">
        <v>0</v>
      </c>
      <c r="P179" s="18">
        <v>0</v>
      </c>
      <c r="Q179" s="18">
        <v>0</v>
      </c>
      <c r="R179" s="18">
        <v>0</v>
      </c>
      <c r="S179" s="18">
        <v>0</v>
      </c>
      <c r="T179" s="18">
        <f>H179</f>
        <v>1698205.7999999998</v>
      </c>
      <c r="U179" s="18">
        <v>0</v>
      </c>
      <c r="V179" s="18">
        <v>0</v>
      </c>
      <c r="W179" s="18">
        <f>H179</f>
        <v>1698205.7999999998</v>
      </c>
      <c r="X179" s="18">
        <v>0</v>
      </c>
      <c r="Y179" s="18">
        <v>0</v>
      </c>
    </row>
    <row r="180" spans="1:25">
      <c r="A180" s="2" t="s">
        <v>3233</v>
      </c>
      <c r="B180" s="2" t="s">
        <v>3407</v>
      </c>
      <c r="C180" s="2" t="s">
        <v>3505</v>
      </c>
      <c r="D180" s="2" t="s">
        <v>3509</v>
      </c>
      <c r="E180" s="54" t="s">
        <v>3362</v>
      </c>
      <c r="F180" s="54">
        <v>2</v>
      </c>
      <c r="G180" s="46">
        <v>477341</v>
      </c>
      <c r="H180" s="46">
        <f t="shared" ref="H180:H207" si="118">G180*(1+C$3)</f>
        <v>501685.39099999995</v>
      </c>
      <c r="I180" s="46">
        <f t="shared" ref="I180:I207" si="119">H180*F180</f>
        <v>1003370.7819999999</v>
      </c>
      <c r="J180" s="59"/>
      <c r="K180" s="59"/>
      <c r="L180" s="59"/>
      <c r="M180" s="59">
        <f t="shared" ref="M180:M201" si="120">SUM(N180:Y180)</f>
        <v>1003370.7819999999</v>
      </c>
      <c r="N180" s="18">
        <v>0</v>
      </c>
      <c r="O180" s="18">
        <v>0</v>
      </c>
      <c r="P180" s="18">
        <v>0</v>
      </c>
      <c r="Q180" s="18">
        <f>H180</f>
        <v>501685.39099999995</v>
      </c>
      <c r="R180" s="18">
        <v>0</v>
      </c>
      <c r="S180" s="18">
        <v>0</v>
      </c>
      <c r="T180" s="18">
        <f>Q180</f>
        <v>501685.39099999995</v>
      </c>
      <c r="U180" s="18">
        <v>0</v>
      </c>
      <c r="V180" s="18">
        <v>0</v>
      </c>
      <c r="W180" s="18">
        <v>0</v>
      </c>
      <c r="X180" s="18">
        <v>0</v>
      </c>
      <c r="Y180" s="18">
        <v>0</v>
      </c>
    </row>
    <row r="181" spans="1:25">
      <c r="A181" s="2" t="s">
        <v>3233</v>
      </c>
      <c r="B181" s="2" t="s">
        <v>3407</v>
      </c>
      <c r="C181" s="2" t="s">
        <v>3505</v>
      </c>
      <c r="D181" s="2" t="s">
        <v>3510</v>
      </c>
      <c r="E181" s="54" t="s">
        <v>3362</v>
      </c>
      <c r="F181" s="54">
        <v>2</v>
      </c>
      <c r="G181" s="46">
        <v>493849.5</v>
      </c>
      <c r="H181" s="46">
        <f t="shared" si="118"/>
        <v>519035.82449999999</v>
      </c>
      <c r="I181" s="46">
        <f t="shared" si="119"/>
        <v>1038071.649</v>
      </c>
      <c r="J181" s="59"/>
      <c r="K181" s="59"/>
      <c r="L181" s="59"/>
      <c r="M181" s="59">
        <f t="shared" si="120"/>
        <v>1038072</v>
      </c>
      <c r="N181" s="18">
        <v>0</v>
      </c>
      <c r="O181" s="18">
        <v>0</v>
      </c>
      <c r="P181" s="18">
        <v>0</v>
      </c>
      <c r="Q181" s="18">
        <v>0</v>
      </c>
      <c r="R181" s="18">
        <v>0</v>
      </c>
      <c r="S181" s="18">
        <v>0</v>
      </c>
      <c r="T181" s="18">
        <f>519036*2</f>
        <v>1038072</v>
      </c>
      <c r="U181" s="18">
        <v>0</v>
      </c>
      <c r="V181" s="18">
        <v>0</v>
      </c>
      <c r="W181" s="18">
        <v>0</v>
      </c>
      <c r="X181" s="18">
        <v>0</v>
      </c>
      <c r="Y181" s="18">
        <v>0</v>
      </c>
    </row>
    <row r="182" spans="1:25">
      <c r="A182" s="2" t="s">
        <v>3233</v>
      </c>
      <c r="B182" s="2" t="s">
        <v>3407</v>
      </c>
      <c r="C182" s="2" t="s">
        <v>3505</v>
      </c>
      <c r="D182" s="2" t="s">
        <v>3417</v>
      </c>
      <c r="E182" s="54" t="s">
        <v>3362</v>
      </c>
      <c r="F182" s="54">
        <v>2</v>
      </c>
      <c r="G182" s="46">
        <f>43779*12</f>
        <v>525348</v>
      </c>
      <c r="H182" s="46">
        <f>G182*(1+C$3)</f>
        <v>552140.74800000002</v>
      </c>
      <c r="I182" s="46">
        <f>+H182*F182</f>
        <v>1104281.496</v>
      </c>
      <c r="J182" s="2"/>
      <c r="K182" s="2"/>
      <c r="L182" s="2"/>
      <c r="M182" s="18">
        <f>SUM(N182:Y182)</f>
        <v>13251377.951999998</v>
      </c>
      <c r="N182" s="18">
        <f>H182*F182</f>
        <v>1104281.496</v>
      </c>
      <c r="O182" s="18">
        <f>N182</f>
        <v>1104281.496</v>
      </c>
      <c r="P182" s="18">
        <f t="shared" ref="P182" si="121">O182</f>
        <v>1104281.496</v>
      </c>
      <c r="Q182" s="18">
        <f t="shared" ref="Q182" si="122">P182</f>
        <v>1104281.496</v>
      </c>
      <c r="R182" s="18">
        <f t="shared" ref="R182" si="123">Q182</f>
        <v>1104281.496</v>
      </c>
      <c r="S182" s="18">
        <f t="shared" ref="S182" si="124">R182</f>
        <v>1104281.496</v>
      </c>
      <c r="T182" s="18">
        <f t="shared" ref="T182" si="125">S182</f>
        <v>1104281.496</v>
      </c>
      <c r="U182" s="18">
        <f t="shared" ref="U182" si="126">T182</f>
        <v>1104281.496</v>
      </c>
      <c r="V182" s="18">
        <f t="shared" ref="V182" si="127">U182</f>
        <v>1104281.496</v>
      </c>
      <c r="W182" s="18">
        <f t="shared" ref="W182" si="128">V182</f>
        <v>1104281.496</v>
      </c>
      <c r="X182" s="18">
        <f t="shared" ref="X182" si="129">W182</f>
        <v>1104281.496</v>
      </c>
      <c r="Y182" s="18">
        <f t="shared" ref="Y182" si="130">X182</f>
        <v>1104281.496</v>
      </c>
    </row>
    <row r="183" spans="1:25">
      <c r="A183" s="2" t="s">
        <v>3233</v>
      </c>
      <c r="B183" s="2" t="s">
        <v>3407</v>
      </c>
      <c r="C183" s="2" t="s">
        <v>3505</v>
      </c>
      <c r="D183" s="2" t="s">
        <v>3418</v>
      </c>
      <c r="E183" s="54" t="s">
        <v>3419</v>
      </c>
      <c r="F183" s="57">
        <f>M183/H183</f>
        <v>3660.3695567360242</v>
      </c>
      <c r="G183" s="46">
        <v>12689</v>
      </c>
      <c r="H183" s="46">
        <f>G183*(1+C$3)</f>
        <v>13336.138999999999</v>
      </c>
      <c r="I183" s="46">
        <f>+H183*F183</f>
        <v>48815197.200000003</v>
      </c>
      <c r="J183" s="2"/>
      <c r="K183" s="2"/>
      <c r="L183" s="2"/>
      <c r="M183" s="18">
        <f t="shared" ref="M183" si="131">SUM(N183:Y183)</f>
        <v>48815197.200000003</v>
      </c>
      <c r="N183" s="18">
        <v>4151677.1999999997</v>
      </c>
      <c r="O183" s="18">
        <v>4060320</v>
      </c>
      <c r="P183" s="18">
        <v>4060320</v>
      </c>
      <c r="Q183" s="18">
        <v>4060320</v>
      </c>
      <c r="R183" s="18">
        <v>4060320</v>
      </c>
      <c r="S183" s="18">
        <v>4060320</v>
      </c>
      <c r="T183" s="18">
        <v>4060320</v>
      </c>
      <c r="U183" s="18">
        <v>4060320</v>
      </c>
      <c r="V183" s="18">
        <v>4060320</v>
      </c>
      <c r="W183" s="18">
        <v>4060320</v>
      </c>
      <c r="X183" s="18">
        <v>4060320</v>
      </c>
      <c r="Y183" s="18">
        <v>4060320</v>
      </c>
    </row>
    <row r="184" spans="1:25">
      <c r="A184" s="2" t="s">
        <v>3233</v>
      </c>
      <c r="B184" s="2" t="s">
        <v>3407</v>
      </c>
      <c r="C184" s="2" t="s">
        <v>3505</v>
      </c>
      <c r="D184" s="2" t="s">
        <v>3511</v>
      </c>
      <c r="E184" s="54" t="s">
        <v>3362</v>
      </c>
      <c r="F184" s="54">
        <v>16</v>
      </c>
      <c r="G184" s="46">
        <v>160000</v>
      </c>
      <c r="H184" s="46">
        <f t="shared" si="118"/>
        <v>168160</v>
      </c>
      <c r="I184" s="46">
        <f t="shared" si="119"/>
        <v>2690560</v>
      </c>
      <c r="J184" s="59"/>
      <c r="K184" s="59"/>
      <c r="L184" s="59"/>
      <c r="M184" s="59">
        <f t="shared" si="120"/>
        <v>2690560</v>
      </c>
      <c r="N184" s="18">
        <f>168160*2</f>
        <v>336320</v>
      </c>
      <c r="O184" s="18">
        <v>0</v>
      </c>
      <c r="P184" s="18">
        <f>N184</f>
        <v>336320</v>
      </c>
      <c r="Q184" s="18">
        <f>P184</f>
        <v>336320</v>
      </c>
      <c r="R184" s="18">
        <v>0</v>
      </c>
      <c r="S184" s="18">
        <f>Q184</f>
        <v>336320</v>
      </c>
      <c r="T184" s="18">
        <f>S184</f>
        <v>336320</v>
      </c>
      <c r="U184" s="18">
        <v>0</v>
      </c>
      <c r="V184" s="18">
        <f>T184</f>
        <v>336320</v>
      </c>
      <c r="W184" s="18">
        <f>V184</f>
        <v>336320</v>
      </c>
      <c r="X184" s="18">
        <v>0</v>
      </c>
      <c r="Y184" s="18">
        <f>W184</f>
        <v>336320</v>
      </c>
    </row>
    <row r="185" spans="1:25">
      <c r="A185" s="2" t="s">
        <v>3233</v>
      </c>
      <c r="B185" s="2" t="s">
        <v>3407</v>
      </c>
      <c r="C185" s="2" t="s">
        <v>3505</v>
      </c>
      <c r="D185" s="2" t="s">
        <v>3512</v>
      </c>
      <c r="E185" s="54" t="s">
        <v>3362</v>
      </c>
      <c r="F185" s="54">
        <v>16</v>
      </c>
      <c r="G185" s="46">
        <v>85000</v>
      </c>
      <c r="H185" s="46">
        <f t="shared" si="118"/>
        <v>89335</v>
      </c>
      <c r="I185" s="46">
        <f t="shared" si="119"/>
        <v>1429360</v>
      </c>
      <c r="J185" s="59"/>
      <c r="K185" s="59"/>
      <c r="L185" s="59"/>
      <c r="M185" s="59">
        <f t="shared" si="120"/>
        <v>1429360</v>
      </c>
      <c r="N185" s="18">
        <f>H185*2</f>
        <v>178670</v>
      </c>
      <c r="O185" s="18">
        <v>0</v>
      </c>
      <c r="P185" s="18">
        <f>N185</f>
        <v>178670</v>
      </c>
      <c r="Q185" s="18">
        <f>P185</f>
        <v>178670</v>
      </c>
      <c r="R185" s="18">
        <v>0</v>
      </c>
      <c r="S185" s="18">
        <f>Q185</f>
        <v>178670</v>
      </c>
      <c r="T185" s="18">
        <f>S185</f>
        <v>178670</v>
      </c>
      <c r="U185" s="18">
        <v>0</v>
      </c>
      <c r="V185" s="18">
        <f>T185</f>
        <v>178670</v>
      </c>
      <c r="W185" s="18">
        <f>V185</f>
        <v>178670</v>
      </c>
      <c r="X185" s="18">
        <v>0</v>
      </c>
      <c r="Y185" s="18">
        <f>W185</f>
        <v>178670</v>
      </c>
    </row>
    <row r="186" spans="1:25">
      <c r="A186" s="2" t="s">
        <v>3233</v>
      </c>
      <c r="B186" s="2" t="s">
        <v>3407</v>
      </c>
      <c r="C186" s="2" t="s">
        <v>3505</v>
      </c>
      <c r="D186" s="2" t="s">
        <v>3513</v>
      </c>
      <c r="E186" s="54" t="s">
        <v>3362</v>
      </c>
      <c r="F186" s="54">
        <v>16</v>
      </c>
      <c r="G186" s="46">
        <v>60000</v>
      </c>
      <c r="H186" s="46">
        <f t="shared" si="118"/>
        <v>63059.999999999993</v>
      </c>
      <c r="I186" s="46">
        <f>H186*F186</f>
        <v>1008959.9999999999</v>
      </c>
      <c r="J186" s="59"/>
      <c r="K186" s="59"/>
      <c r="L186" s="59"/>
      <c r="M186" s="59">
        <f t="shared" si="120"/>
        <v>1008959.9999999999</v>
      </c>
      <c r="N186" s="18">
        <f>H186*2</f>
        <v>126119.99999999999</v>
      </c>
      <c r="O186" s="18">
        <v>0</v>
      </c>
      <c r="P186" s="18">
        <f>N186</f>
        <v>126119.99999999999</v>
      </c>
      <c r="Q186" s="18">
        <f>P186</f>
        <v>126119.99999999999</v>
      </c>
      <c r="R186" s="18">
        <v>0</v>
      </c>
      <c r="S186" s="18">
        <f>Q186</f>
        <v>126119.99999999999</v>
      </c>
      <c r="T186" s="18">
        <f>S186</f>
        <v>126119.99999999999</v>
      </c>
      <c r="U186" s="18">
        <v>0</v>
      </c>
      <c r="V186" s="18">
        <f>T186</f>
        <v>126119.99999999999</v>
      </c>
      <c r="W186" s="18">
        <f>V186</f>
        <v>126119.99999999999</v>
      </c>
      <c r="X186" s="18">
        <v>0</v>
      </c>
      <c r="Y186" s="18">
        <f>W186</f>
        <v>126119.99999999999</v>
      </c>
    </row>
    <row r="187" spans="1:25">
      <c r="A187" s="2" t="s">
        <v>3233</v>
      </c>
      <c r="B187" s="2" t="s">
        <v>3407</v>
      </c>
      <c r="C187" s="2" t="s">
        <v>3505</v>
      </c>
      <c r="D187" s="2" t="s">
        <v>3514</v>
      </c>
      <c r="E187" s="54" t="s">
        <v>3362</v>
      </c>
      <c r="F187" s="54">
        <v>16</v>
      </c>
      <c r="G187" s="46">
        <v>175000</v>
      </c>
      <c r="H187" s="46">
        <f t="shared" si="118"/>
        <v>183925</v>
      </c>
      <c r="I187" s="46">
        <f t="shared" si="119"/>
        <v>2942800</v>
      </c>
      <c r="J187" s="59"/>
      <c r="K187" s="59"/>
      <c r="L187" s="59"/>
      <c r="M187" s="59">
        <f t="shared" si="120"/>
        <v>2942800</v>
      </c>
      <c r="N187" s="18">
        <f>H187*2</f>
        <v>367850</v>
      </c>
      <c r="O187" s="18">
        <v>0</v>
      </c>
      <c r="P187" s="18">
        <f>N187</f>
        <v>367850</v>
      </c>
      <c r="Q187" s="18">
        <f>P187</f>
        <v>367850</v>
      </c>
      <c r="R187" s="18">
        <v>0</v>
      </c>
      <c r="S187" s="18">
        <f>Q187</f>
        <v>367850</v>
      </c>
      <c r="T187" s="18">
        <f>S187</f>
        <v>367850</v>
      </c>
      <c r="U187" s="18">
        <v>0</v>
      </c>
      <c r="V187" s="18">
        <f>T187</f>
        <v>367850</v>
      </c>
      <c r="W187" s="18">
        <f>V187</f>
        <v>367850</v>
      </c>
      <c r="X187" s="18">
        <v>0</v>
      </c>
      <c r="Y187" s="18">
        <f>W187</f>
        <v>367850</v>
      </c>
    </row>
    <row r="188" spans="1:25">
      <c r="A188" s="2" t="s">
        <v>3233</v>
      </c>
      <c r="B188" s="2" t="s">
        <v>3407</v>
      </c>
      <c r="C188" s="2" t="s">
        <v>3505</v>
      </c>
      <c r="D188" s="2" t="s">
        <v>3515</v>
      </c>
      <c r="E188" s="54" t="s">
        <v>3362</v>
      </c>
      <c r="F188" s="54">
        <v>16</v>
      </c>
      <c r="G188" s="46">
        <v>230000</v>
      </c>
      <c r="H188" s="46">
        <f t="shared" si="118"/>
        <v>241729.99999999997</v>
      </c>
      <c r="I188" s="46">
        <f t="shared" si="119"/>
        <v>3867679.9999999995</v>
      </c>
      <c r="J188" s="59"/>
      <c r="K188" s="59"/>
      <c r="L188" s="59"/>
      <c r="M188" s="59">
        <f t="shared" si="120"/>
        <v>3867679.9999999995</v>
      </c>
      <c r="N188" s="18">
        <f>H188*2</f>
        <v>483459.99999999994</v>
      </c>
      <c r="O188" s="18">
        <v>0</v>
      </c>
      <c r="P188" s="18">
        <f>N188</f>
        <v>483459.99999999994</v>
      </c>
      <c r="Q188" s="18">
        <f>P188</f>
        <v>483459.99999999994</v>
      </c>
      <c r="R188" s="18">
        <v>0</v>
      </c>
      <c r="S188" s="18">
        <f>Q188</f>
        <v>483459.99999999994</v>
      </c>
      <c r="T188" s="18">
        <f>S188</f>
        <v>483459.99999999994</v>
      </c>
      <c r="U188" s="18">
        <v>0</v>
      </c>
      <c r="V188" s="18">
        <f>T188</f>
        <v>483459.99999999994</v>
      </c>
      <c r="W188" s="18">
        <f>V188</f>
        <v>483459.99999999994</v>
      </c>
      <c r="X188" s="18">
        <v>0</v>
      </c>
      <c r="Y188" s="18">
        <f>W188</f>
        <v>483459.99999999994</v>
      </c>
    </row>
    <row r="189" spans="1:25">
      <c r="A189" s="2" t="s">
        <v>3233</v>
      </c>
      <c r="B189" s="2" t="s">
        <v>3407</v>
      </c>
      <c r="C189" s="2" t="s">
        <v>3505</v>
      </c>
      <c r="D189" s="2" t="s">
        <v>3516</v>
      </c>
      <c r="E189" s="54" t="s">
        <v>3362</v>
      </c>
      <c r="F189" s="54">
        <v>16</v>
      </c>
      <c r="G189" s="46">
        <v>180000</v>
      </c>
      <c r="H189" s="46">
        <f t="shared" si="118"/>
        <v>189180</v>
      </c>
      <c r="I189" s="46">
        <f t="shared" si="119"/>
        <v>3026880</v>
      </c>
      <c r="J189" s="59"/>
      <c r="K189" s="59"/>
      <c r="L189" s="59"/>
      <c r="M189" s="59">
        <f t="shared" si="120"/>
        <v>3026880</v>
      </c>
      <c r="N189" s="18">
        <f>H189*2</f>
        <v>378360</v>
      </c>
      <c r="O189" s="18">
        <v>0</v>
      </c>
      <c r="P189" s="18">
        <f>N189</f>
        <v>378360</v>
      </c>
      <c r="Q189" s="18">
        <f>P189</f>
        <v>378360</v>
      </c>
      <c r="R189" s="18">
        <v>0</v>
      </c>
      <c r="S189" s="18">
        <f>Q189</f>
        <v>378360</v>
      </c>
      <c r="T189" s="18">
        <f>S189</f>
        <v>378360</v>
      </c>
      <c r="U189" s="18">
        <v>0</v>
      </c>
      <c r="V189" s="18">
        <f>T189</f>
        <v>378360</v>
      </c>
      <c r="W189" s="18">
        <f>V189</f>
        <v>378360</v>
      </c>
      <c r="X189" s="18">
        <v>0</v>
      </c>
      <c r="Y189" s="18">
        <f>W189</f>
        <v>378360</v>
      </c>
    </row>
    <row r="190" spans="1:25">
      <c r="A190" s="2" t="s">
        <v>3233</v>
      </c>
      <c r="B190" s="2" t="s">
        <v>3407</v>
      </c>
      <c r="C190" s="2" t="s">
        <v>3505</v>
      </c>
      <c r="D190" s="2" t="s">
        <v>3517</v>
      </c>
      <c r="E190" s="54" t="s">
        <v>3419</v>
      </c>
      <c r="F190" s="54">
        <v>96</v>
      </c>
      <c r="G190" s="46">
        <v>72364</v>
      </c>
      <c r="H190" s="46">
        <f t="shared" si="118"/>
        <v>76054.563999999998</v>
      </c>
      <c r="I190" s="46">
        <f t="shared" si="119"/>
        <v>7301238.1439999994</v>
      </c>
      <c r="J190" s="59"/>
      <c r="K190" s="59"/>
      <c r="L190" s="59"/>
      <c r="M190" s="59">
        <f t="shared" si="120"/>
        <v>7301238.1440000003</v>
      </c>
      <c r="N190" s="18">
        <f>H190*2*6</f>
        <v>912654.76799999992</v>
      </c>
      <c r="O190" s="18">
        <v>0</v>
      </c>
      <c r="P190" s="18">
        <f>N190</f>
        <v>912654.76799999992</v>
      </c>
      <c r="Q190" s="18">
        <f>P190</f>
        <v>912654.76799999992</v>
      </c>
      <c r="R190" s="18">
        <v>0</v>
      </c>
      <c r="S190" s="18">
        <f>Q190</f>
        <v>912654.76799999992</v>
      </c>
      <c r="T190" s="18">
        <f>S190</f>
        <v>912654.76799999992</v>
      </c>
      <c r="U190" s="18"/>
      <c r="V190" s="18">
        <f>T190</f>
        <v>912654.76799999992</v>
      </c>
      <c r="W190" s="18">
        <f>V190</f>
        <v>912654.76799999992</v>
      </c>
      <c r="X190" s="18"/>
      <c r="Y190" s="18">
        <f>W190</f>
        <v>912654.76799999992</v>
      </c>
    </row>
    <row r="191" spans="1:25">
      <c r="A191" s="2" t="s">
        <v>3233</v>
      </c>
      <c r="B191" s="2" t="s">
        <v>3407</v>
      </c>
      <c r="C191" s="2" t="s">
        <v>3505</v>
      </c>
      <c r="D191" s="2" t="s">
        <v>3518</v>
      </c>
      <c r="E191" s="54"/>
      <c r="F191" s="54">
        <v>0</v>
      </c>
      <c r="G191" s="46">
        <v>0</v>
      </c>
      <c r="H191" s="46">
        <f t="shared" si="118"/>
        <v>0</v>
      </c>
      <c r="I191" s="46">
        <f t="shared" si="119"/>
        <v>0</v>
      </c>
      <c r="J191" s="59"/>
      <c r="K191" s="59"/>
      <c r="L191" s="59"/>
      <c r="M191" s="59">
        <f t="shared" si="120"/>
        <v>0</v>
      </c>
      <c r="N191" s="18">
        <v>0</v>
      </c>
      <c r="O191" s="18">
        <v>0</v>
      </c>
      <c r="P191" s="18">
        <v>0</v>
      </c>
      <c r="Q191" s="18">
        <v>0</v>
      </c>
      <c r="R191" s="18">
        <v>0</v>
      </c>
      <c r="S191" s="18">
        <v>0</v>
      </c>
      <c r="T191" s="18">
        <v>0</v>
      </c>
      <c r="U191" s="18">
        <v>0</v>
      </c>
      <c r="V191" s="18">
        <v>0</v>
      </c>
      <c r="W191" s="18">
        <v>0</v>
      </c>
      <c r="X191" s="18">
        <v>0</v>
      </c>
      <c r="Y191" s="18">
        <v>0</v>
      </c>
    </row>
    <row r="192" spans="1:25">
      <c r="A192" s="2" t="s">
        <v>3233</v>
      </c>
      <c r="B192" s="2" t="s">
        <v>3407</v>
      </c>
      <c r="C192" s="2" t="s">
        <v>3505</v>
      </c>
      <c r="D192" s="2" t="s">
        <v>3519</v>
      </c>
      <c r="E192" s="54" t="s">
        <v>3362</v>
      </c>
      <c r="F192" s="54">
        <v>8</v>
      </c>
      <c r="G192" s="46">
        <v>1793113.65</v>
      </c>
      <c r="H192" s="46">
        <f t="shared" si="118"/>
        <v>1884562.4461499997</v>
      </c>
      <c r="I192" s="46">
        <f t="shared" si="119"/>
        <v>15076499.569199998</v>
      </c>
      <c r="J192" s="59"/>
      <c r="K192" s="59"/>
      <c r="L192" s="59"/>
      <c r="M192" s="59">
        <f t="shared" si="120"/>
        <v>15076500</v>
      </c>
      <c r="N192" s="18">
        <v>5025500</v>
      </c>
      <c r="O192" s="18">
        <v>0</v>
      </c>
      <c r="P192" s="18">
        <v>5025500</v>
      </c>
      <c r="Q192" s="18">
        <v>0</v>
      </c>
      <c r="R192" s="18">
        <v>0</v>
      </c>
      <c r="S192" s="18">
        <v>5025500</v>
      </c>
      <c r="T192" s="18">
        <v>0</v>
      </c>
      <c r="U192" s="18">
        <v>0</v>
      </c>
      <c r="V192" s="18">
        <v>0</v>
      </c>
      <c r="W192" s="18">
        <v>0</v>
      </c>
      <c r="X192" s="18">
        <v>0</v>
      </c>
      <c r="Y192" s="18">
        <v>0</v>
      </c>
    </row>
    <row r="193" spans="1:25">
      <c r="A193" s="2" t="s">
        <v>3233</v>
      </c>
      <c r="B193" s="2" t="s">
        <v>3407</v>
      </c>
      <c r="C193" s="2" t="s">
        <v>3505</v>
      </c>
      <c r="D193" s="2" t="s">
        <v>3520</v>
      </c>
      <c r="E193" s="54" t="s">
        <v>3362</v>
      </c>
      <c r="F193" s="54">
        <v>2</v>
      </c>
      <c r="G193" s="46">
        <v>4417360</v>
      </c>
      <c r="H193" s="46">
        <f t="shared" si="118"/>
        <v>4642645.3599999994</v>
      </c>
      <c r="I193" s="46">
        <f t="shared" si="119"/>
        <v>9285290.7199999988</v>
      </c>
      <c r="J193" s="59"/>
      <c r="K193" s="59"/>
      <c r="L193" s="59"/>
      <c r="M193" s="59">
        <f t="shared" si="120"/>
        <v>9285290.7200000007</v>
      </c>
      <c r="N193" s="18">
        <v>0</v>
      </c>
      <c r="O193" s="18">
        <v>0</v>
      </c>
      <c r="P193" s="18">
        <v>0</v>
      </c>
      <c r="Q193" s="18">
        <v>9285290.7200000007</v>
      </c>
      <c r="R193" s="18">
        <v>0</v>
      </c>
      <c r="S193" s="18">
        <v>0</v>
      </c>
      <c r="T193" s="18">
        <v>0</v>
      </c>
      <c r="U193" s="18">
        <v>0</v>
      </c>
      <c r="V193" s="18">
        <v>0</v>
      </c>
      <c r="W193" s="18">
        <v>0</v>
      </c>
      <c r="X193" s="18">
        <v>0</v>
      </c>
      <c r="Y193" s="18">
        <v>0</v>
      </c>
    </row>
    <row r="194" spans="1:25">
      <c r="A194" s="2" t="s">
        <v>3233</v>
      </c>
      <c r="B194" s="2" t="s">
        <v>3407</v>
      </c>
      <c r="C194" s="2" t="s">
        <v>3505</v>
      </c>
      <c r="D194" s="2" t="s">
        <v>3521</v>
      </c>
      <c r="E194" s="54" t="s">
        <v>3362</v>
      </c>
      <c r="F194" s="54">
        <v>20</v>
      </c>
      <c r="G194" s="46">
        <v>1962383</v>
      </c>
      <c r="H194" s="46">
        <f t="shared" si="118"/>
        <v>2062464.5329999998</v>
      </c>
      <c r="I194" s="46">
        <f t="shared" si="119"/>
        <v>41249290.659999996</v>
      </c>
      <c r="J194" s="59"/>
      <c r="K194" s="59"/>
      <c r="L194" s="59"/>
      <c r="M194" s="59">
        <f t="shared" si="120"/>
        <v>41249290.659999996</v>
      </c>
      <c r="N194" s="18">
        <v>0</v>
      </c>
      <c r="O194" s="18">
        <v>0</v>
      </c>
      <c r="P194" s="18">
        <v>0</v>
      </c>
      <c r="Q194" s="18">
        <v>0</v>
      </c>
      <c r="R194" s="18">
        <v>0</v>
      </c>
      <c r="S194" s="18">
        <v>0</v>
      </c>
      <c r="T194" s="18">
        <v>0</v>
      </c>
      <c r="U194" s="18">
        <v>0</v>
      </c>
      <c r="V194" s="18">
        <v>0</v>
      </c>
      <c r="W194" s="18">
        <v>0</v>
      </c>
      <c r="X194" s="18">
        <f>H194*20</f>
        <v>41249290.659999996</v>
      </c>
      <c r="Y194" s="18">
        <v>0</v>
      </c>
    </row>
    <row r="195" spans="1:25">
      <c r="A195" s="2" t="s">
        <v>3233</v>
      </c>
      <c r="B195" s="2" t="s">
        <v>3407</v>
      </c>
      <c r="C195" s="2" t="s">
        <v>3505</v>
      </c>
      <c r="D195" s="2" t="s">
        <v>3522</v>
      </c>
      <c r="E195" s="54" t="s">
        <v>3362</v>
      </c>
      <c r="F195" s="54">
        <v>20</v>
      </c>
      <c r="G195" s="46">
        <v>17850</v>
      </c>
      <c r="H195" s="46">
        <f t="shared" si="118"/>
        <v>18760.349999999999</v>
      </c>
      <c r="I195" s="46">
        <f t="shared" si="119"/>
        <v>375207</v>
      </c>
      <c r="J195" s="59"/>
      <c r="K195" s="59"/>
      <c r="L195" s="59"/>
      <c r="M195" s="59">
        <f t="shared" si="120"/>
        <v>375207</v>
      </c>
      <c r="N195" s="18">
        <v>0</v>
      </c>
      <c r="O195" s="18">
        <v>0</v>
      </c>
      <c r="P195" s="18">
        <v>0</v>
      </c>
      <c r="Q195" s="18">
        <v>0</v>
      </c>
      <c r="R195" s="18">
        <v>0</v>
      </c>
      <c r="S195" s="18">
        <v>0</v>
      </c>
      <c r="T195" s="18">
        <v>0</v>
      </c>
      <c r="U195" s="18">
        <v>0</v>
      </c>
      <c r="V195" s="18">
        <v>0</v>
      </c>
      <c r="W195" s="18">
        <v>0</v>
      </c>
      <c r="X195" s="18">
        <f>I195</f>
        <v>375207</v>
      </c>
      <c r="Y195" s="18">
        <v>0</v>
      </c>
    </row>
    <row r="196" spans="1:25">
      <c r="A196" s="2" t="s">
        <v>3233</v>
      </c>
      <c r="B196" s="2" t="s">
        <v>3407</v>
      </c>
      <c r="C196" s="2" t="s">
        <v>3505</v>
      </c>
      <c r="D196" s="2" t="s">
        <v>3523</v>
      </c>
      <c r="E196" s="54" t="s">
        <v>3362</v>
      </c>
      <c r="F196" s="54">
        <v>2</v>
      </c>
      <c r="G196" s="46">
        <v>546384</v>
      </c>
      <c r="H196" s="46">
        <f t="shared" si="118"/>
        <v>574249.58399999992</v>
      </c>
      <c r="I196" s="46">
        <f t="shared" si="119"/>
        <v>1148499.1679999998</v>
      </c>
      <c r="J196" s="59"/>
      <c r="K196" s="59"/>
      <c r="L196" s="59"/>
      <c r="M196" s="59">
        <f t="shared" si="120"/>
        <v>1148499.1679999998</v>
      </c>
      <c r="N196" s="18">
        <v>0</v>
      </c>
      <c r="O196" s="18">
        <v>0</v>
      </c>
      <c r="P196" s="18">
        <v>0</v>
      </c>
      <c r="Q196" s="18">
        <v>0</v>
      </c>
      <c r="R196" s="18">
        <v>0</v>
      </c>
      <c r="S196" s="18">
        <v>0</v>
      </c>
      <c r="T196" s="18">
        <v>0</v>
      </c>
      <c r="U196" s="18">
        <v>0</v>
      </c>
      <c r="V196" s="18">
        <v>0</v>
      </c>
      <c r="W196" s="18">
        <v>0</v>
      </c>
      <c r="X196" s="18">
        <f>I196</f>
        <v>1148499.1679999998</v>
      </c>
      <c r="Y196" s="18">
        <v>0</v>
      </c>
    </row>
    <row r="197" spans="1:25">
      <c r="A197" s="2" t="s">
        <v>3233</v>
      </c>
      <c r="B197" s="2" t="s">
        <v>3407</v>
      </c>
      <c r="C197" s="2" t="s">
        <v>3505</v>
      </c>
      <c r="D197" s="2" t="s">
        <v>3524</v>
      </c>
      <c r="E197" s="54"/>
      <c r="F197" s="54"/>
      <c r="G197" s="46">
        <v>0</v>
      </c>
      <c r="H197" s="46">
        <f t="shared" ref="H197" si="132">G197*(1+C$3)</f>
        <v>0</v>
      </c>
      <c r="I197" s="46">
        <f t="shared" ref="I197" si="133">H197*F197</f>
        <v>0</v>
      </c>
      <c r="J197" s="59"/>
      <c r="K197" s="59"/>
      <c r="L197" s="59"/>
      <c r="M197" s="59">
        <f t="shared" si="120"/>
        <v>0</v>
      </c>
      <c r="N197" s="18">
        <v>0</v>
      </c>
      <c r="O197" s="18">
        <v>0</v>
      </c>
      <c r="P197" s="18">
        <v>0</v>
      </c>
      <c r="Q197" s="18">
        <v>0</v>
      </c>
      <c r="R197" s="18">
        <v>0</v>
      </c>
      <c r="S197" s="18">
        <v>0</v>
      </c>
      <c r="T197" s="18">
        <v>0</v>
      </c>
      <c r="U197" s="18">
        <v>0</v>
      </c>
      <c r="V197" s="18">
        <v>0</v>
      </c>
      <c r="W197" s="18">
        <v>0</v>
      </c>
      <c r="X197" s="18">
        <v>0</v>
      </c>
      <c r="Y197" s="18">
        <v>0</v>
      </c>
    </row>
    <row r="198" spans="1:25">
      <c r="A198" s="2" t="s">
        <v>3233</v>
      </c>
      <c r="B198" s="2" t="s">
        <v>3407</v>
      </c>
      <c r="C198" s="2" t="s">
        <v>3505</v>
      </c>
      <c r="D198" s="2" t="s">
        <v>3525</v>
      </c>
      <c r="E198" s="54"/>
      <c r="F198" s="54"/>
      <c r="G198" s="46">
        <v>0</v>
      </c>
      <c r="H198" s="46">
        <f t="shared" si="118"/>
        <v>0</v>
      </c>
      <c r="I198" s="46">
        <f t="shared" si="119"/>
        <v>0</v>
      </c>
      <c r="J198" s="59"/>
      <c r="K198" s="59"/>
      <c r="L198" s="59"/>
      <c r="M198" s="59">
        <f t="shared" si="120"/>
        <v>0</v>
      </c>
      <c r="N198" s="18">
        <v>0</v>
      </c>
      <c r="O198" s="18">
        <v>0</v>
      </c>
      <c r="P198" s="18">
        <v>0</v>
      </c>
      <c r="Q198" s="18">
        <v>0</v>
      </c>
      <c r="R198" s="18">
        <v>0</v>
      </c>
      <c r="S198" s="18">
        <v>0</v>
      </c>
      <c r="T198" s="18">
        <v>0</v>
      </c>
      <c r="U198" s="18">
        <v>0</v>
      </c>
      <c r="V198" s="18">
        <v>0</v>
      </c>
      <c r="W198" s="18">
        <v>0</v>
      </c>
      <c r="X198" s="18">
        <v>0</v>
      </c>
      <c r="Y198" s="18">
        <v>0</v>
      </c>
    </row>
    <row r="199" spans="1:25">
      <c r="A199" s="2" t="s">
        <v>3233</v>
      </c>
      <c r="B199" s="2" t="s">
        <v>3407</v>
      </c>
      <c r="C199" s="2" t="s">
        <v>3505</v>
      </c>
      <c r="D199" s="2" t="s">
        <v>3526</v>
      </c>
      <c r="E199" s="54" t="s">
        <v>3362</v>
      </c>
      <c r="F199" s="54">
        <v>24</v>
      </c>
      <c r="G199" s="46">
        <v>261250</v>
      </c>
      <c r="H199" s="46">
        <f t="shared" si="118"/>
        <v>274573.75</v>
      </c>
      <c r="I199" s="46">
        <f t="shared" si="119"/>
        <v>6589770</v>
      </c>
      <c r="J199" s="59"/>
      <c r="K199" s="59"/>
      <c r="L199" s="59"/>
      <c r="M199" s="59">
        <f t="shared" si="120"/>
        <v>6589770</v>
      </c>
      <c r="N199" s="18">
        <v>693660</v>
      </c>
      <c r="O199" s="18">
        <v>693660</v>
      </c>
      <c r="P199" s="18">
        <v>346830</v>
      </c>
      <c r="Q199" s="18">
        <v>693660</v>
      </c>
      <c r="R199" s="18">
        <v>346830</v>
      </c>
      <c r="S199" s="18">
        <v>693660</v>
      </c>
      <c r="T199" s="18">
        <v>346830</v>
      </c>
      <c r="U199" s="18">
        <v>693660</v>
      </c>
      <c r="V199" s="18">
        <v>346830</v>
      </c>
      <c r="W199" s="18">
        <v>693660</v>
      </c>
      <c r="X199" s="18">
        <v>346830</v>
      </c>
      <c r="Y199" s="18">
        <v>693660</v>
      </c>
    </row>
    <row r="200" spans="1:25">
      <c r="A200" s="2" t="s">
        <v>3233</v>
      </c>
      <c r="B200" s="2" t="s">
        <v>3407</v>
      </c>
      <c r="C200" s="2" t="s">
        <v>3505</v>
      </c>
      <c r="D200" s="2" t="s">
        <v>3527</v>
      </c>
      <c r="E200" s="54" t="s">
        <v>3362</v>
      </c>
      <c r="F200" s="54">
        <v>12</v>
      </c>
      <c r="G200" s="46">
        <v>551820</v>
      </c>
      <c r="H200" s="46">
        <f t="shared" si="118"/>
        <v>579962.81999999995</v>
      </c>
      <c r="I200" s="46">
        <f t="shared" si="119"/>
        <v>6959553.8399999999</v>
      </c>
      <c r="J200" s="59"/>
      <c r="K200" s="59"/>
      <c r="L200" s="59"/>
      <c r="M200" s="59">
        <f t="shared" si="120"/>
        <v>6959553.8399999989</v>
      </c>
      <c r="N200" s="18">
        <v>1159925.6399999999</v>
      </c>
      <c r="O200" s="18">
        <v>0</v>
      </c>
      <c r="P200" s="18">
        <v>1159925.6399999999</v>
      </c>
      <c r="Q200" s="18">
        <v>0</v>
      </c>
      <c r="R200" s="18">
        <v>1159925.6399999999</v>
      </c>
      <c r="S200" s="18">
        <v>0</v>
      </c>
      <c r="T200" s="18">
        <v>1159925.6399999999</v>
      </c>
      <c r="U200" s="18">
        <v>0</v>
      </c>
      <c r="V200" s="18">
        <v>1159925.6399999999</v>
      </c>
      <c r="W200" s="18">
        <v>0</v>
      </c>
      <c r="X200" s="18">
        <v>1159925.6399999999</v>
      </c>
      <c r="Y200" s="18">
        <v>0</v>
      </c>
    </row>
    <row r="201" spans="1:25">
      <c r="A201" s="2" t="s">
        <v>3233</v>
      </c>
      <c r="B201" s="2" t="s">
        <v>3407</v>
      </c>
      <c r="C201" s="2" t="s">
        <v>3505</v>
      </c>
      <c r="D201" s="2" t="s">
        <v>3528</v>
      </c>
      <c r="E201" s="54" t="s">
        <v>3362</v>
      </c>
      <c r="F201" s="54">
        <v>2</v>
      </c>
      <c r="G201" s="46">
        <v>416500</v>
      </c>
      <c r="H201" s="46">
        <f>G201*(1+C$3)</f>
        <v>437741.5</v>
      </c>
      <c r="I201" s="46">
        <f t="shared" si="119"/>
        <v>875483</v>
      </c>
      <c r="J201" s="59"/>
      <c r="K201" s="59"/>
      <c r="L201" s="59"/>
      <c r="M201" s="59">
        <f t="shared" si="120"/>
        <v>875484</v>
      </c>
      <c r="N201" s="18">
        <v>0</v>
      </c>
      <c r="O201" s="18">
        <v>0</v>
      </c>
      <c r="P201" s="18">
        <v>0</v>
      </c>
      <c r="Q201" s="18">
        <f>437742*2</f>
        <v>875484</v>
      </c>
      <c r="R201" s="18">
        <v>0</v>
      </c>
      <c r="S201" s="18">
        <v>0</v>
      </c>
      <c r="T201" s="18">
        <v>0</v>
      </c>
      <c r="U201" s="18">
        <v>0</v>
      </c>
      <c r="V201" s="18">
        <v>0</v>
      </c>
      <c r="W201" s="18">
        <v>0</v>
      </c>
      <c r="X201" s="18">
        <v>0</v>
      </c>
      <c r="Y201" s="18">
        <v>0</v>
      </c>
    </row>
    <row r="202" spans="1:25">
      <c r="A202" s="47" t="s">
        <v>3233</v>
      </c>
      <c r="B202" s="47" t="s">
        <v>3407</v>
      </c>
      <c r="C202" s="47" t="s">
        <v>3529</v>
      </c>
      <c r="D202" s="47" t="s">
        <v>3530</v>
      </c>
      <c r="E202" s="54"/>
      <c r="F202" s="54"/>
      <c r="G202" s="3">
        <v>0</v>
      </c>
      <c r="H202" s="3">
        <v>0</v>
      </c>
      <c r="I202" s="3">
        <f t="shared" si="119"/>
        <v>0</v>
      </c>
      <c r="J202" s="2"/>
      <c r="K202" s="2"/>
      <c r="L202" s="2"/>
      <c r="M202" s="18">
        <f t="shared" si="39"/>
        <v>0</v>
      </c>
      <c r="N202" s="18">
        <v>0</v>
      </c>
      <c r="O202" s="18">
        <v>0</v>
      </c>
      <c r="P202" s="18">
        <v>0</v>
      </c>
      <c r="Q202" s="18">
        <v>0</v>
      </c>
      <c r="R202" s="18">
        <v>0</v>
      </c>
      <c r="S202" s="18">
        <v>0</v>
      </c>
      <c r="T202" s="18">
        <v>0</v>
      </c>
      <c r="U202" s="18">
        <v>0</v>
      </c>
      <c r="V202" s="18">
        <v>0</v>
      </c>
      <c r="W202" s="18">
        <v>0</v>
      </c>
      <c r="X202" s="18">
        <v>0</v>
      </c>
      <c r="Y202" s="18">
        <v>0</v>
      </c>
    </row>
    <row r="203" spans="1:25">
      <c r="A203" s="2" t="s">
        <v>3233</v>
      </c>
      <c r="B203" s="2" t="s">
        <v>3407</v>
      </c>
      <c r="C203" s="2" t="s">
        <v>3529</v>
      </c>
      <c r="D203" s="2" t="s">
        <v>3531</v>
      </c>
      <c r="E203" s="54" t="s">
        <v>3362</v>
      </c>
      <c r="F203" s="54">
        <v>28</v>
      </c>
      <c r="G203" s="46">
        <v>71162</v>
      </c>
      <c r="H203" s="46">
        <f t="shared" si="118"/>
        <v>74791.262000000002</v>
      </c>
      <c r="I203" s="46">
        <f t="shared" si="119"/>
        <v>2094155.3360000001</v>
      </c>
      <c r="J203" s="59"/>
      <c r="K203" s="59"/>
      <c r="L203" s="59"/>
      <c r="M203" s="59">
        <f>SUM(N203:Y203)</f>
        <v>2094155.3360000001</v>
      </c>
      <c r="N203" s="18">
        <v>0</v>
      </c>
      <c r="O203" s="18">
        <v>0</v>
      </c>
      <c r="P203" s="18">
        <f>H203*7</f>
        <v>523538.83400000003</v>
      </c>
      <c r="Q203" s="18">
        <f>P203</f>
        <v>523538.83400000003</v>
      </c>
      <c r="R203" s="18">
        <v>0</v>
      </c>
      <c r="S203" s="18">
        <v>0</v>
      </c>
      <c r="T203" s="18">
        <v>0</v>
      </c>
      <c r="U203" s="18">
        <v>0</v>
      </c>
      <c r="V203" s="18">
        <f>Q203</f>
        <v>523538.83400000003</v>
      </c>
      <c r="W203" s="18">
        <f>V203</f>
        <v>523538.83400000003</v>
      </c>
      <c r="X203" s="18">
        <v>0</v>
      </c>
      <c r="Y203" s="18">
        <v>0</v>
      </c>
    </row>
    <row r="204" spans="1:25">
      <c r="A204" s="2" t="s">
        <v>3233</v>
      </c>
      <c r="B204" s="2" t="s">
        <v>3407</v>
      </c>
      <c r="C204" s="2" t="s">
        <v>3529</v>
      </c>
      <c r="D204" s="2" t="s">
        <v>3532</v>
      </c>
      <c r="E204" s="54" t="s">
        <v>3362</v>
      </c>
      <c r="F204" s="54">
        <v>28</v>
      </c>
      <c r="G204" s="46">
        <v>40460</v>
      </c>
      <c r="H204" s="46">
        <f t="shared" si="118"/>
        <v>42523.46</v>
      </c>
      <c r="I204" s="46">
        <f t="shared" si="119"/>
        <v>1190656.8799999999</v>
      </c>
      <c r="J204" s="59"/>
      <c r="K204" s="59"/>
      <c r="L204" s="59"/>
      <c r="M204" s="59">
        <f t="shared" ref="M204:M210" si="134">SUM(N204:Y204)</f>
        <v>1190656.8799999999</v>
      </c>
      <c r="N204" s="18">
        <v>0</v>
      </c>
      <c r="O204" s="18">
        <v>0</v>
      </c>
      <c r="P204" s="18">
        <f t="shared" ref="P204:P206" si="135">H204*7</f>
        <v>297664.21999999997</v>
      </c>
      <c r="Q204" s="18">
        <f t="shared" ref="Q204:Q207" si="136">P204</f>
        <v>297664.21999999997</v>
      </c>
      <c r="R204" s="18">
        <v>0</v>
      </c>
      <c r="S204" s="18">
        <v>0</v>
      </c>
      <c r="T204" s="18">
        <v>0</v>
      </c>
      <c r="U204" s="18">
        <v>0</v>
      </c>
      <c r="V204" s="18">
        <f t="shared" ref="V204:V207" si="137">Q204</f>
        <v>297664.21999999997</v>
      </c>
      <c r="W204" s="18">
        <f t="shared" ref="W204:W207" si="138">V204</f>
        <v>297664.21999999997</v>
      </c>
      <c r="X204" s="18">
        <v>0</v>
      </c>
      <c r="Y204" s="18">
        <v>0</v>
      </c>
    </row>
    <row r="205" spans="1:25">
      <c r="A205" s="2" t="s">
        <v>3233</v>
      </c>
      <c r="B205" s="2" t="s">
        <v>3407</v>
      </c>
      <c r="C205" s="2" t="s">
        <v>3529</v>
      </c>
      <c r="D205" s="2" t="s">
        <v>3533</v>
      </c>
      <c r="E205" s="54" t="s">
        <v>3362</v>
      </c>
      <c r="F205" s="54">
        <v>28</v>
      </c>
      <c r="G205" s="46">
        <v>46410</v>
      </c>
      <c r="H205" s="46">
        <f t="shared" si="118"/>
        <v>48776.909999999996</v>
      </c>
      <c r="I205" s="46">
        <f t="shared" si="119"/>
        <v>1365753.48</v>
      </c>
      <c r="J205" s="59"/>
      <c r="K205" s="59"/>
      <c r="L205" s="59"/>
      <c r="M205" s="59">
        <f t="shared" si="134"/>
        <v>1365753.48</v>
      </c>
      <c r="N205" s="18">
        <v>0</v>
      </c>
      <c r="O205" s="18">
        <v>0</v>
      </c>
      <c r="P205" s="18">
        <f t="shared" si="135"/>
        <v>341438.37</v>
      </c>
      <c r="Q205" s="18">
        <f t="shared" si="136"/>
        <v>341438.37</v>
      </c>
      <c r="R205" s="18">
        <v>0</v>
      </c>
      <c r="S205" s="18">
        <v>0</v>
      </c>
      <c r="T205" s="18">
        <v>0</v>
      </c>
      <c r="U205" s="18">
        <v>0</v>
      </c>
      <c r="V205" s="18">
        <f t="shared" si="137"/>
        <v>341438.37</v>
      </c>
      <c r="W205" s="18">
        <f t="shared" si="138"/>
        <v>341438.37</v>
      </c>
      <c r="X205" s="18">
        <v>0</v>
      </c>
      <c r="Y205" s="18">
        <v>0</v>
      </c>
    </row>
    <row r="206" spans="1:25">
      <c r="A206" s="2" t="s">
        <v>3233</v>
      </c>
      <c r="B206" s="2" t="s">
        <v>3407</v>
      </c>
      <c r="C206" s="2" t="s">
        <v>3529</v>
      </c>
      <c r="D206" s="2" t="s">
        <v>3534</v>
      </c>
      <c r="E206" s="54" t="s">
        <v>3362</v>
      </c>
      <c r="F206" s="54">
        <v>28</v>
      </c>
      <c r="G206" s="46">
        <v>40460</v>
      </c>
      <c r="H206" s="46">
        <f t="shared" si="118"/>
        <v>42523.46</v>
      </c>
      <c r="I206" s="46">
        <f t="shared" si="119"/>
        <v>1190656.8799999999</v>
      </c>
      <c r="J206" s="59"/>
      <c r="K206" s="59"/>
      <c r="L206" s="59"/>
      <c r="M206" s="59">
        <f t="shared" si="134"/>
        <v>1190656.8799999999</v>
      </c>
      <c r="N206" s="18">
        <v>0</v>
      </c>
      <c r="O206" s="18">
        <v>0</v>
      </c>
      <c r="P206" s="18">
        <f t="shared" si="135"/>
        <v>297664.21999999997</v>
      </c>
      <c r="Q206" s="18">
        <f t="shared" si="136"/>
        <v>297664.21999999997</v>
      </c>
      <c r="R206" s="18">
        <v>0</v>
      </c>
      <c r="S206" s="18">
        <v>0</v>
      </c>
      <c r="T206" s="18">
        <v>0</v>
      </c>
      <c r="U206" s="18">
        <v>0</v>
      </c>
      <c r="V206" s="18">
        <f t="shared" si="137"/>
        <v>297664.21999999997</v>
      </c>
      <c r="W206" s="18">
        <f t="shared" si="138"/>
        <v>297664.21999999997</v>
      </c>
      <c r="X206" s="18">
        <v>0</v>
      </c>
      <c r="Y206" s="18">
        <v>0</v>
      </c>
    </row>
    <row r="207" spans="1:25">
      <c r="A207" s="2" t="s">
        <v>3233</v>
      </c>
      <c r="B207" s="2" t="s">
        <v>3407</v>
      </c>
      <c r="C207" s="2" t="s">
        <v>3529</v>
      </c>
      <c r="D207" s="2" t="s">
        <v>3535</v>
      </c>
      <c r="E207" s="54" t="s">
        <v>3419</v>
      </c>
      <c r="F207" s="54">
        <v>84</v>
      </c>
      <c r="G207" s="46">
        <v>80444</v>
      </c>
      <c r="H207" s="46">
        <f t="shared" si="118"/>
        <v>84546.644</v>
      </c>
      <c r="I207" s="46">
        <f t="shared" si="119"/>
        <v>7101918.0959999999</v>
      </c>
      <c r="J207" s="59"/>
      <c r="K207" s="59"/>
      <c r="L207" s="59"/>
      <c r="M207" s="59">
        <f t="shared" si="134"/>
        <v>7101918.0959999999</v>
      </c>
      <c r="N207" s="18">
        <v>0</v>
      </c>
      <c r="O207" s="18">
        <v>0</v>
      </c>
      <c r="P207" s="18">
        <f>H207*3*7</f>
        <v>1775479.524</v>
      </c>
      <c r="Q207" s="18">
        <f t="shared" si="136"/>
        <v>1775479.524</v>
      </c>
      <c r="R207" s="18">
        <v>0</v>
      </c>
      <c r="S207" s="18">
        <v>0</v>
      </c>
      <c r="T207" s="18">
        <v>0</v>
      </c>
      <c r="U207" s="18">
        <v>0</v>
      </c>
      <c r="V207" s="18">
        <f t="shared" si="137"/>
        <v>1775479.524</v>
      </c>
      <c r="W207" s="18">
        <f t="shared" si="138"/>
        <v>1775479.524</v>
      </c>
      <c r="X207" s="18">
        <v>0</v>
      </c>
      <c r="Y207" s="18">
        <v>0</v>
      </c>
    </row>
    <row r="208" spans="1:25">
      <c r="A208" s="2" t="s">
        <v>3233</v>
      </c>
      <c r="B208" s="2" t="s">
        <v>3407</v>
      </c>
      <c r="C208" s="2" t="s">
        <v>3529</v>
      </c>
      <c r="D208" s="2" t="s">
        <v>3536</v>
      </c>
      <c r="E208" s="54" t="s">
        <v>3419</v>
      </c>
      <c r="F208" s="57">
        <f>M208/H208</f>
        <v>2296.7696272511857</v>
      </c>
      <c r="G208" s="46">
        <v>12689</v>
      </c>
      <c r="H208" s="46">
        <f>G208*(1+C$3)</f>
        <v>13336.138999999999</v>
      </c>
      <c r="I208" s="46">
        <f>+H208*F208</f>
        <v>30630039</v>
      </c>
      <c r="J208" s="2"/>
      <c r="K208" s="2"/>
      <c r="L208" s="2"/>
      <c r="M208" s="18">
        <f t="shared" ref="M208" si="139">SUM(N208:Y208)</f>
        <v>30630039</v>
      </c>
      <c r="N208" s="18">
        <v>2615945.75</v>
      </c>
      <c r="O208" s="18">
        <v>2615945.75</v>
      </c>
      <c r="P208" s="18">
        <v>2615945.75</v>
      </c>
      <c r="Q208" s="18">
        <v>2362175.75</v>
      </c>
      <c r="R208" s="18">
        <v>2615945.75</v>
      </c>
      <c r="S208" s="18">
        <v>2615945.75</v>
      </c>
      <c r="T208" s="18">
        <v>2362175.75</v>
      </c>
      <c r="U208" s="18">
        <v>2615945.75</v>
      </c>
      <c r="V208" s="18">
        <v>2362175.75</v>
      </c>
      <c r="W208" s="18">
        <v>2615945.75</v>
      </c>
      <c r="X208" s="18">
        <v>2615945.75</v>
      </c>
      <c r="Y208" s="18">
        <v>2615945.75</v>
      </c>
    </row>
    <row r="209" spans="1:25">
      <c r="A209" s="2" t="s">
        <v>3233</v>
      </c>
      <c r="B209" s="2" t="s">
        <v>3407</v>
      </c>
      <c r="C209" s="2" t="s">
        <v>3529</v>
      </c>
      <c r="D209" s="2" t="s">
        <v>3537</v>
      </c>
      <c r="E209" s="54" t="s">
        <v>3362</v>
      </c>
      <c r="F209" s="54">
        <v>12</v>
      </c>
      <c r="G209" s="46">
        <v>1994698.75</v>
      </c>
      <c r="H209" s="46">
        <f>G209*(1+C$3)</f>
        <v>2096428.38625</v>
      </c>
      <c r="I209" s="46">
        <f>+H209*F209</f>
        <v>25157140.634999998</v>
      </c>
      <c r="J209" s="59"/>
      <c r="K209" s="59"/>
      <c r="L209" s="59"/>
      <c r="M209" s="59">
        <f t="shared" si="134"/>
        <v>25157140.674000002</v>
      </c>
      <c r="N209" s="18">
        <v>8158243.5260000005</v>
      </c>
      <c r="O209" s="18">
        <v>0</v>
      </c>
      <c r="P209" s="18">
        <v>0</v>
      </c>
      <c r="Q209" s="18">
        <v>5172889.574</v>
      </c>
      <c r="R209" s="18">
        <v>0</v>
      </c>
      <c r="S209" s="18">
        <v>466644</v>
      </c>
      <c r="T209" s="18">
        <v>3443220</v>
      </c>
      <c r="U209" s="18">
        <v>0</v>
      </c>
      <c r="V209" s="18">
        <v>0</v>
      </c>
      <c r="W209" s="18">
        <v>924510.04799999995</v>
      </c>
      <c r="X209" s="18">
        <v>0</v>
      </c>
      <c r="Y209" s="18">
        <v>6991633.5260000005</v>
      </c>
    </row>
    <row r="210" spans="1:25">
      <c r="A210" s="2" t="s">
        <v>3233</v>
      </c>
      <c r="B210" s="2" t="s">
        <v>3407</v>
      </c>
      <c r="C210" s="2" t="s">
        <v>3529</v>
      </c>
      <c r="D210" s="2" t="s">
        <v>3538</v>
      </c>
      <c r="E210" s="54" t="s">
        <v>3362</v>
      </c>
      <c r="F210" s="54">
        <v>1</v>
      </c>
      <c r="G210" s="46">
        <v>16000000</v>
      </c>
      <c r="H210" s="46">
        <f>G210*(1+C$3)</f>
        <v>16816000</v>
      </c>
      <c r="I210" s="46">
        <f>H210*F210</f>
        <v>16816000</v>
      </c>
      <c r="J210" s="59"/>
      <c r="K210" s="59"/>
      <c r="L210" s="59"/>
      <c r="M210" s="59">
        <f t="shared" si="134"/>
        <v>16816000</v>
      </c>
      <c r="N210" s="18">
        <v>0</v>
      </c>
      <c r="O210" s="18">
        <v>0</v>
      </c>
      <c r="P210" s="18">
        <v>0</v>
      </c>
      <c r="Q210" s="18">
        <v>16816000</v>
      </c>
      <c r="R210" s="18">
        <v>0</v>
      </c>
      <c r="S210" s="18">
        <v>0</v>
      </c>
      <c r="T210" s="18">
        <v>0</v>
      </c>
      <c r="U210" s="18">
        <v>0</v>
      </c>
      <c r="V210" s="18">
        <v>0</v>
      </c>
      <c r="W210" s="18">
        <v>0</v>
      </c>
      <c r="X210" s="18">
        <v>0</v>
      </c>
      <c r="Y210" s="18">
        <v>0</v>
      </c>
    </row>
    <row r="211" spans="1:25">
      <c r="A211" s="2" t="s">
        <v>3233</v>
      </c>
      <c r="B211" s="2" t="s">
        <v>3407</v>
      </c>
      <c r="C211" s="2" t="s">
        <v>3529</v>
      </c>
      <c r="D211" s="2" t="s">
        <v>3539</v>
      </c>
      <c r="E211" s="54" t="s">
        <v>3362</v>
      </c>
      <c r="F211" s="54">
        <v>14</v>
      </c>
      <c r="G211" s="46">
        <v>600000</v>
      </c>
      <c r="H211" s="46">
        <f>G211*(1+C$3)</f>
        <v>630600</v>
      </c>
      <c r="I211" s="46">
        <f>H211*F211</f>
        <v>8828400</v>
      </c>
      <c r="J211" s="59"/>
      <c r="K211" s="59"/>
      <c r="L211" s="59"/>
      <c r="M211" s="59">
        <f>SUM(N211:Y211)</f>
        <v>8828400</v>
      </c>
      <c r="N211" s="18">
        <v>0</v>
      </c>
      <c r="O211" s="18">
        <v>0</v>
      </c>
      <c r="P211" s="18">
        <v>0</v>
      </c>
      <c r="Q211" s="18">
        <v>0</v>
      </c>
      <c r="R211" s="18">
        <v>0</v>
      </c>
      <c r="S211" s="18">
        <v>0</v>
      </c>
      <c r="T211" s="18">
        <v>0</v>
      </c>
      <c r="U211" s="18">
        <v>0</v>
      </c>
      <c r="V211" s="18">
        <v>8828400</v>
      </c>
      <c r="W211" s="18">
        <v>0</v>
      </c>
      <c r="X211" s="18">
        <v>0</v>
      </c>
      <c r="Y211" s="18">
        <v>0</v>
      </c>
    </row>
    <row r="212" spans="1:25">
      <c r="A212" s="47" t="s">
        <v>3233</v>
      </c>
      <c r="B212" s="47" t="s">
        <v>3407</v>
      </c>
      <c r="C212" s="47" t="s">
        <v>3529</v>
      </c>
      <c r="D212" s="47" t="s">
        <v>3540</v>
      </c>
      <c r="E212" s="54"/>
      <c r="F212" s="54"/>
      <c r="G212" s="3">
        <v>0</v>
      </c>
      <c r="H212" s="3">
        <v>0</v>
      </c>
      <c r="I212" s="3">
        <f t="shared" ref="I212:I217" si="140">H212*F212</f>
        <v>0</v>
      </c>
      <c r="J212" s="2"/>
      <c r="K212" s="2"/>
      <c r="L212" s="2"/>
      <c r="M212" s="59">
        <f t="shared" ref="M212:M221" si="141">SUM(N212:Y212)</f>
        <v>0</v>
      </c>
      <c r="N212" s="18">
        <v>0</v>
      </c>
      <c r="O212" s="18">
        <v>0</v>
      </c>
      <c r="P212" s="18">
        <v>0</v>
      </c>
      <c r="Q212" s="18">
        <v>0</v>
      </c>
      <c r="R212" s="18">
        <v>0</v>
      </c>
      <c r="S212" s="18">
        <v>0</v>
      </c>
      <c r="T212" s="18">
        <v>0</v>
      </c>
      <c r="U212" s="18">
        <v>0</v>
      </c>
      <c r="V212" s="18">
        <v>0</v>
      </c>
      <c r="W212" s="18">
        <v>0</v>
      </c>
      <c r="X212" s="18">
        <v>0</v>
      </c>
      <c r="Y212" s="18">
        <v>0</v>
      </c>
    </row>
    <row r="213" spans="1:25">
      <c r="A213" s="2" t="s">
        <v>3233</v>
      </c>
      <c r="B213" s="2" t="s">
        <v>3407</v>
      </c>
      <c r="C213" s="2" t="s">
        <v>3529</v>
      </c>
      <c r="D213" s="2" t="s">
        <v>3541</v>
      </c>
      <c r="E213" s="54" t="s">
        <v>3362</v>
      </c>
      <c r="F213" s="54">
        <v>2</v>
      </c>
      <c r="G213" s="46">
        <v>53550</v>
      </c>
      <c r="H213" s="46">
        <f t="shared" ref="H213:H217" si="142">G213*(1+C$3)</f>
        <v>56281.049999999996</v>
      </c>
      <c r="I213" s="46">
        <f t="shared" si="140"/>
        <v>112562.09999999999</v>
      </c>
      <c r="J213" s="59"/>
      <c r="K213" s="59"/>
      <c r="L213" s="59"/>
      <c r="M213" s="59">
        <f t="shared" si="141"/>
        <v>112562.09999999999</v>
      </c>
      <c r="N213" s="18">
        <v>0</v>
      </c>
      <c r="O213" s="18">
        <v>0</v>
      </c>
      <c r="P213" s="18">
        <v>0</v>
      </c>
      <c r="Q213" s="18">
        <f>H213</f>
        <v>56281.049999999996</v>
      </c>
      <c r="R213" s="18">
        <v>0</v>
      </c>
      <c r="S213" s="18">
        <v>0</v>
      </c>
      <c r="T213" s="18">
        <v>0</v>
      </c>
      <c r="U213" s="18">
        <v>0</v>
      </c>
      <c r="V213" s="18">
        <v>0</v>
      </c>
      <c r="W213" s="18">
        <f>Q213</f>
        <v>56281.049999999996</v>
      </c>
      <c r="X213" s="18">
        <v>0</v>
      </c>
      <c r="Y213" s="18">
        <v>0</v>
      </c>
    </row>
    <row r="214" spans="1:25">
      <c r="A214" s="2" t="s">
        <v>3233</v>
      </c>
      <c r="B214" s="2" t="s">
        <v>3407</v>
      </c>
      <c r="C214" s="2" t="s">
        <v>3529</v>
      </c>
      <c r="D214" s="2" t="s">
        <v>3542</v>
      </c>
      <c r="E214" s="54" t="s">
        <v>3362</v>
      </c>
      <c r="F214" s="54">
        <v>2</v>
      </c>
      <c r="G214" s="46">
        <v>59262</v>
      </c>
      <c r="H214" s="46">
        <f t="shared" si="142"/>
        <v>62284.361999999994</v>
      </c>
      <c r="I214" s="46">
        <f t="shared" si="140"/>
        <v>124568.72399999999</v>
      </c>
      <c r="J214" s="59"/>
      <c r="K214" s="59"/>
      <c r="L214" s="59"/>
      <c r="M214" s="59">
        <f t="shared" ref="M214:M217" si="143">SUM(N214:Y214)</f>
        <v>124568.72399999999</v>
      </c>
      <c r="N214" s="18">
        <v>0</v>
      </c>
      <c r="O214" s="18">
        <v>0</v>
      </c>
      <c r="P214" s="18">
        <v>0</v>
      </c>
      <c r="Q214" s="18">
        <f t="shared" ref="Q214:Q217" si="144">H214</f>
        <v>62284.361999999994</v>
      </c>
      <c r="R214" s="18">
        <v>0</v>
      </c>
      <c r="S214" s="18">
        <v>0</v>
      </c>
      <c r="T214" s="18">
        <v>0</v>
      </c>
      <c r="U214" s="18">
        <v>0</v>
      </c>
      <c r="V214" s="18">
        <v>0</v>
      </c>
      <c r="W214" s="18">
        <f t="shared" ref="W214:W217" si="145">Q214</f>
        <v>62284.361999999994</v>
      </c>
      <c r="X214" s="18">
        <v>0</v>
      </c>
      <c r="Y214" s="18">
        <v>0</v>
      </c>
    </row>
    <row r="215" spans="1:25">
      <c r="A215" s="2" t="s">
        <v>3233</v>
      </c>
      <c r="B215" s="2" t="s">
        <v>3407</v>
      </c>
      <c r="C215" s="2" t="s">
        <v>3529</v>
      </c>
      <c r="D215" s="2" t="s">
        <v>3543</v>
      </c>
      <c r="E215" s="54" t="s">
        <v>3362</v>
      </c>
      <c r="F215" s="54">
        <v>2</v>
      </c>
      <c r="G215" s="46">
        <v>59262</v>
      </c>
      <c r="H215" s="46">
        <f t="shared" si="142"/>
        <v>62284.361999999994</v>
      </c>
      <c r="I215" s="46">
        <f t="shared" si="140"/>
        <v>124568.72399999999</v>
      </c>
      <c r="J215" s="59"/>
      <c r="K215" s="59"/>
      <c r="L215" s="59"/>
      <c r="M215" s="59">
        <f t="shared" si="143"/>
        <v>124568.72399999999</v>
      </c>
      <c r="N215" s="18">
        <v>0</v>
      </c>
      <c r="O215" s="18">
        <v>0</v>
      </c>
      <c r="P215" s="18">
        <v>0</v>
      </c>
      <c r="Q215" s="18">
        <f t="shared" si="144"/>
        <v>62284.361999999994</v>
      </c>
      <c r="R215" s="18">
        <v>0</v>
      </c>
      <c r="S215" s="18">
        <v>0</v>
      </c>
      <c r="T215" s="18">
        <v>0</v>
      </c>
      <c r="U215" s="18">
        <v>0</v>
      </c>
      <c r="V215" s="18">
        <v>0</v>
      </c>
      <c r="W215" s="18">
        <f t="shared" si="145"/>
        <v>62284.361999999994</v>
      </c>
      <c r="X215" s="18">
        <v>0</v>
      </c>
      <c r="Y215" s="18">
        <v>0</v>
      </c>
    </row>
    <row r="216" spans="1:25">
      <c r="A216" s="2" t="s">
        <v>3233</v>
      </c>
      <c r="B216" s="2" t="s">
        <v>3407</v>
      </c>
      <c r="C216" s="2" t="s">
        <v>3529</v>
      </c>
      <c r="D216" s="2" t="s">
        <v>3544</v>
      </c>
      <c r="E216" s="54" t="s">
        <v>3362</v>
      </c>
      <c r="F216" s="54">
        <v>2</v>
      </c>
      <c r="G216" s="46">
        <v>59500</v>
      </c>
      <c r="H216" s="46">
        <f t="shared" si="142"/>
        <v>62534.499999999993</v>
      </c>
      <c r="I216" s="46">
        <f t="shared" si="140"/>
        <v>125068.99999999999</v>
      </c>
      <c r="J216" s="59"/>
      <c r="K216" s="59"/>
      <c r="L216" s="59"/>
      <c r="M216" s="59">
        <f t="shared" si="143"/>
        <v>125068.99999999999</v>
      </c>
      <c r="N216" s="18">
        <v>0</v>
      </c>
      <c r="O216" s="18">
        <v>0</v>
      </c>
      <c r="P216" s="18">
        <v>0</v>
      </c>
      <c r="Q216" s="18">
        <f t="shared" si="144"/>
        <v>62534.499999999993</v>
      </c>
      <c r="R216" s="18">
        <v>0</v>
      </c>
      <c r="S216" s="18">
        <v>0</v>
      </c>
      <c r="T216" s="18">
        <v>0</v>
      </c>
      <c r="U216" s="18">
        <v>0</v>
      </c>
      <c r="V216" s="18">
        <v>0</v>
      </c>
      <c r="W216" s="18">
        <f t="shared" si="145"/>
        <v>62534.499999999993</v>
      </c>
      <c r="X216" s="18">
        <v>0</v>
      </c>
      <c r="Y216" s="18">
        <v>0</v>
      </c>
    </row>
    <row r="217" spans="1:25">
      <c r="A217" s="2" t="s">
        <v>3233</v>
      </c>
      <c r="B217" s="2" t="s">
        <v>3407</v>
      </c>
      <c r="C217" s="2" t="s">
        <v>3529</v>
      </c>
      <c r="D217" s="2" t="s">
        <v>3545</v>
      </c>
      <c r="E217" s="54" t="s">
        <v>3362</v>
      </c>
      <c r="F217" s="54">
        <v>2</v>
      </c>
      <c r="G217" s="46">
        <v>59500</v>
      </c>
      <c r="H217" s="46">
        <f t="shared" si="142"/>
        <v>62534.499999999993</v>
      </c>
      <c r="I217" s="46">
        <f t="shared" si="140"/>
        <v>125068.99999999999</v>
      </c>
      <c r="J217" s="59"/>
      <c r="K217" s="59"/>
      <c r="L217" s="59"/>
      <c r="M217" s="59">
        <f t="shared" si="143"/>
        <v>125068.99999999999</v>
      </c>
      <c r="N217" s="18">
        <v>0</v>
      </c>
      <c r="O217" s="18">
        <v>0</v>
      </c>
      <c r="P217" s="18">
        <v>0</v>
      </c>
      <c r="Q217" s="18">
        <f t="shared" si="144"/>
        <v>62534.499999999993</v>
      </c>
      <c r="R217" s="18">
        <v>0</v>
      </c>
      <c r="S217" s="18">
        <v>0</v>
      </c>
      <c r="T217" s="18">
        <v>0</v>
      </c>
      <c r="U217" s="18">
        <v>0</v>
      </c>
      <c r="V217" s="18">
        <v>0</v>
      </c>
      <c r="W217" s="18">
        <f t="shared" si="145"/>
        <v>62534.499999999993</v>
      </c>
      <c r="X217" s="18">
        <v>0</v>
      </c>
      <c r="Y217" s="18">
        <v>0</v>
      </c>
    </row>
    <row r="218" spans="1:25">
      <c r="A218" s="2" t="s">
        <v>3233</v>
      </c>
      <c r="B218" s="2" t="s">
        <v>3407</v>
      </c>
      <c r="C218" s="2" t="s">
        <v>3529</v>
      </c>
      <c r="D218" s="2" t="s">
        <v>3546</v>
      </c>
      <c r="E218" s="54" t="s">
        <v>3419</v>
      </c>
      <c r="F218" s="54">
        <v>8</v>
      </c>
      <c r="G218" s="46">
        <v>80444</v>
      </c>
      <c r="H218" s="46">
        <f t="shared" ref="H218:H220" si="146">G218*(1+C$3)</f>
        <v>84546.644</v>
      </c>
      <c r="I218" s="46">
        <f t="shared" ref="I218:I220" si="147">H218*F218</f>
        <v>676373.152</v>
      </c>
      <c r="J218" s="59"/>
      <c r="K218" s="59"/>
      <c r="L218" s="59"/>
      <c r="M218" s="59">
        <f t="shared" si="141"/>
        <v>676373.152</v>
      </c>
      <c r="N218" s="18">
        <v>0</v>
      </c>
      <c r="O218" s="18">
        <v>0</v>
      </c>
      <c r="P218" s="18">
        <v>0</v>
      </c>
      <c r="Q218" s="18">
        <f>H218*4</f>
        <v>338186.576</v>
      </c>
      <c r="R218" s="18">
        <v>0</v>
      </c>
      <c r="S218" s="18">
        <v>0</v>
      </c>
      <c r="T218" s="18">
        <v>0</v>
      </c>
      <c r="U218" s="18">
        <v>0</v>
      </c>
      <c r="V218" s="18">
        <v>0</v>
      </c>
      <c r="W218" s="18">
        <f>Q218</f>
        <v>338186.576</v>
      </c>
      <c r="X218" s="18">
        <v>0</v>
      </c>
      <c r="Y218" s="18">
        <v>0</v>
      </c>
    </row>
    <row r="219" spans="1:25">
      <c r="A219" s="2" t="s">
        <v>3233</v>
      </c>
      <c r="B219" s="2" t="s">
        <v>3407</v>
      </c>
      <c r="C219" s="2" t="s">
        <v>3529</v>
      </c>
      <c r="D219" s="2" t="s">
        <v>3547</v>
      </c>
      <c r="E219" s="54" t="s">
        <v>3362</v>
      </c>
      <c r="F219" s="54">
        <v>2</v>
      </c>
      <c r="G219" s="46">
        <v>666000</v>
      </c>
      <c r="H219" s="46">
        <f t="shared" si="146"/>
        <v>699966</v>
      </c>
      <c r="I219" s="46">
        <f t="shared" si="147"/>
        <v>1399932</v>
      </c>
      <c r="J219" s="59"/>
      <c r="K219" s="59"/>
      <c r="L219" s="59"/>
      <c r="M219" s="59">
        <f t="shared" si="141"/>
        <v>1399932</v>
      </c>
      <c r="N219" s="18">
        <v>466644</v>
      </c>
      <c r="O219" s="18">
        <v>0</v>
      </c>
      <c r="P219" s="18">
        <v>0</v>
      </c>
      <c r="Q219" s="18">
        <v>466644</v>
      </c>
      <c r="R219" s="18">
        <v>0</v>
      </c>
      <c r="S219" s="18">
        <v>0</v>
      </c>
      <c r="T219" s="18">
        <v>0</v>
      </c>
      <c r="U219" s="18">
        <v>0</v>
      </c>
      <c r="V219" s="18">
        <v>0</v>
      </c>
      <c r="W219" s="18">
        <v>0</v>
      </c>
      <c r="X219" s="18">
        <v>0</v>
      </c>
      <c r="Y219" s="18">
        <v>466644</v>
      </c>
    </row>
    <row r="220" spans="1:25">
      <c r="A220" s="2" t="s">
        <v>3233</v>
      </c>
      <c r="B220" s="2" t="s">
        <v>3407</v>
      </c>
      <c r="C220" s="2" t="s">
        <v>3529</v>
      </c>
      <c r="D220" s="2" t="s">
        <v>3548</v>
      </c>
      <c r="E220" s="54" t="s">
        <v>3362</v>
      </c>
      <c r="F220" s="54">
        <v>2</v>
      </c>
      <c r="G220" s="46">
        <v>600000</v>
      </c>
      <c r="H220" s="46">
        <f t="shared" si="146"/>
        <v>630600</v>
      </c>
      <c r="I220" s="46">
        <f t="shared" si="147"/>
        <v>1261200</v>
      </c>
      <c r="J220" s="59"/>
      <c r="K220" s="59"/>
      <c r="L220" s="59"/>
      <c r="M220" s="59">
        <f t="shared" si="141"/>
        <v>1261200</v>
      </c>
      <c r="N220" s="18">
        <v>0</v>
      </c>
      <c r="O220" s="18">
        <v>0</v>
      </c>
      <c r="P220" s="18">
        <v>0</v>
      </c>
      <c r="Q220" s="18">
        <v>0</v>
      </c>
      <c r="R220" s="18">
        <v>0</v>
      </c>
      <c r="S220" s="18">
        <v>0</v>
      </c>
      <c r="T220" s="18">
        <v>0</v>
      </c>
      <c r="U220" s="18">
        <v>0</v>
      </c>
      <c r="V220" s="18">
        <f>I220</f>
        <v>1261200</v>
      </c>
      <c r="W220" s="18">
        <v>0</v>
      </c>
      <c r="X220" s="18">
        <v>0</v>
      </c>
      <c r="Y220" s="18">
        <v>0</v>
      </c>
    </row>
    <row r="221" spans="1:25">
      <c r="A221" s="2" t="s">
        <v>3233</v>
      </c>
      <c r="B221" s="2" t="s">
        <v>3407</v>
      </c>
      <c r="C221" s="2" t="s">
        <v>3529</v>
      </c>
      <c r="D221" s="2" t="s">
        <v>3549</v>
      </c>
      <c r="E221" s="54" t="s">
        <v>3419</v>
      </c>
      <c r="F221" s="60">
        <f>M221/H221</f>
        <v>114.17247525689407</v>
      </c>
      <c r="G221" s="46">
        <v>12689</v>
      </c>
      <c r="H221" s="46">
        <f>G221*(1+C$3)</f>
        <v>13336.138999999999</v>
      </c>
      <c r="I221" s="46">
        <f>+H221*F221</f>
        <v>1522620</v>
      </c>
      <c r="J221" s="2"/>
      <c r="K221" s="2"/>
      <c r="L221" s="2"/>
      <c r="M221" s="59">
        <f t="shared" si="141"/>
        <v>1522620</v>
      </c>
      <c r="N221" s="18">
        <v>126885</v>
      </c>
      <c r="O221" s="18">
        <v>126885</v>
      </c>
      <c r="P221" s="18">
        <v>126885</v>
      </c>
      <c r="Q221" s="18">
        <v>126885</v>
      </c>
      <c r="R221" s="18">
        <v>126885</v>
      </c>
      <c r="S221" s="18">
        <v>126885</v>
      </c>
      <c r="T221" s="18">
        <v>126885</v>
      </c>
      <c r="U221" s="18">
        <v>126885</v>
      </c>
      <c r="V221" s="18">
        <v>126885</v>
      </c>
      <c r="W221" s="18">
        <v>126885</v>
      </c>
      <c r="X221" s="18">
        <v>126885</v>
      </c>
      <c r="Y221" s="18">
        <v>126885</v>
      </c>
    </row>
    <row r="222" spans="1:25">
      <c r="A222" s="47" t="s">
        <v>3233</v>
      </c>
      <c r="B222" s="47" t="s">
        <v>3407</v>
      </c>
      <c r="C222" s="47" t="s">
        <v>3529</v>
      </c>
      <c r="D222" s="47" t="s">
        <v>3550</v>
      </c>
      <c r="E222" s="54"/>
      <c r="F222" s="54"/>
      <c r="G222" s="3">
        <v>0</v>
      </c>
      <c r="H222" s="3">
        <v>0</v>
      </c>
      <c r="I222" s="3">
        <f t="shared" ref="I222:I229" si="148">H222*F222</f>
        <v>0</v>
      </c>
      <c r="J222" s="2"/>
      <c r="K222" s="2"/>
      <c r="L222" s="2"/>
      <c r="M222" s="59">
        <f t="shared" ref="M222:M231" si="149">SUM(N222:Y222)</f>
        <v>0</v>
      </c>
      <c r="N222" s="18">
        <v>0</v>
      </c>
      <c r="O222" s="18">
        <v>0</v>
      </c>
      <c r="P222" s="18">
        <v>0</v>
      </c>
      <c r="Q222" s="18">
        <v>0</v>
      </c>
      <c r="R222" s="18">
        <v>0</v>
      </c>
      <c r="S222" s="18">
        <v>0</v>
      </c>
      <c r="T222" s="18">
        <v>0</v>
      </c>
      <c r="U222" s="18">
        <v>0</v>
      </c>
      <c r="V222" s="18">
        <v>0</v>
      </c>
      <c r="W222" s="18">
        <v>0</v>
      </c>
      <c r="X222" s="18">
        <v>0</v>
      </c>
      <c r="Y222" s="18">
        <v>0</v>
      </c>
    </row>
    <row r="223" spans="1:25">
      <c r="A223" s="2" t="s">
        <v>3233</v>
      </c>
      <c r="B223" s="2" t="s">
        <v>3407</v>
      </c>
      <c r="C223" s="2" t="s">
        <v>3529</v>
      </c>
      <c r="D223" s="2" t="s">
        <v>3551</v>
      </c>
      <c r="E223" s="54" t="s">
        <v>3362</v>
      </c>
      <c r="F223" s="54">
        <v>3</v>
      </c>
      <c r="G223" s="46">
        <v>59500</v>
      </c>
      <c r="H223" s="46">
        <f t="shared" ref="H223:H229" si="150">G223*(1+C$3)</f>
        <v>62534.499999999993</v>
      </c>
      <c r="I223" s="46">
        <f t="shared" si="148"/>
        <v>187603.49999999997</v>
      </c>
      <c r="J223" s="59"/>
      <c r="K223" s="59"/>
      <c r="L223" s="59"/>
      <c r="M223" s="59">
        <f t="shared" si="149"/>
        <v>187603.49999999997</v>
      </c>
      <c r="N223" s="18">
        <v>0</v>
      </c>
      <c r="O223" s="18">
        <v>0</v>
      </c>
      <c r="P223" s="18">
        <v>0</v>
      </c>
      <c r="Q223" s="18">
        <f>H223</f>
        <v>62534.499999999993</v>
      </c>
      <c r="R223" s="18">
        <v>0</v>
      </c>
      <c r="S223" s="18">
        <v>0</v>
      </c>
      <c r="T223" s="18">
        <f>Q223</f>
        <v>62534.499999999993</v>
      </c>
      <c r="U223" s="18">
        <v>0</v>
      </c>
      <c r="V223" s="18">
        <v>0</v>
      </c>
      <c r="W223" s="18">
        <f>T223</f>
        <v>62534.499999999993</v>
      </c>
      <c r="X223" s="18">
        <v>0</v>
      </c>
      <c r="Y223" s="18">
        <v>0</v>
      </c>
    </row>
    <row r="224" spans="1:25">
      <c r="A224" s="2" t="s">
        <v>3233</v>
      </c>
      <c r="B224" s="2" t="s">
        <v>3407</v>
      </c>
      <c r="C224" s="2" t="s">
        <v>3529</v>
      </c>
      <c r="D224" s="2" t="s">
        <v>3552</v>
      </c>
      <c r="E224" s="54" t="s">
        <v>3362</v>
      </c>
      <c r="F224" s="54">
        <v>3</v>
      </c>
      <c r="G224" s="46">
        <v>59500</v>
      </c>
      <c r="H224" s="46">
        <f t="shared" si="150"/>
        <v>62534.499999999993</v>
      </c>
      <c r="I224" s="46">
        <f t="shared" si="148"/>
        <v>187603.49999999997</v>
      </c>
      <c r="J224" s="59"/>
      <c r="K224" s="59"/>
      <c r="L224" s="59"/>
      <c r="M224" s="59">
        <f t="shared" si="149"/>
        <v>187603.49999999997</v>
      </c>
      <c r="N224" s="18">
        <v>0</v>
      </c>
      <c r="O224" s="18">
        <v>0</v>
      </c>
      <c r="P224" s="18">
        <v>0</v>
      </c>
      <c r="Q224" s="18">
        <f t="shared" ref="Q224:Q228" si="151">H224</f>
        <v>62534.499999999993</v>
      </c>
      <c r="R224" s="18">
        <v>0</v>
      </c>
      <c r="S224" s="18">
        <v>0</v>
      </c>
      <c r="T224" s="18">
        <f t="shared" ref="T224:T228" si="152">Q224</f>
        <v>62534.499999999993</v>
      </c>
      <c r="U224" s="18">
        <v>0</v>
      </c>
      <c r="V224" s="18">
        <v>0</v>
      </c>
      <c r="W224" s="18">
        <f t="shared" ref="W224:W228" si="153">T224</f>
        <v>62534.499999999993</v>
      </c>
      <c r="X224" s="18">
        <v>0</v>
      </c>
      <c r="Y224" s="18">
        <v>0</v>
      </c>
    </row>
    <row r="225" spans="1:25">
      <c r="A225" s="2" t="s">
        <v>3233</v>
      </c>
      <c r="B225" s="2" t="s">
        <v>3407</v>
      </c>
      <c r="C225" s="2" t="s">
        <v>3529</v>
      </c>
      <c r="D225" s="2" t="s">
        <v>3553</v>
      </c>
      <c r="E225" s="54" t="s">
        <v>3362</v>
      </c>
      <c r="F225" s="54">
        <v>3</v>
      </c>
      <c r="G225" s="46">
        <v>59500</v>
      </c>
      <c r="H225" s="46">
        <f t="shared" si="150"/>
        <v>62534.499999999993</v>
      </c>
      <c r="I225" s="46">
        <f t="shared" si="148"/>
        <v>187603.49999999997</v>
      </c>
      <c r="J225" s="59"/>
      <c r="K225" s="59"/>
      <c r="L225" s="59"/>
      <c r="M225" s="59">
        <f t="shared" si="149"/>
        <v>187603.49999999997</v>
      </c>
      <c r="N225" s="18">
        <v>0</v>
      </c>
      <c r="O225" s="18">
        <v>0</v>
      </c>
      <c r="P225" s="18">
        <v>0</v>
      </c>
      <c r="Q225" s="18">
        <f t="shared" si="151"/>
        <v>62534.499999999993</v>
      </c>
      <c r="R225" s="18">
        <v>0</v>
      </c>
      <c r="S225" s="18">
        <v>0</v>
      </c>
      <c r="T225" s="18">
        <f t="shared" si="152"/>
        <v>62534.499999999993</v>
      </c>
      <c r="U225" s="18">
        <v>0</v>
      </c>
      <c r="V225" s="18">
        <v>0</v>
      </c>
      <c r="W225" s="18">
        <f t="shared" si="153"/>
        <v>62534.499999999993</v>
      </c>
      <c r="X225" s="18">
        <v>0</v>
      </c>
      <c r="Y225" s="18">
        <v>0</v>
      </c>
    </row>
    <row r="226" spans="1:25">
      <c r="A226" s="2" t="s">
        <v>3233</v>
      </c>
      <c r="B226" s="2" t="s">
        <v>3407</v>
      </c>
      <c r="C226" s="2" t="s">
        <v>3529</v>
      </c>
      <c r="D226" s="2" t="s">
        <v>3554</v>
      </c>
      <c r="E226" s="54" t="s">
        <v>3362</v>
      </c>
      <c r="F226" s="54">
        <v>3</v>
      </c>
      <c r="G226" s="46">
        <v>51170</v>
      </c>
      <c r="H226" s="46">
        <f t="shared" si="150"/>
        <v>53779.67</v>
      </c>
      <c r="I226" s="46">
        <f t="shared" si="148"/>
        <v>161339.01</v>
      </c>
      <c r="J226" s="59"/>
      <c r="K226" s="59"/>
      <c r="L226" s="59"/>
      <c r="M226" s="59">
        <f t="shared" si="149"/>
        <v>161339.01</v>
      </c>
      <c r="N226" s="18">
        <v>0</v>
      </c>
      <c r="O226" s="18">
        <v>0</v>
      </c>
      <c r="P226" s="18">
        <v>0</v>
      </c>
      <c r="Q226" s="18">
        <f t="shared" si="151"/>
        <v>53779.67</v>
      </c>
      <c r="R226" s="18">
        <v>0</v>
      </c>
      <c r="S226" s="18">
        <v>0</v>
      </c>
      <c r="T226" s="18">
        <f t="shared" si="152"/>
        <v>53779.67</v>
      </c>
      <c r="U226" s="18">
        <v>0</v>
      </c>
      <c r="V226" s="18">
        <v>0</v>
      </c>
      <c r="W226" s="18">
        <f t="shared" si="153"/>
        <v>53779.67</v>
      </c>
      <c r="X226" s="18">
        <v>0</v>
      </c>
      <c r="Y226" s="18">
        <v>0</v>
      </c>
    </row>
    <row r="227" spans="1:25">
      <c r="A227" s="2" t="s">
        <v>3233</v>
      </c>
      <c r="B227" s="2" t="s">
        <v>3407</v>
      </c>
      <c r="C227" s="2" t="s">
        <v>3529</v>
      </c>
      <c r="D227" s="2" t="s">
        <v>3555</v>
      </c>
      <c r="E227" s="54" t="s">
        <v>3362</v>
      </c>
      <c r="F227" s="54">
        <v>3</v>
      </c>
      <c r="G227" s="46">
        <v>51170</v>
      </c>
      <c r="H227" s="46">
        <f t="shared" si="150"/>
        <v>53779.67</v>
      </c>
      <c r="I227" s="46">
        <f t="shared" si="148"/>
        <v>161339.01</v>
      </c>
      <c r="J227" s="59"/>
      <c r="K227" s="59"/>
      <c r="L227" s="59"/>
      <c r="M227" s="59">
        <f t="shared" si="149"/>
        <v>161339.01</v>
      </c>
      <c r="N227" s="18">
        <v>0</v>
      </c>
      <c r="O227" s="18">
        <v>0</v>
      </c>
      <c r="P227" s="18">
        <v>0</v>
      </c>
      <c r="Q227" s="18">
        <f t="shared" si="151"/>
        <v>53779.67</v>
      </c>
      <c r="R227" s="18">
        <v>0</v>
      </c>
      <c r="S227" s="18">
        <v>0</v>
      </c>
      <c r="T227" s="18">
        <f t="shared" si="152"/>
        <v>53779.67</v>
      </c>
      <c r="U227" s="18">
        <v>0</v>
      </c>
      <c r="V227" s="18">
        <v>0</v>
      </c>
      <c r="W227" s="18">
        <f t="shared" si="153"/>
        <v>53779.67</v>
      </c>
      <c r="X227" s="18">
        <v>0</v>
      </c>
      <c r="Y227" s="18">
        <v>0</v>
      </c>
    </row>
    <row r="228" spans="1:25">
      <c r="A228" s="2" t="s">
        <v>3233</v>
      </c>
      <c r="B228" s="2" t="s">
        <v>3407</v>
      </c>
      <c r="C228" s="2" t="s">
        <v>3529</v>
      </c>
      <c r="D228" s="2" t="s">
        <v>3556</v>
      </c>
      <c r="E228" s="54" t="s">
        <v>3419</v>
      </c>
      <c r="F228" s="54">
        <v>12</v>
      </c>
      <c r="G228" s="46">
        <v>80444</v>
      </c>
      <c r="H228" s="46">
        <f t="shared" si="150"/>
        <v>84546.644</v>
      </c>
      <c r="I228" s="46">
        <f>H228*F228</f>
        <v>1014559.728</v>
      </c>
      <c r="J228" s="59"/>
      <c r="K228" s="59"/>
      <c r="L228" s="59"/>
      <c r="M228" s="59">
        <f t="shared" si="149"/>
        <v>1014559.728</v>
      </c>
      <c r="N228" s="18">
        <v>0</v>
      </c>
      <c r="O228" s="18">
        <v>0</v>
      </c>
      <c r="P228" s="18">
        <v>0</v>
      </c>
      <c r="Q228" s="18">
        <f>H228*4</f>
        <v>338186.576</v>
      </c>
      <c r="R228" s="18">
        <v>0</v>
      </c>
      <c r="S228" s="18">
        <v>0</v>
      </c>
      <c r="T228" s="18">
        <f t="shared" si="152"/>
        <v>338186.576</v>
      </c>
      <c r="U228" s="18">
        <v>0</v>
      </c>
      <c r="V228" s="18">
        <v>0</v>
      </c>
      <c r="W228" s="18">
        <f t="shared" si="153"/>
        <v>338186.576</v>
      </c>
      <c r="X228" s="18">
        <v>0</v>
      </c>
      <c r="Y228" s="18">
        <v>0</v>
      </c>
    </row>
    <row r="229" spans="1:25">
      <c r="A229" s="2" t="s">
        <v>3233</v>
      </c>
      <c r="B229" s="2" t="s">
        <v>3407</v>
      </c>
      <c r="C229" s="2" t="s">
        <v>3529</v>
      </c>
      <c r="D229" s="2" t="s">
        <v>3557</v>
      </c>
      <c r="E229" s="54" t="s">
        <v>3362</v>
      </c>
      <c r="F229" s="54">
        <v>3</v>
      </c>
      <c r="G229" s="46">
        <v>1110000</v>
      </c>
      <c r="H229" s="46">
        <f t="shared" si="150"/>
        <v>1166610</v>
      </c>
      <c r="I229" s="46">
        <f t="shared" si="148"/>
        <v>3499830</v>
      </c>
      <c r="J229" s="59"/>
      <c r="K229" s="59"/>
      <c r="L229" s="59"/>
      <c r="M229" s="59">
        <f t="shared" si="149"/>
        <v>3499830</v>
      </c>
      <c r="N229" s="18">
        <v>1166610</v>
      </c>
      <c r="O229" s="18">
        <v>0</v>
      </c>
      <c r="P229" s="18">
        <v>0</v>
      </c>
      <c r="Q229" s="18">
        <v>0</v>
      </c>
      <c r="R229" s="18">
        <v>0</v>
      </c>
      <c r="S229" s="18">
        <v>0</v>
      </c>
      <c r="T229" s="18">
        <v>1166610</v>
      </c>
      <c r="U229" s="18">
        <v>0</v>
      </c>
      <c r="V229" s="18">
        <v>0</v>
      </c>
      <c r="W229" s="18">
        <v>0</v>
      </c>
      <c r="X229" s="18">
        <v>0</v>
      </c>
      <c r="Y229" s="18">
        <v>1166610</v>
      </c>
    </row>
    <row r="230" spans="1:25">
      <c r="A230" s="2" t="s">
        <v>3233</v>
      </c>
      <c r="B230" s="2" t="s">
        <v>3407</v>
      </c>
      <c r="C230" s="2" t="s">
        <v>3529</v>
      </c>
      <c r="D230" s="2" t="s">
        <v>3558</v>
      </c>
      <c r="E230" s="54" t="s">
        <v>3362</v>
      </c>
      <c r="F230" s="60">
        <v>2</v>
      </c>
      <c r="G230" s="46">
        <v>600000</v>
      </c>
      <c r="H230" s="68">
        <f>G230*(1+C$3)</f>
        <v>630600</v>
      </c>
      <c r="I230" s="68">
        <f>+H230*F230</f>
        <v>1261200</v>
      </c>
      <c r="J230" s="69"/>
      <c r="K230" s="69"/>
      <c r="L230" s="69"/>
      <c r="M230" s="69">
        <f t="shared" si="149"/>
        <v>1262400</v>
      </c>
      <c r="N230" s="69">
        <v>0</v>
      </c>
      <c r="O230" s="18">
        <v>0</v>
      </c>
      <c r="P230" s="18">
        <v>0</v>
      </c>
      <c r="Q230" s="18">
        <v>0</v>
      </c>
      <c r="R230" s="18">
        <v>0</v>
      </c>
      <c r="S230" s="18">
        <v>0</v>
      </c>
      <c r="T230" s="18">
        <v>0</v>
      </c>
      <c r="U230" s="18">
        <v>0</v>
      </c>
      <c r="V230" s="18">
        <v>1262400</v>
      </c>
      <c r="W230" s="18">
        <v>0</v>
      </c>
      <c r="X230" s="18">
        <v>0</v>
      </c>
      <c r="Y230" s="18">
        <v>0</v>
      </c>
    </row>
    <row r="231" spans="1:25">
      <c r="A231" s="2" t="s">
        <v>3233</v>
      </c>
      <c r="B231" s="2" t="s">
        <v>3407</v>
      </c>
      <c r="C231" s="2" t="s">
        <v>3529</v>
      </c>
      <c r="D231" s="2" t="s">
        <v>3559</v>
      </c>
      <c r="E231" s="54" t="s">
        <v>3419</v>
      </c>
      <c r="F231" s="60">
        <f>M231/H231</f>
        <v>1166.3035493256332</v>
      </c>
      <c r="G231" s="68">
        <v>12689</v>
      </c>
      <c r="H231" s="68">
        <f>G231*(1+C$3)</f>
        <v>13336.138999999999</v>
      </c>
      <c r="I231" s="68">
        <f>+H231*F231</f>
        <v>15553986.25</v>
      </c>
      <c r="J231" s="69"/>
      <c r="K231" s="69"/>
      <c r="L231" s="69"/>
      <c r="M231" s="69">
        <f t="shared" si="149"/>
        <v>15553986.25</v>
      </c>
      <c r="N231" s="69">
        <v>1555398.625</v>
      </c>
      <c r="O231" s="18">
        <v>1555398.625</v>
      </c>
      <c r="P231" s="18">
        <v>1555398.625</v>
      </c>
      <c r="Q231" s="18">
        <v>0</v>
      </c>
      <c r="R231" s="18">
        <v>1555398.625</v>
      </c>
      <c r="S231" s="18">
        <v>1555398.625</v>
      </c>
      <c r="T231" s="18">
        <v>1555398.625</v>
      </c>
      <c r="U231" s="18">
        <v>0</v>
      </c>
      <c r="V231" s="18">
        <v>1555398.625</v>
      </c>
      <c r="W231" s="18">
        <v>1555398.625</v>
      </c>
      <c r="X231" s="18">
        <v>1555398.625</v>
      </c>
      <c r="Y231" s="18">
        <v>1555398.625</v>
      </c>
    </row>
    <row r="232" spans="1:25">
      <c r="A232" s="47" t="s">
        <v>3233</v>
      </c>
      <c r="B232" s="47" t="s">
        <v>3407</v>
      </c>
      <c r="C232" s="47" t="s">
        <v>3529</v>
      </c>
      <c r="D232" s="47" t="s">
        <v>3560</v>
      </c>
      <c r="E232" s="54"/>
      <c r="F232" s="54"/>
      <c r="G232" s="3"/>
      <c r="H232" s="3"/>
      <c r="I232" s="3"/>
      <c r="J232" s="2"/>
      <c r="K232" s="2"/>
      <c r="L232" s="2"/>
      <c r="M232" s="18"/>
      <c r="N232" s="18">
        <v>0</v>
      </c>
      <c r="O232" s="18">
        <v>0</v>
      </c>
      <c r="P232" s="18">
        <v>0</v>
      </c>
      <c r="Q232" s="18">
        <v>0</v>
      </c>
      <c r="R232" s="18">
        <v>0</v>
      </c>
      <c r="S232" s="18">
        <v>0</v>
      </c>
      <c r="T232" s="18">
        <v>0</v>
      </c>
      <c r="U232" s="18">
        <v>0</v>
      </c>
      <c r="V232" s="18">
        <v>0</v>
      </c>
      <c r="W232" s="18">
        <v>0</v>
      </c>
      <c r="X232" s="18">
        <v>0</v>
      </c>
      <c r="Y232" s="18">
        <v>0</v>
      </c>
    </row>
    <row r="233" spans="1:25">
      <c r="A233" s="2" t="s">
        <v>3233</v>
      </c>
      <c r="B233" s="2" t="s">
        <v>3407</v>
      </c>
      <c r="C233" s="2" t="s">
        <v>3529</v>
      </c>
      <c r="D233" s="2" t="s">
        <v>3561</v>
      </c>
      <c r="E233" s="54" t="s">
        <v>3362</v>
      </c>
      <c r="F233" s="54">
        <v>8</v>
      </c>
      <c r="G233" s="46">
        <v>34510</v>
      </c>
      <c r="H233" s="46">
        <f t="shared" ref="H233:H239" si="154">G233*(1+C$3)</f>
        <v>36270.009999999995</v>
      </c>
      <c r="I233" s="46">
        <f t="shared" ref="I233:I237" si="155">H233*F233</f>
        <v>290160.07999999996</v>
      </c>
      <c r="J233" s="59"/>
      <c r="K233" s="59"/>
      <c r="L233" s="59"/>
      <c r="M233" s="59">
        <f t="shared" ref="M233:M240" si="156">SUM(N233:Y233)</f>
        <v>290160.02</v>
      </c>
      <c r="N233" s="18">
        <v>0</v>
      </c>
      <c r="O233" s="18">
        <v>0</v>
      </c>
      <c r="P233" s="18">
        <v>0</v>
      </c>
      <c r="Q233" s="18">
        <f>36270*3</f>
        <v>108810</v>
      </c>
      <c r="R233" s="18">
        <v>0</v>
      </c>
      <c r="S233" s="18">
        <v>0</v>
      </c>
      <c r="T233" s="18">
        <f>H233</f>
        <v>36270.009999999995</v>
      </c>
      <c r="U233" s="18">
        <v>0</v>
      </c>
      <c r="V233" s="18">
        <v>0</v>
      </c>
      <c r="W233" s="18">
        <f>Q233</f>
        <v>108810</v>
      </c>
      <c r="X233" s="18">
        <f>T233</f>
        <v>36270.009999999995</v>
      </c>
      <c r="Y233" s="18">
        <v>0</v>
      </c>
    </row>
    <row r="234" spans="1:25">
      <c r="A234" s="2" t="s">
        <v>3233</v>
      </c>
      <c r="B234" s="2" t="s">
        <v>3407</v>
      </c>
      <c r="C234" s="2" t="s">
        <v>3529</v>
      </c>
      <c r="D234" s="2" t="s">
        <v>3562</v>
      </c>
      <c r="E234" s="54" t="s">
        <v>3362</v>
      </c>
      <c r="F234" s="54">
        <v>8</v>
      </c>
      <c r="G234" s="46">
        <v>34510</v>
      </c>
      <c r="H234" s="46">
        <f t="shared" si="154"/>
        <v>36270.009999999995</v>
      </c>
      <c r="I234" s="46">
        <f t="shared" si="155"/>
        <v>290160.07999999996</v>
      </c>
      <c r="J234" s="59"/>
      <c r="K234" s="59"/>
      <c r="L234" s="59"/>
      <c r="M234" s="59">
        <f t="shared" si="156"/>
        <v>290161.02</v>
      </c>
      <c r="N234" s="18">
        <v>0</v>
      </c>
      <c r="O234" s="18">
        <v>0</v>
      </c>
      <c r="P234" s="18">
        <v>0</v>
      </c>
      <c r="Q234" s="18">
        <f t="shared" ref="Q234:Q237" si="157">36270*3</f>
        <v>108810</v>
      </c>
      <c r="R234" s="18">
        <v>0</v>
      </c>
      <c r="S234" s="18">
        <v>0</v>
      </c>
      <c r="T234" s="18">
        <f t="shared" ref="T234:T237" si="158">H234</f>
        <v>36270.009999999995</v>
      </c>
      <c r="U234" s="18">
        <v>0</v>
      </c>
      <c r="V234" s="18">
        <v>0</v>
      </c>
      <c r="W234" s="18">
        <f t="shared" ref="W234:W237" si="159">Q234</f>
        <v>108810</v>
      </c>
      <c r="X234" s="18">
        <f t="shared" ref="X234:X237" si="160">T234</f>
        <v>36270.009999999995</v>
      </c>
      <c r="Y234" s="18">
        <v>1</v>
      </c>
    </row>
    <row r="235" spans="1:25">
      <c r="A235" s="2" t="s">
        <v>3233</v>
      </c>
      <c r="B235" s="2" t="s">
        <v>3407</v>
      </c>
      <c r="C235" s="2" t="s">
        <v>3529</v>
      </c>
      <c r="D235" s="2" t="s">
        <v>3563</v>
      </c>
      <c r="E235" s="54" t="s">
        <v>3362</v>
      </c>
      <c r="F235" s="54">
        <v>8</v>
      </c>
      <c r="G235" s="46">
        <v>34510</v>
      </c>
      <c r="H235" s="46">
        <f t="shared" si="154"/>
        <v>36270.009999999995</v>
      </c>
      <c r="I235" s="46">
        <f t="shared" si="155"/>
        <v>290160.07999999996</v>
      </c>
      <c r="J235" s="59"/>
      <c r="K235" s="59"/>
      <c r="L235" s="59"/>
      <c r="M235" s="59">
        <f t="shared" si="156"/>
        <v>290162.02</v>
      </c>
      <c r="N235" s="18">
        <v>0</v>
      </c>
      <c r="O235" s="18">
        <v>0</v>
      </c>
      <c r="P235" s="18">
        <v>0</v>
      </c>
      <c r="Q235" s="18">
        <f t="shared" si="157"/>
        <v>108810</v>
      </c>
      <c r="R235" s="18">
        <v>0</v>
      </c>
      <c r="S235" s="18">
        <v>0</v>
      </c>
      <c r="T235" s="18">
        <f t="shared" si="158"/>
        <v>36270.009999999995</v>
      </c>
      <c r="U235" s="18">
        <v>0</v>
      </c>
      <c r="V235" s="18">
        <v>0</v>
      </c>
      <c r="W235" s="18">
        <f t="shared" si="159"/>
        <v>108810</v>
      </c>
      <c r="X235" s="18">
        <f t="shared" si="160"/>
        <v>36270.009999999995</v>
      </c>
      <c r="Y235" s="18">
        <v>2</v>
      </c>
    </row>
    <row r="236" spans="1:25">
      <c r="A236" s="2" t="s">
        <v>3233</v>
      </c>
      <c r="B236" s="2" t="s">
        <v>3407</v>
      </c>
      <c r="C236" s="2" t="s">
        <v>3529</v>
      </c>
      <c r="D236" s="2" t="s">
        <v>3564</v>
      </c>
      <c r="E236" s="54" t="s">
        <v>3362</v>
      </c>
      <c r="F236" s="54">
        <v>8</v>
      </c>
      <c r="G236" s="46">
        <v>136850</v>
      </c>
      <c r="H236" s="46">
        <f t="shared" si="154"/>
        <v>143829.34999999998</v>
      </c>
      <c r="I236" s="46">
        <f t="shared" si="155"/>
        <v>1150634.7999999998</v>
      </c>
      <c r="J236" s="59"/>
      <c r="K236" s="59"/>
      <c r="L236" s="59"/>
      <c r="M236" s="59">
        <f t="shared" si="156"/>
        <v>1150637.7999999998</v>
      </c>
      <c r="N236" s="18">
        <v>0</v>
      </c>
      <c r="O236" s="18">
        <v>0</v>
      </c>
      <c r="P236" s="18">
        <v>0</v>
      </c>
      <c r="Q236" s="18">
        <f>H236*3</f>
        <v>431488.04999999993</v>
      </c>
      <c r="R236" s="18">
        <v>0</v>
      </c>
      <c r="S236" s="18">
        <v>0</v>
      </c>
      <c r="T236" s="18">
        <f t="shared" si="158"/>
        <v>143829.34999999998</v>
      </c>
      <c r="U236" s="18">
        <v>0</v>
      </c>
      <c r="V236" s="18">
        <v>0</v>
      </c>
      <c r="W236" s="18">
        <f t="shared" si="159"/>
        <v>431488.04999999993</v>
      </c>
      <c r="X236" s="18">
        <f t="shared" si="160"/>
        <v>143829.34999999998</v>
      </c>
      <c r="Y236" s="18">
        <v>3</v>
      </c>
    </row>
    <row r="237" spans="1:25">
      <c r="A237" s="2" t="s">
        <v>3233</v>
      </c>
      <c r="B237" s="2" t="s">
        <v>3407</v>
      </c>
      <c r="C237" s="2" t="s">
        <v>3529</v>
      </c>
      <c r="D237" s="2" t="s">
        <v>3565</v>
      </c>
      <c r="E237" s="54" t="s">
        <v>3419</v>
      </c>
      <c r="F237" s="54">
        <v>32</v>
      </c>
      <c r="G237" s="46">
        <v>80444</v>
      </c>
      <c r="H237" s="46">
        <f t="shared" si="154"/>
        <v>84546.644</v>
      </c>
      <c r="I237" s="46">
        <f t="shared" si="155"/>
        <v>2705492.608</v>
      </c>
      <c r="J237" s="59"/>
      <c r="K237" s="59"/>
      <c r="L237" s="59"/>
      <c r="M237" s="59">
        <f t="shared" si="156"/>
        <v>2705496.608</v>
      </c>
      <c r="N237" s="18">
        <v>0</v>
      </c>
      <c r="O237" s="18">
        <v>0</v>
      </c>
      <c r="P237" s="18">
        <v>0</v>
      </c>
      <c r="Q237" s="18">
        <f>H237*4*3</f>
        <v>1014559.728</v>
      </c>
      <c r="R237" s="18">
        <v>0</v>
      </c>
      <c r="S237" s="18">
        <v>0</v>
      </c>
      <c r="T237" s="18">
        <f>H237*4</f>
        <v>338186.576</v>
      </c>
      <c r="U237" s="18">
        <v>0</v>
      </c>
      <c r="V237" s="18">
        <v>0</v>
      </c>
      <c r="W237" s="18">
        <f t="shared" si="159"/>
        <v>1014559.728</v>
      </c>
      <c r="X237" s="18">
        <f t="shared" si="160"/>
        <v>338186.576</v>
      </c>
      <c r="Y237" s="18">
        <v>4</v>
      </c>
    </row>
    <row r="238" spans="1:25">
      <c r="A238" s="2" t="s">
        <v>3233</v>
      </c>
      <c r="B238" s="2" t="s">
        <v>3407</v>
      </c>
      <c r="C238" s="2" t="s">
        <v>3529</v>
      </c>
      <c r="D238" s="2" t="s">
        <v>3566</v>
      </c>
      <c r="E238" s="54" t="s">
        <v>3419</v>
      </c>
      <c r="F238" s="54">
        <v>12</v>
      </c>
      <c r="G238" s="46">
        <v>80444</v>
      </c>
      <c r="H238" s="46">
        <f t="shared" si="154"/>
        <v>84546.644</v>
      </c>
      <c r="I238" s="46">
        <f>H238*F238</f>
        <v>1014559.728</v>
      </c>
      <c r="J238" s="59"/>
      <c r="K238" s="59"/>
      <c r="L238" s="59"/>
      <c r="M238" s="59">
        <f t="shared" si="156"/>
        <v>61683695.684</v>
      </c>
      <c r="N238" s="59">
        <v>8767106.8780000005</v>
      </c>
      <c r="O238" s="18">
        <v>2154930.25</v>
      </c>
      <c r="P238" s="18">
        <v>5475467.2580000004</v>
      </c>
      <c r="Q238" s="18">
        <v>8729308.2699999996</v>
      </c>
      <c r="R238" s="18">
        <v>2154930.25</v>
      </c>
      <c r="S238" s="18">
        <v>2622018.25</v>
      </c>
      <c r="T238" s="18">
        <v>3068880.25</v>
      </c>
      <c r="U238" s="18">
        <v>2154930.25</v>
      </c>
      <c r="V238" s="18">
        <v>12796097.257999998</v>
      </c>
      <c r="W238" s="18">
        <v>4005709.642</v>
      </c>
      <c r="X238" s="18">
        <v>2154930.25</v>
      </c>
      <c r="Y238" s="18">
        <v>7599386.8780000005</v>
      </c>
    </row>
    <row r="239" spans="1:25">
      <c r="A239" s="2" t="s">
        <v>3233</v>
      </c>
      <c r="B239" s="2" t="s">
        <v>3407</v>
      </c>
      <c r="C239" s="2" t="s">
        <v>3529</v>
      </c>
      <c r="D239" s="2" t="s">
        <v>3567</v>
      </c>
      <c r="E239" s="54" t="s">
        <v>3362</v>
      </c>
      <c r="F239" s="54">
        <v>9</v>
      </c>
      <c r="G239" s="46">
        <v>666000</v>
      </c>
      <c r="H239" s="46">
        <f t="shared" si="154"/>
        <v>699966</v>
      </c>
      <c r="I239" s="46">
        <f>H239*F239</f>
        <v>6299694</v>
      </c>
      <c r="J239" s="59"/>
      <c r="K239" s="59"/>
      <c r="L239" s="59"/>
      <c r="M239" s="59">
        <f t="shared" si="156"/>
        <v>6299694</v>
      </c>
      <c r="N239" s="18">
        <v>2099898</v>
      </c>
      <c r="O239" s="18">
        <v>0</v>
      </c>
      <c r="P239" s="18">
        <v>0</v>
      </c>
      <c r="Q239" s="18">
        <v>933288</v>
      </c>
      <c r="R239" s="18">
        <v>0</v>
      </c>
      <c r="S239" s="18">
        <v>0</v>
      </c>
      <c r="T239" s="18">
        <v>1166610</v>
      </c>
      <c r="U239" s="18">
        <v>0</v>
      </c>
      <c r="V239" s="18">
        <v>0</v>
      </c>
      <c r="W239" s="18">
        <v>0</v>
      </c>
      <c r="X239" s="18">
        <v>0</v>
      </c>
      <c r="Y239" s="18">
        <v>2099898</v>
      </c>
    </row>
    <row r="240" spans="1:25">
      <c r="A240" s="2" t="s">
        <v>3233</v>
      </c>
      <c r="B240" s="2" t="s">
        <v>3407</v>
      </c>
      <c r="C240" s="2" t="s">
        <v>3529</v>
      </c>
      <c r="D240" s="2" t="s">
        <v>3568</v>
      </c>
      <c r="E240" s="54" t="s">
        <v>3419</v>
      </c>
      <c r="F240" s="60">
        <f>M240/H240</f>
        <v>2108.3850430773105</v>
      </c>
      <c r="G240" s="46">
        <v>12689</v>
      </c>
      <c r="H240" s="46">
        <f>G240*(1+C$3)</f>
        <v>13336.138999999999</v>
      </c>
      <c r="I240" s="46">
        <f>+H240*F240</f>
        <v>28117716</v>
      </c>
      <c r="J240" s="2"/>
      <c r="K240" s="2"/>
      <c r="L240" s="2"/>
      <c r="M240" s="59">
        <f t="shared" si="156"/>
        <v>28117716</v>
      </c>
      <c r="N240" s="18">
        <v>2334684</v>
      </c>
      <c r="O240" s="18">
        <v>2436192</v>
      </c>
      <c r="P240" s="18">
        <v>2334684</v>
      </c>
      <c r="Q240" s="18">
        <v>2436192</v>
      </c>
      <c r="R240" s="18">
        <v>1827144</v>
      </c>
      <c r="S240" s="18">
        <v>2436192</v>
      </c>
      <c r="T240" s="18">
        <v>2334684</v>
      </c>
      <c r="U240" s="18">
        <v>2436192</v>
      </c>
      <c r="V240" s="18">
        <v>2334684</v>
      </c>
      <c r="W240" s="18">
        <v>2436192</v>
      </c>
      <c r="X240" s="18">
        <v>2334684</v>
      </c>
      <c r="Y240" s="18">
        <v>2436192</v>
      </c>
    </row>
    <row r="241" spans="1:25">
      <c r="A241" s="2"/>
      <c r="B241" s="2"/>
      <c r="C241" s="2"/>
      <c r="D241" s="2"/>
      <c r="E241" s="54"/>
      <c r="F241" s="54"/>
      <c r="G241" s="3"/>
      <c r="H241" s="3"/>
      <c r="I241" s="3"/>
      <c r="J241" s="2"/>
      <c r="K241" s="2"/>
      <c r="L241" s="2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>
      <c r="A242" s="2"/>
      <c r="B242" s="2"/>
      <c r="C242" s="2"/>
      <c r="D242" s="2"/>
      <c r="E242" s="54"/>
      <c r="F242" s="54"/>
      <c r="G242" s="3"/>
      <c r="H242" s="3"/>
      <c r="I242" s="3"/>
      <c r="J242" s="2"/>
      <c r="K242" s="2"/>
      <c r="L242" s="2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>
      <c r="A243" s="2"/>
      <c r="B243" s="2"/>
      <c r="C243" s="2"/>
      <c r="D243" s="2"/>
      <c r="E243" s="54"/>
      <c r="F243" s="54"/>
      <c r="G243" s="3"/>
      <c r="H243" s="3"/>
      <c r="I243" s="3"/>
      <c r="J243" s="2"/>
      <c r="K243" s="2"/>
      <c r="L243" s="2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>
      <c r="A244" s="2"/>
      <c r="B244" s="2"/>
      <c r="C244" s="2"/>
      <c r="D244" s="2"/>
      <c r="E244" s="54"/>
      <c r="F244" s="54"/>
      <c r="G244" s="3"/>
      <c r="H244" s="3"/>
      <c r="I244" s="3"/>
      <c r="J244" s="2"/>
      <c r="K244" s="2"/>
      <c r="L244" s="2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>
      <c r="A245" s="2"/>
      <c r="B245" s="2"/>
      <c r="C245" s="2"/>
      <c r="D245" s="2"/>
      <c r="E245" s="54"/>
      <c r="F245" s="54"/>
      <c r="G245" s="3"/>
      <c r="H245" s="3"/>
      <c r="I245" s="3"/>
      <c r="J245" s="2"/>
      <c r="K245" s="2"/>
      <c r="L245" s="2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>
      <c r="A246" s="2"/>
      <c r="B246" s="2"/>
      <c r="C246" s="2"/>
      <c r="D246" s="2"/>
      <c r="E246" s="54"/>
      <c r="F246" s="54"/>
      <c r="G246" s="3"/>
      <c r="H246" s="3"/>
      <c r="I246" s="3"/>
      <c r="J246" s="2"/>
      <c r="K246" s="2"/>
      <c r="L246" s="2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>
      <c r="A247" s="2" t="s">
        <v>3233</v>
      </c>
      <c r="B247" s="2" t="s">
        <v>3407</v>
      </c>
      <c r="C247" s="2" t="s">
        <v>3569</v>
      </c>
      <c r="D247" s="2"/>
      <c r="E247" s="54"/>
      <c r="F247" s="54"/>
      <c r="G247" s="3"/>
      <c r="H247" s="3"/>
      <c r="I247" s="3"/>
      <c r="J247" s="2"/>
      <c r="K247" s="2"/>
      <c r="L247" s="2"/>
      <c r="M247" s="18">
        <f t="shared" ref="M247:M264" si="161">SUM(N247:Y247)</f>
        <v>1402082400</v>
      </c>
      <c r="N247" s="18">
        <v>94722200</v>
      </c>
      <c r="O247" s="18">
        <v>94722200</v>
      </c>
      <c r="P247" s="18">
        <v>94722200</v>
      </c>
      <c r="Q247" s="18">
        <v>94722200</v>
      </c>
      <c r="R247" s="18">
        <v>94722200</v>
      </c>
      <c r="S247" s="18">
        <v>94722200</v>
      </c>
      <c r="T247" s="18">
        <v>138958200</v>
      </c>
      <c r="U247" s="18">
        <v>138958200</v>
      </c>
      <c r="V247" s="18">
        <v>138958200</v>
      </c>
      <c r="W247" s="18">
        <v>138958200</v>
      </c>
      <c r="X247" s="18">
        <v>138958200</v>
      </c>
      <c r="Y247" s="18">
        <v>138958200</v>
      </c>
    </row>
    <row r="248" spans="1:25">
      <c r="A248" s="2" t="s">
        <v>3233</v>
      </c>
      <c r="B248" s="2" t="s">
        <v>3570</v>
      </c>
      <c r="C248" s="2" t="s">
        <v>3571</v>
      </c>
      <c r="D248" s="2"/>
      <c r="E248" s="54"/>
      <c r="F248" s="54"/>
      <c r="G248" s="3"/>
      <c r="H248" s="3"/>
      <c r="I248" s="3"/>
      <c r="J248" s="2"/>
      <c r="K248" s="2"/>
      <c r="L248" s="2"/>
      <c r="M248" s="18">
        <f t="shared" si="161"/>
        <v>390600000</v>
      </c>
      <c r="N248" s="18">
        <v>32550000</v>
      </c>
      <c r="O248" s="18">
        <v>32550000</v>
      </c>
      <c r="P248" s="18">
        <v>32550000</v>
      </c>
      <c r="Q248" s="18">
        <v>32550000</v>
      </c>
      <c r="R248" s="18">
        <v>32550000</v>
      </c>
      <c r="S248" s="18">
        <v>32550000</v>
      </c>
      <c r="T248" s="18">
        <v>32550000</v>
      </c>
      <c r="U248" s="18">
        <v>32550000</v>
      </c>
      <c r="V248" s="18">
        <v>32550000</v>
      </c>
      <c r="W248" s="18">
        <v>32550000</v>
      </c>
      <c r="X248" s="18">
        <v>32550000</v>
      </c>
      <c r="Y248" s="18">
        <v>32550000</v>
      </c>
    </row>
    <row r="249" spans="1:25">
      <c r="A249" s="2"/>
      <c r="B249" s="2"/>
      <c r="C249" s="2"/>
      <c r="D249" s="2"/>
      <c r="E249" s="54"/>
      <c r="F249" s="54"/>
      <c r="G249" s="3"/>
      <c r="H249" s="3"/>
      <c r="I249" s="3"/>
      <c r="J249" s="2"/>
      <c r="K249" s="2"/>
      <c r="L249" s="2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>
      <c r="A250" s="47" t="s">
        <v>3233</v>
      </c>
      <c r="B250" s="47" t="s">
        <v>3572</v>
      </c>
      <c r="C250" s="2" t="s">
        <v>3573</v>
      </c>
      <c r="D250" s="2"/>
      <c r="E250" s="54"/>
      <c r="F250" s="54"/>
      <c r="G250" s="3"/>
      <c r="H250" s="3"/>
      <c r="I250" s="3"/>
      <c r="J250" s="2"/>
      <c r="K250" s="2"/>
      <c r="L250" s="2"/>
      <c r="M250" s="18">
        <f t="shared" si="161"/>
        <v>497944804</v>
      </c>
      <c r="N250" s="18">
        <v>40223307</v>
      </c>
      <c r="O250" s="18">
        <v>40223307</v>
      </c>
      <c r="P250" s="18">
        <v>40223307</v>
      </c>
      <c r="Q250" s="18">
        <v>47855867</v>
      </c>
      <c r="R250" s="18">
        <v>40223307</v>
      </c>
      <c r="S250" s="18">
        <v>40223307</v>
      </c>
      <c r="T250" s="18">
        <v>40223307</v>
      </c>
      <c r="U250" s="18">
        <v>40223307</v>
      </c>
      <c r="V250" s="18">
        <v>45943307</v>
      </c>
      <c r="W250" s="18">
        <v>40223307</v>
      </c>
      <c r="X250" s="18">
        <v>42135867</v>
      </c>
      <c r="Y250" s="18">
        <v>40223307</v>
      </c>
    </row>
    <row r="251" spans="1:25">
      <c r="A251" s="2" t="s">
        <v>3233</v>
      </c>
      <c r="B251" s="2" t="s">
        <v>3572</v>
      </c>
      <c r="C251" s="2" t="s">
        <v>3574</v>
      </c>
      <c r="D251" s="2"/>
      <c r="E251" s="54"/>
      <c r="F251" s="54"/>
      <c r="G251" s="3"/>
      <c r="H251" s="3"/>
      <c r="I251" s="3"/>
      <c r="J251" s="2"/>
      <c r="K251" s="2"/>
      <c r="L251" s="2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>
      <c r="A252" s="2" t="s">
        <v>3233</v>
      </c>
      <c r="B252" s="2" t="s">
        <v>3572</v>
      </c>
      <c r="C252" s="2" t="s">
        <v>3575</v>
      </c>
      <c r="D252" s="2"/>
      <c r="E252" s="54"/>
      <c r="F252" s="54"/>
      <c r="G252" s="3"/>
      <c r="H252" s="3"/>
      <c r="I252" s="3"/>
      <c r="J252" s="2"/>
      <c r="K252" s="2"/>
      <c r="L252" s="2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>
      <c r="A253" s="2" t="s">
        <v>3233</v>
      </c>
      <c r="B253" s="2" t="s">
        <v>3572</v>
      </c>
      <c r="C253" s="2" t="s">
        <v>3576</v>
      </c>
      <c r="D253" s="2"/>
      <c r="E253" s="54"/>
      <c r="F253" s="54"/>
      <c r="G253" s="3"/>
      <c r="H253" s="3"/>
      <c r="I253" s="3"/>
      <c r="J253" s="2"/>
      <c r="K253" s="2"/>
      <c r="L253" s="2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>
      <c r="A254" s="2" t="s">
        <v>3233</v>
      </c>
      <c r="B254" s="2" t="s">
        <v>3572</v>
      </c>
      <c r="C254" s="2" t="s">
        <v>3577</v>
      </c>
      <c r="D254" s="2"/>
      <c r="E254" s="54"/>
      <c r="F254" s="54"/>
      <c r="G254" s="3"/>
      <c r="H254" s="3"/>
      <c r="I254" s="3"/>
      <c r="J254" s="2"/>
      <c r="K254" s="2"/>
      <c r="L254" s="2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>
      <c r="A255" s="2" t="s">
        <v>3233</v>
      </c>
      <c r="B255" s="2" t="s">
        <v>3572</v>
      </c>
      <c r="C255" s="2" t="s">
        <v>2910</v>
      </c>
      <c r="D255" s="2"/>
      <c r="E255" s="54"/>
      <c r="F255" s="54"/>
      <c r="G255" s="3"/>
      <c r="H255" s="3"/>
      <c r="I255" s="3"/>
      <c r="J255" s="2"/>
      <c r="K255" s="2"/>
      <c r="L255" s="2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spans="1:25">
      <c r="A256" s="2" t="s">
        <v>3233</v>
      </c>
      <c r="B256" s="2" t="s">
        <v>3572</v>
      </c>
      <c r="C256" s="2" t="s">
        <v>3578</v>
      </c>
      <c r="D256" s="2"/>
      <c r="E256" s="54"/>
      <c r="F256" s="54"/>
      <c r="G256" s="3"/>
      <c r="H256" s="3"/>
      <c r="I256" s="3"/>
      <c r="J256" s="2"/>
      <c r="K256" s="2"/>
      <c r="L256" s="2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>
      <c r="A257" s="2" t="s">
        <v>3233</v>
      </c>
      <c r="B257" s="2" t="s">
        <v>3572</v>
      </c>
      <c r="C257" s="2" t="s">
        <v>3579</v>
      </c>
      <c r="D257" s="2"/>
      <c r="E257" s="54"/>
      <c r="F257" s="54"/>
      <c r="G257" s="3"/>
      <c r="H257" s="3"/>
      <c r="I257" s="3"/>
      <c r="J257" s="2"/>
      <c r="K257" s="2"/>
      <c r="L257" s="2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>
      <c r="A258" s="2" t="s">
        <v>3233</v>
      </c>
      <c r="B258" s="2" t="s">
        <v>3572</v>
      </c>
      <c r="C258" s="2" t="s">
        <v>3017</v>
      </c>
      <c r="D258" s="2"/>
      <c r="E258" s="54"/>
      <c r="F258" s="54"/>
      <c r="G258" s="3"/>
      <c r="H258" s="3"/>
      <c r="I258" s="3"/>
      <c r="J258" s="2"/>
      <c r="K258" s="2"/>
      <c r="L258" s="2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1:25">
      <c r="A259" s="2" t="s">
        <v>3233</v>
      </c>
      <c r="B259" s="2" t="s">
        <v>3572</v>
      </c>
      <c r="C259" s="2" t="s">
        <v>2911</v>
      </c>
      <c r="D259" s="2"/>
      <c r="E259" s="54"/>
      <c r="F259" s="54"/>
      <c r="G259" s="3"/>
      <c r="H259" s="3"/>
      <c r="I259" s="3"/>
      <c r="J259" s="2"/>
      <c r="K259" s="2"/>
      <c r="L259" s="2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1:25">
      <c r="A260" s="2" t="s">
        <v>3233</v>
      </c>
      <c r="B260" s="2" t="s">
        <v>3572</v>
      </c>
      <c r="C260" s="2" t="s">
        <v>3580</v>
      </c>
      <c r="D260" s="2"/>
      <c r="E260" s="54"/>
      <c r="F260" s="54"/>
      <c r="G260" s="3"/>
      <c r="H260" s="3"/>
      <c r="I260" s="3"/>
      <c r="J260" s="2"/>
      <c r="K260" s="2"/>
      <c r="L260" s="2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1:25">
      <c r="A261" s="2" t="s">
        <v>3233</v>
      </c>
      <c r="B261" s="2" t="s">
        <v>3572</v>
      </c>
      <c r="C261" s="2" t="s">
        <v>3581</v>
      </c>
      <c r="D261" s="2"/>
      <c r="E261" s="54"/>
      <c r="F261" s="54"/>
      <c r="G261" s="3"/>
      <c r="H261" s="3"/>
      <c r="I261" s="3"/>
      <c r="J261" s="2"/>
      <c r="K261" s="2"/>
      <c r="L261" s="2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spans="1:25">
      <c r="A262" s="2" t="s">
        <v>3233</v>
      </c>
      <c r="B262" s="2" t="s">
        <v>3572</v>
      </c>
      <c r="C262" s="2" t="s">
        <v>3582</v>
      </c>
      <c r="D262" s="2"/>
      <c r="E262" s="54"/>
      <c r="F262" s="54"/>
      <c r="G262" s="3"/>
      <c r="H262" s="3"/>
      <c r="I262" s="3"/>
      <c r="J262" s="2"/>
      <c r="K262" s="2"/>
      <c r="L262" s="2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1:25">
      <c r="A263" s="2" t="s">
        <v>3233</v>
      </c>
      <c r="B263" s="2" t="s">
        <v>3572</v>
      </c>
      <c r="C263" s="2" t="s">
        <v>3583</v>
      </c>
      <c r="D263" s="2"/>
      <c r="E263" s="54"/>
      <c r="F263" s="54"/>
      <c r="G263" s="3"/>
      <c r="H263" s="3"/>
      <c r="I263" s="3"/>
      <c r="J263" s="2"/>
      <c r="K263" s="2"/>
      <c r="L263" s="2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>
      <c r="A264" s="47" t="s">
        <v>3233</v>
      </c>
      <c r="B264" s="47" t="s">
        <v>3584</v>
      </c>
      <c r="C264" s="2" t="s">
        <v>3585</v>
      </c>
      <c r="D264" s="47"/>
      <c r="E264" s="54"/>
      <c r="F264" s="54"/>
      <c r="G264" s="3"/>
      <c r="H264" s="3"/>
      <c r="I264" s="3"/>
      <c r="J264" s="2"/>
      <c r="K264" s="2"/>
      <c r="L264" s="2"/>
      <c r="M264" s="18">
        <f t="shared" si="161"/>
        <v>344468459.92000002</v>
      </c>
      <c r="N264" s="18">
        <v>32416852</v>
      </c>
      <c r="O264" s="18">
        <v>25194052</v>
      </c>
      <c r="P264" s="18">
        <v>18168852</v>
      </c>
      <c r="Q264" s="18">
        <v>27107652</v>
      </c>
      <c r="R264" s="18">
        <v>17867252</v>
      </c>
      <c r="S264" s="18">
        <v>19567652</v>
      </c>
      <c r="T264" s="18">
        <v>30418492</v>
      </c>
      <c r="U264" s="18">
        <v>17446052</v>
      </c>
      <c r="V264" s="18">
        <v>17024852</v>
      </c>
      <c r="W264" s="18">
        <v>32095013.600000001</v>
      </c>
      <c r="X264" s="18">
        <v>57081526.32</v>
      </c>
      <c r="Y264" s="18">
        <v>50080212</v>
      </c>
    </row>
    <row r="265" spans="1:25">
      <c r="A265" s="2" t="s">
        <v>3233</v>
      </c>
      <c r="B265" s="2" t="s">
        <v>3584</v>
      </c>
      <c r="C265" s="2" t="s">
        <v>3586</v>
      </c>
      <c r="D265" s="2"/>
      <c r="E265" s="54"/>
      <c r="F265" s="54"/>
      <c r="G265" s="3"/>
      <c r="H265" s="3"/>
      <c r="I265" s="3"/>
      <c r="J265" s="2"/>
      <c r="K265" s="2"/>
      <c r="L265" s="2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1:25">
      <c r="A266" s="2" t="s">
        <v>3233</v>
      </c>
      <c r="B266" s="2" t="s">
        <v>3584</v>
      </c>
      <c r="C266" s="2" t="s">
        <v>3587</v>
      </c>
      <c r="D266" s="2"/>
      <c r="E266" s="54"/>
      <c r="F266" s="54"/>
      <c r="G266" s="3"/>
      <c r="H266" s="3"/>
      <c r="I266" s="3"/>
      <c r="J266" s="2"/>
      <c r="K266" s="2"/>
      <c r="L266" s="2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1:25">
      <c r="A267" s="2" t="s">
        <v>3233</v>
      </c>
      <c r="B267" s="2" t="s">
        <v>3584</v>
      </c>
      <c r="C267" s="2" t="s">
        <v>3588</v>
      </c>
      <c r="D267" s="2"/>
      <c r="E267" s="54"/>
      <c r="F267" s="54"/>
      <c r="G267" s="3"/>
      <c r="H267" s="3"/>
      <c r="I267" s="3"/>
      <c r="J267" s="2"/>
      <c r="K267" s="2"/>
      <c r="L267" s="2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>
      <c r="A268" s="2" t="s">
        <v>3233</v>
      </c>
      <c r="B268" s="2" t="s">
        <v>3584</v>
      </c>
      <c r="C268" s="2" t="s">
        <v>3589</v>
      </c>
      <c r="D268" s="2"/>
      <c r="E268" s="54"/>
      <c r="F268" s="54"/>
      <c r="G268" s="3"/>
      <c r="H268" s="3"/>
      <c r="I268" s="3"/>
      <c r="J268" s="2"/>
      <c r="K268" s="2"/>
      <c r="L268" s="2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1:25">
      <c r="A269" s="2" t="s">
        <v>3233</v>
      </c>
      <c r="B269" s="2" t="s">
        <v>3584</v>
      </c>
      <c r="C269" s="2" t="s">
        <v>3590</v>
      </c>
      <c r="D269" s="2"/>
      <c r="E269" s="54"/>
      <c r="F269" s="54"/>
      <c r="G269" s="3"/>
      <c r="H269" s="3"/>
      <c r="I269" s="3"/>
      <c r="J269" s="2"/>
      <c r="K269" s="2"/>
      <c r="L269" s="2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1:25">
      <c r="A270" s="2" t="s">
        <v>3233</v>
      </c>
      <c r="B270" s="2" t="s">
        <v>3584</v>
      </c>
      <c r="C270" s="2" t="s">
        <v>3591</v>
      </c>
      <c r="D270" s="2"/>
      <c r="E270" s="54"/>
      <c r="F270" s="54"/>
      <c r="G270" s="3"/>
      <c r="H270" s="3"/>
      <c r="I270" s="3"/>
      <c r="J270" s="2"/>
      <c r="K270" s="2"/>
      <c r="L270" s="2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1:25">
      <c r="A271" s="2" t="s">
        <v>3233</v>
      </c>
      <c r="B271" s="2" t="s">
        <v>3584</v>
      </c>
      <c r="C271" s="2" t="s">
        <v>3592</v>
      </c>
      <c r="D271" s="2"/>
      <c r="E271" s="54"/>
      <c r="F271" s="54"/>
      <c r="G271" s="3"/>
      <c r="H271" s="3"/>
      <c r="I271" s="3"/>
      <c r="J271" s="2"/>
      <c r="K271" s="2"/>
      <c r="L271" s="2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>
      <c r="A272" s="2" t="s">
        <v>3233</v>
      </c>
      <c r="B272" s="2" t="s">
        <v>3584</v>
      </c>
      <c r="C272" s="2" t="s">
        <v>3593</v>
      </c>
      <c r="D272" s="2"/>
      <c r="E272" s="54"/>
      <c r="F272" s="54"/>
      <c r="G272" s="3"/>
      <c r="H272" s="3"/>
      <c r="I272" s="3"/>
      <c r="J272" s="2"/>
      <c r="K272" s="2"/>
      <c r="L272" s="2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>
      <c r="A273" s="2" t="s">
        <v>3233</v>
      </c>
      <c r="B273" s="2" t="s">
        <v>3584</v>
      </c>
      <c r="C273" s="2" t="s">
        <v>3594</v>
      </c>
      <c r="D273" s="2"/>
      <c r="E273" s="54"/>
      <c r="F273" s="54"/>
      <c r="G273" s="3"/>
      <c r="H273" s="3"/>
      <c r="I273" s="3"/>
      <c r="J273" s="2"/>
      <c r="K273" s="2"/>
      <c r="L273" s="2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spans="1:25">
      <c r="A274" s="2" t="s">
        <v>3233</v>
      </c>
      <c r="B274" s="2" t="s">
        <v>3584</v>
      </c>
      <c r="C274" s="2" t="s">
        <v>3595</v>
      </c>
      <c r="D274" s="2"/>
      <c r="E274" s="54"/>
      <c r="F274" s="54"/>
      <c r="G274" s="3"/>
      <c r="H274" s="3"/>
      <c r="I274" s="3"/>
      <c r="J274" s="2"/>
      <c r="K274" s="2"/>
      <c r="L274" s="2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1:25">
      <c r="A275" s="2" t="s">
        <v>3233</v>
      </c>
      <c r="B275" s="2" t="s">
        <v>3584</v>
      </c>
      <c r="C275" s="2" t="s">
        <v>3596</v>
      </c>
      <c r="D275" s="2"/>
      <c r="E275" s="54"/>
      <c r="F275" s="54"/>
      <c r="G275" s="3"/>
      <c r="H275" s="3"/>
      <c r="I275" s="3"/>
      <c r="J275" s="2"/>
      <c r="K275" s="2"/>
      <c r="L275" s="2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1:25">
      <c r="A276" s="2" t="s">
        <v>3233</v>
      </c>
      <c r="B276" s="2" t="s">
        <v>3584</v>
      </c>
      <c r="C276" s="2" t="s">
        <v>3597</v>
      </c>
      <c r="D276" s="2"/>
      <c r="E276" s="54"/>
      <c r="F276" s="54"/>
      <c r="G276" s="3"/>
      <c r="H276" s="3"/>
      <c r="I276" s="3"/>
      <c r="J276" s="2"/>
      <c r="K276" s="2"/>
      <c r="L276" s="2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>
      <c r="A277" s="2" t="s">
        <v>3233</v>
      </c>
      <c r="B277" s="2" t="s">
        <v>3584</v>
      </c>
      <c r="C277" s="2" t="s">
        <v>3598</v>
      </c>
      <c r="D277" s="2"/>
      <c r="E277" s="54"/>
      <c r="F277" s="54"/>
      <c r="G277" s="3"/>
      <c r="H277" s="3"/>
      <c r="I277" s="3"/>
      <c r="J277" s="2"/>
      <c r="K277" s="2"/>
      <c r="L277" s="2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spans="1:25">
      <c r="A278" s="2" t="s">
        <v>3233</v>
      </c>
      <c r="B278" s="2" t="s">
        <v>3584</v>
      </c>
      <c r="C278" s="2" t="s">
        <v>3599</v>
      </c>
      <c r="D278" s="2"/>
      <c r="E278" s="54"/>
      <c r="F278" s="54"/>
      <c r="G278" s="3"/>
      <c r="H278" s="3"/>
      <c r="I278" s="3"/>
      <c r="J278" s="2"/>
      <c r="K278" s="2"/>
      <c r="L278" s="2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spans="1:25">
      <c r="A279" s="2" t="s">
        <v>3233</v>
      </c>
      <c r="B279" s="2" t="s">
        <v>3584</v>
      </c>
      <c r="C279" s="2" t="s">
        <v>3600</v>
      </c>
      <c r="D279" s="2"/>
      <c r="E279" s="54"/>
      <c r="F279" s="54"/>
      <c r="G279" s="3"/>
      <c r="H279" s="3"/>
      <c r="I279" s="3"/>
      <c r="J279" s="2"/>
      <c r="K279" s="2"/>
      <c r="L279" s="2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>
      <c r="A280" s="2" t="s">
        <v>3233</v>
      </c>
      <c r="B280" s="2" t="s">
        <v>3584</v>
      </c>
      <c r="C280" s="2" t="s">
        <v>3601</v>
      </c>
      <c r="D280" s="2"/>
      <c r="E280" s="54"/>
      <c r="F280" s="54"/>
      <c r="G280" s="3"/>
      <c r="H280" s="3"/>
      <c r="I280" s="3"/>
      <c r="J280" s="2"/>
      <c r="K280" s="2"/>
      <c r="L280" s="2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>
      <c r="A281" s="2" t="s">
        <v>3233</v>
      </c>
      <c r="B281" s="2" t="s">
        <v>3584</v>
      </c>
      <c r="C281" s="2" t="s">
        <v>3602</v>
      </c>
      <c r="D281" s="61"/>
      <c r="E281" s="54"/>
      <c r="F281" s="54"/>
      <c r="G281" s="3"/>
      <c r="H281" s="3"/>
      <c r="I281" s="3"/>
      <c r="J281" s="2"/>
      <c r="K281" s="2"/>
      <c r="L281" s="2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1:25">
      <c r="A282" s="2" t="s">
        <v>3233</v>
      </c>
      <c r="B282" s="2" t="s">
        <v>3584</v>
      </c>
      <c r="C282" s="2" t="s">
        <v>3603</v>
      </c>
      <c r="D282" s="61"/>
      <c r="E282" s="54"/>
      <c r="F282" s="54"/>
      <c r="G282" s="3"/>
      <c r="H282" s="3"/>
      <c r="I282" s="3"/>
      <c r="J282" s="2"/>
      <c r="K282" s="2"/>
      <c r="L282" s="2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spans="1:25">
      <c r="A283" s="2" t="s">
        <v>3233</v>
      </c>
      <c r="B283" s="2" t="s">
        <v>3584</v>
      </c>
      <c r="C283" s="2" t="s">
        <v>3604</v>
      </c>
      <c r="D283" s="61"/>
      <c r="E283" s="54"/>
      <c r="F283" s="54"/>
      <c r="G283" s="3"/>
      <c r="H283" s="3"/>
      <c r="I283" s="3"/>
      <c r="J283" s="2"/>
      <c r="K283" s="2"/>
      <c r="L283" s="2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1:25">
      <c r="A284" s="2" t="s">
        <v>3233</v>
      </c>
      <c r="B284" s="2" t="s">
        <v>3584</v>
      </c>
      <c r="C284" s="2" t="s">
        <v>3605</v>
      </c>
      <c r="D284" s="61"/>
      <c r="E284" s="54"/>
      <c r="F284" s="54"/>
      <c r="G284" s="3"/>
      <c r="H284" s="3"/>
      <c r="I284" s="3"/>
      <c r="J284" s="2"/>
      <c r="K284" s="2"/>
      <c r="L284" s="2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1:25">
      <c r="A285" s="2" t="s">
        <v>3233</v>
      </c>
      <c r="B285" s="2" t="s">
        <v>3584</v>
      </c>
      <c r="C285" s="2" t="s">
        <v>3606</v>
      </c>
      <c r="D285" s="61"/>
      <c r="E285" s="54"/>
      <c r="F285" s="54"/>
      <c r="G285" s="3"/>
      <c r="H285" s="3"/>
      <c r="I285" s="3"/>
      <c r="J285" s="2"/>
      <c r="K285" s="2"/>
      <c r="L285" s="2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spans="1:25">
      <c r="A286" s="2" t="s">
        <v>3233</v>
      </c>
      <c r="B286" s="2" t="s">
        <v>3584</v>
      </c>
      <c r="C286" s="2" t="s">
        <v>3607</v>
      </c>
      <c r="D286" s="61"/>
      <c r="E286" s="54"/>
      <c r="F286" s="54"/>
      <c r="G286" s="3"/>
      <c r="H286" s="3"/>
      <c r="I286" s="3"/>
      <c r="J286" s="2"/>
      <c r="K286" s="2"/>
      <c r="L286" s="2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1:25">
      <c r="A287" s="2" t="s">
        <v>3233</v>
      </c>
      <c r="B287" s="2" t="s">
        <v>3584</v>
      </c>
      <c r="C287" s="2" t="s">
        <v>3608</v>
      </c>
      <c r="D287" s="61"/>
      <c r="E287" s="54"/>
      <c r="F287" s="54"/>
      <c r="G287" s="3"/>
      <c r="H287" s="3"/>
      <c r="I287" s="3"/>
      <c r="J287" s="2"/>
      <c r="K287" s="2"/>
      <c r="L287" s="2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1:25">
      <c r="A288" s="2" t="s">
        <v>3233</v>
      </c>
      <c r="B288" s="2" t="s">
        <v>3584</v>
      </c>
      <c r="C288" s="2" t="s">
        <v>3609</v>
      </c>
      <c r="D288" s="61"/>
      <c r="E288" s="54"/>
      <c r="F288" s="54"/>
      <c r="G288" s="3"/>
      <c r="H288" s="3"/>
      <c r="I288" s="3"/>
      <c r="J288" s="2"/>
      <c r="K288" s="2"/>
      <c r="L288" s="2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1:25">
      <c r="A289" s="2" t="s">
        <v>3233</v>
      </c>
      <c r="B289" s="2" t="s">
        <v>3584</v>
      </c>
      <c r="C289" s="2" t="s">
        <v>3610</v>
      </c>
      <c r="D289" s="61"/>
      <c r="E289" s="54"/>
      <c r="F289" s="54"/>
      <c r="G289" s="3"/>
      <c r="H289" s="3"/>
      <c r="I289" s="3"/>
      <c r="J289" s="2"/>
      <c r="K289" s="2"/>
      <c r="L289" s="2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25">
      <c r="A290" s="2" t="s">
        <v>3233</v>
      </c>
      <c r="B290" s="2" t="s">
        <v>3584</v>
      </c>
      <c r="C290" s="2" t="s">
        <v>3611</v>
      </c>
      <c r="D290" s="61"/>
      <c r="E290" s="54"/>
      <c r="F290" s="54"/>
      <c r="G290" s="3"/>
      <c r="H290" s="3"/>
      <c r="I290" s="3"/>
      <c r="J290" s="2"/>
      <c r="K290" s="2"/>
      <c r="L290" s="2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25">
      <c r="A291" s="2" t="s">
        <v>3233</v>
      </c>
      <c r="B291" s="2" t="s">
        <v>3584</v>
      </c>
      <c r="C291" s="2" t="s">
        <v>3612</v>
      </c>
      <c r="D291" s="61"/>
      <c r="E291" s="54"/>
      <c r="F291" s="54"/>
      <c r="G291" s="3"/>
      <c r="H291" s="3"/>
      <c r="I291" s="3"/>
      <c r="J291" s="2"/>
      <c r="K291" s="2"/>
      <c r="L291" s="2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1:25">
      <c r="A292" s="2" t="s">
        <v>3233</v>
      </c>
      <c r="B292" s="2" t="s">
        <v>3584</v>
      </c>
      <c r="C292" s="2" t="s">
        <v>275</v>
      </c>
      <c r="D292" s="61"/>
      <c r="E292" s="54"/>
      <c r="F292" s="54"/>
      <c r="G292" s="3"/>
      <c r="H292" s="3"/>
      <c r="I292" s="3"/>
      <c r="J292" s="2"/>
      <c r="K292" s="2"/>
      <c r="L292" s="2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1:25">
      <c r="A293" s="2" t="s">
        <v>3233</v>
      </c>
      <c r="B293" s="2" t="s">
        <v>3584</v>
      </c>
      <c r="C293" s="2" t="s">
        <v>2603</v>
      </c>
      <c r="D293" s="61"/>
      <c r="E293" s="54"/>
      <c r="F293" s="54"/>
      <c r="G293" s="3"/>
      <c r="H293" s="3"/>
      <c r="I293" s="3"/>
      <c r="J293" s="2"/>
      <c r="K293" s="2"/>
      <c r="L293" s="2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1:25">
      <c r="A294" s="2" t="s">
        <v>3233</v>
      </c>
      <c r="B294" s="2" t="s">
        <v>3584</v>
      </c>
      <c r="C294" s="2" t="s">
        <v>3613</v>
      </c>
      <c r="D294" s="61"/>
      <c r="E294" s="54"/>
      <c r="F294" s="54"/>
      <c r="G294" s="3"/>
      <c r="H294" s="3"/>
      <c r="I294" s="3"/>
      <c r="J294" s="2"/>
      <c r="K294" s="2"/>
      <c r="L294" s="2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spans="1:25">
      <c r="A295" s="2" t="s">
        <v>3233</v>
      </c>
      <c r="B295" s="2" t="s">
        <v>3584</v>
      </c>
      <c r="C295" s="2" t="s">
        <v>3614</v>
      </c>
      <c r="D295" s="61"/>
      <c r="E295" s="54"/>
      <c r="F295" s="54"/>
      <c r="G295" s="3"/>
      <c r="H295" s="3"/>
      <c r="I295" s="3"/>
      <c r="J295" s="2"/>
      <c r="K295" s="2"/>
      <c r="L295" s="2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1:25">
      <c r="A296" s="2" t="s">
        <v>3233</v>
      </c>
      <c r="B296" s="2" t="s">
        <v>3584</v>
      </c>
      <c r="C296" s="2" t="s">
        <v>1814</v>
      </c>
      <c r="D296" s="61"/>
      <c r="E296" s="54"/>
      <c r="F296" s="54"/>
      <c r="G296" s="3"/>
      <c r="H296" s="3"/>
      <c r="I296" s="3"/>
      <c r="J296" s="2"/>
      <c r="K296" s="2"/>
      <c r="L296" s="2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1:25">
      <c r="A297" s="2" t="s">
        <v>3233</v>
      </c>
      <c r="B297" s="2" t="s">
        <v>3584</v>
      </c>
      <c r="C297" s="2" t="s">
        <v>3615</v>
      </c>
      <c r="D297" s="61"/>
      <c r="E297" s="54"/>
      <c r="F297" s="54"/>
      <c r="G297" s="3"/>
      <c r="H297" s="3"/>
      <c r="I297" s="3"/>
      <c r="J297" s="2"/>
      <c r="K297" s="2"/>
      <c r="L297" s="2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1:25">
      <c r="A298" s="2" t="s">
        <v>3233</v>
      </c>
      <c r="B298" s="2" t="s">
        <v>3584</v>
      </c>
      <c r="C298" s="2" t="s">
        <v>3616</v>
      </c>
      <c r="D298" s="61"/>
      <c r="E298" s="54"/>
      <c r="F298" s="54"/>
      <c r="G298" s="3"/>
      <c r="H298" s="3"/>
      <c r="I298" s="3"/>
      <c r="J298" s="2"/>
      <c r="K298" s="2"/>
      <c r="L298" s="2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1:25">
      <c r="A299" s="2" t="s">
        <v>3233</v>
      </c>
      <c r="B299" s="2" t="s">
        <v>3584</v>
      </c>
      <c r="C299" s="2" t="s">
        <v>3617</v>
      </c>
      <c r="D299" s="61"/>
      <c r="E299" s="54"/>
      <c r="F299" s="54"/>
      <c r="G299" s="3"/>
      <c r="H299" s="3"/>
      <c r="I299" s="3"/>
      <c r="J299" s="2"/>
      <c r="K299" s="2"/>
      <c r="L299" s="2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1:25">
      <c r="A300" s="2" t="s">
        <v>3233</v>
      </c>
      <c r="B300" s="2" t="s">
        <v>3584</v>
      </c>
      <c r="C300" s="2" t="s">
        <v>3618</v>
      </c>
      <c r="D300" s="61"/>
      <c r="E300" s="54"/>
      <c r="F300" s="54"/>
      <c r="G300" s="3"/>
      <c r="H300" s="3"/>
      <c r="I300" s="3"/>
      <c r="J300" s="2"/>
      <c r="K300" s="2"/>
      <c r="L300" s="2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1:25">
      <c r="A301" s="2" t="s">
        <v>3233</v>
      </c>
      <c r="B301" s="2" t="s">
        <v>3584</v>
      </c>
      <c r="C301" s="2" t="s">
        <v>3619</v>
      </c>
      <c r="D301" s="61"/>
      <c r="E301" s="54"/>
      <c r="F301" s="54"/>
      <c r="G301" s="3"/>
      <c r="H301" s="3"/>
      <c r="I301" s="3"/>
      <c r="J301" s="2"/>
      <c r="K301" s="2"/>
      <c r="L301" s="2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25">
      <c r="A302" s="2" t="s">
        <v>3233</v>
      </c>
      <c r="B302" s="2" t="s">
        <v>3584</v>
      </c>
      <c r="C302" s="2" t="s">
        <v>3620</v>
      </c>
      <c r="D302" s="61"/>
      <c r="E302" s="54"/>
      <c r="F302" s="54"/>
      <c r="G302" s="3"/>
      <c r="H302" s="3"/>
      <c r="I302" s="3"/>
      <c r="J302" s="2"/>
      <c r="K302" s="2"/>
      <c r="L302" s="2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25">
      <c r="A303" s="2" t="s">
        <v>3233</v>
      </c>
      <c r="B303" s="2" t="s">
        <v>3584</v>
      </c>
      <c r="C303" s="2" t="s">
        <v>3621</v>
      </c>
      <c r="D303" s="61"/>
      <c r="E303" s="54"/>
      <c r="F303" s="54"/>
      <c r="G303" s="3"/>
      <c r="H303" s="3"/>
      <c r="I303" s="3"/>
      <c r="J303" s="2"/>
      <c r="K303" s="2"/>
      <c r="L303" s="2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25">
      <c r="A304" s="2" t="s">
        <v>3233</v>
      </c>
      <c r="B304" s="2" t="s">
        <v>3584</v>
      </c>
      <c r="C304" s="2" t="s">
        <v>3622</v>
      </c>
      <c r="D304" s="61"/>
      <c r="E304" s="54"/>
      <c r="F304" s="54"/>
      <c r="G304" s="3"/>
      <c r="H304" s="3"/>
      <c r="I304" s="3"/>
      <c r="J304" s="2"/>
      <c r="K304" s="2"/>
      <c r="L304" s="2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25">
      <c r="A305" s="2" t="s">
        <v>3233</v>
      </c>
      <c r="B305" s="2" t="s">
        <v>3584</v>
      </c>
      <c r="C305" s="2" t="s">
        <v>3623</v>
      </c>
      <c r="D305" s="61"/>
      <c r="E305" s="54"/>
      <c r="F305" s="54"/>
      <c r="G305" s="3"/>
      <c r="H305" s="3"/>
      <c r="I305" s="3"/>
      <c r="J305" s="2"/>
      <c r="K305" s="2"/>
      <c r="L305" s="2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spans="1:25">
      <c r="A306" s="47" t="s">
        <v>3233</v>
      </c>
      <c r="B306" s="47" t="s">
        <v>3624</v>
      </c>
      <c r="C306" s="2" t="s">
        <v>3625</v>
      </c>
      <c r="D306" s="61"/>
      <c r="E306" s="54"/>
      <c r="F306" s="54"/>
      <c r="G306" s="3"/>
      <c r="H306" s="3"/>
      <c r="I306" s="3"/>
      <c r="J306" s="2"/>
      <c r="K306" s="2"/>
      <c r="L306" s="2"/>
      <c r="M306" s="18">
        <f t="shared" si="39"/>
        <v>128716224</v>
      </c>
      <c r="N306" s="18">
        <v>11493352</v>
      </c>
      <c r="O306" s="18">
        <v>10505352</v>
      </c>
      <c r="P306" s="18">
        <v>10505352</v>
      </c>
      <c r="Q306" s="18">
        <v>10505352</v>
      </c>
      <c r="R306" s="18">
        <v>10505352</v>
      </c>
      <c r="S306" s="18">
        <v>10505352</v>
      </c>
      <c r="T306" s="18">
        <v>10505352</v>
      </c>
      <c r="U306" s="18">
        <v>10505352</v>
      </c>
      <c r="V306" s="18">
        <v>10505352</v>
      </c>
      <c r="W306" s="18">
        <v>10505352</v>
      </c>
      <c r="X306" s="18">
        <v>12169352</v>
      </c>
      <c r="Y306" s="18">
        <v>10505352</v>
      </c>
    </row>
    <row r="307" spans="1:25">
      <c r="A307" s="2" t="s">
        <v>3233</v>
      </c>
      <c r="B307" s="2" t="s">
        <v>3624</v>
      </c>
      <c r="C307" s="2" t="s">
        <v>3626</v>
      </c>
      <c r="D307" s="61"/>
      <c r="E307" s="54"/>
      <c r="F307" s="54"/>
      <c r="G307" s="3"/>
      <c r="H307" s="3"/>
      <c r="I307" s="3"/>
      <c r="J307" s="2"/>
      <c r="K307" s="2"/>
      <c r="L307" s="2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spans="1:25">
      <c r="A308" s="2" t="s">
        <v>3233</v>
      </c>
      <c r="B308" s="2" t="s">
        <v>3624</v>
      </c>
      <c r="C308" s="2" t="s">
        <v>3627</v>
      </c>
      <c r="D308" s="61"/>
      <c r="E308" s="54"/>
      <c r="F308" s="54"/>
      <c r="G308" s="3"/>
      <c r="H308" s="3"/>
      <c r="I308" s="3"/>
      <c r="J308" s="2"/>
      <c r="K308" s="2"/>
      <c r="L308" s="2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spans="1:25">
      <c r="A309" s="2" t="s">
        <v>3233</v>
      </c>
      <c r="B309" s="2" t="s">
        <v>3624</v>
      </c>
      <c r="C309" s="2" t="s">
        <v>3628</v>
      </c>
      <c r="D309" s="61"/>
      <c r="E309" s="54"/>
      <c r="F309" s="54"/>
      <c r="G309" s="3"/>
      <c r="H309" s="3"/>
      <c r="I309" s="3"/>
      <c r="J309" s="2"/>
      <c r="K309" s="2"/>
      <c r="L309" s="2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spans="1:25">
      <c r="A310" s="2" t="s">
        <v>3233</v>
      </c>
      <c r="B310" s="2" t="s">
        <v>3624</v>
      </c>
      <c r="C310" s="2" t="s">
        <v>3629</v>
      </c>
      <c r="D310" s="61"/>
      <c r="E310" s="54"/>
      <c r="F310" s="54"/>
      <c r="G310" s="3"/>
      <c r="H310" s="3"/>
      <c r="I310" s="3"/>
      <c r="J310" s="2"/>
      <c r="K310" s="2"/>
      <c r="L310" s="2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spans="1:25">
      <c r="A311" s="2" t="s">
        <v>3233</v>
      </c>
      <c r="B311" s="2" t="s">
        <v>3624</v>
      </c>
      <c r="C311" s="2" t="s">
        <v>3630</v>
      </c>
      <c r="D311" s="61"/>
      <c r="E311" s="54"/>
      <c r="F311" s="54"/>
      <c r="G311" s="3"/>
      <c r="H311" s="3"/>
      <c r="I311" s="3"/>
      <c r="J311" s="2"/>
      <c r="K311" s="2"/>
      <c r="L311" s="2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spans="1:25">
      <c r="A312" s="2" t="s">
        <v>3233</v>
      </c>
      <c r="B312" s="2" t="s">
        <v>3624</v>
      </c>
      <c r="C312" s="2" t="s">
        <v>3631</v>
      </c>
      <c r="D312" s="61"/>
      <c r="E312" s="54"/>
      <c r="F312" s="54"/>
      <c r="G312" s="3"/>
      <c r="H312" s="3"/>
      <c r="I312" s="3"/>
      <c r="J312" s="2"/>
      <c r="K312" s="2"/>
      <c r="L312" s="2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spans="1:25">
      <c r="A313" s="2" t="s">
        <v>3233</v>
      </c>
      <c r="B313" s="2" t="s">
        <v>3624</v>
      </c>
      <c r="C313" s="2" t="s">
        <v>3632</v>
      </c>
      <c r="D313" s="61"/>
      <c r="E313" s="54"/>
      <c r="F313" s="54"/>
      <c r="G313" s="3"/>
      <c r="H313" s="3"/>
      <c r="I313" s="3"/>
      <c r="J313" s="2"/>
      <c r="K313" s="2"/>
      <c r="L313" s="2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spans="1:25">
      <c r="B314" s="2" t="s">
        <v>3633</v>
      </c>
      <c r="M314" s="19">
        <f>SUM(M8:M306)</f>
        <v>17461996016.421692</v>
      </c>
    </row>
    <row r="316" spans="1:25">
      <c r="M316" s="20"/>
    </row>
  </sheetData>
  <pageMargins left="0.7" right="0.7" top="0.75" bottom="0.75" header="0.3" footer="0.3"/>
  <ignoredErrors>
    <ignoredError sqref="W10:Y10 I12 H13:I13 N13:O13 P12:X12 X11:Y11 M36 M47 I14 M58" formula="1"/>
    <ignoredError sqref="N47:Y47" formula="1" formulaRange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9E0C-14D4-4234-ABE0-FCFF8C5B833C}">
  <dimension ref="A2:Y16"/>
  <sheetViews>
    <sheetView showGridLines="0" workbookViewId="0">
      <selection activeCell="B24" sqref="B24"/>
    </sheetView>
  </sheetViews>
  <sheetFormatPr defaultColWidth="8.7109375" defaultRowHeight="14.45"/>
  <cols>
    <col min="1" max="1" width="26" bestFit="1" customWidth="1"/>
    <col min="2" max="2" width="49.28515625" customWidth="1"/>
    <col min="3" max="3" width="8.7109375" customWidth="1"/>
    <col min="4" max="4" width="36.7109375" hidden="1" customWidth="1"/>
    <col min="5" max="5" width="7.140625" hidden="1" customWidth="1"/>
    <col min="6" max="6" width="12.85546875" hidden="1" customWidth="1"/>
    <col min="7" max="8" width="14.85546875" style="12" hidden="1" customWidth="1"/>
    <col min="9" max="9" width="14.5703125" style="12" hidden="1" customWidth="1"/>
    <col min="10" max="10" width="51.5703125" hidden="1" customWidth="1"/>
    <col min="11" max="11" width="38.85546875" hidden="1" customWidth="1"/>
    <col min="12" max="12" width="2.140625" hidden="1" customWidth="1"/>
    <col min="13" max="13" width="17.7109375" customWidth="1"/>
    <col min="14" max="25" width="13.85546875" customWidth="1"/>
  </cols>
  <sheetData>
    <row r="2" spans="1:25">
      <c r="B2" s="1" t="s">
        <v>3263</v>
      </c>
      <c r="C2" s="6"/>
    </row>
    <row r="3" spans="1:25">
      <c r="B3" s="2" t="s">
        <v>3264</v>
      </c>
      <c r="C3" s="8" t="s">
        <v>3265</v>
      </c>
    </row>
    <row r="4" spans="1:25">
      <c r="B4" s="2" t="s">
        <v>3266</v>
      </c>
      <c r="C4" s="10">
        <v>0.08</v>
      </c>
    </row>
    <row r="5" spans="1:25">
      <c r="B5" s="2" t="s">
        <v>3267</v>
      </c>
      <c r="C5" s="9" t="s">
        <v>3268</v>
      </c>
    </row>
    <row r="6" spans="1:25">
      <c r="G6" s="13"/>
      <c r="H6" s="13"/>
      <c r="I6" s="13"/>
    </row>
    <row r="7" spans="1:25" ht="30" customHeight="1">
      <c r="A7" s="15" t="s">
        <v>3269</v>
      </c>
      <c r="B7" s="15" t="s">
        <v>3270</v>
      </c>
      <c r="C7" s="15" t="s">
        <v>3271</v>
      </c>
      <c r="D7" s="15" t="s">
        <v>1</v>
      </c>
      <c r="E7" s="15" t="s">
        <v>3272</v>
      </c>
      <c r="F7" s="15" t="s">
        <v>3273</v>
      </c>
      <c r="G7" s="15" t="s">
        <v>3274</v>
      </c>
      <c r="H7" s="15" t="s">
        <v>3275</v>
      </c>
      <c r="I7" s="15" t="s">
        <v>3276</v>
      </c>
      <c r="J7" s="15" t="s">
        <v>3277</v>
      </c>
      <c r="K7" s="15" t="s">
        <v>3278</v>
      </c>
      <c r="L7" s="15" t="s">
        <v>3279</v>
      </c>
      <c r="M7" s="32" t="s">
        <v>3280</v>
      </c>
      <c r="N7" s="15" t="s">
        <v>3281</v>
      </c>
      <c r="O7" s="15" t="s">
        <v>3282</v>
      </c>
      <c r="P7" s="15" t="s">
        <v>3283</v>
      </c>
      <c r="Q7" s="15" t="s">
        <v>3284</v>
      </c>
      <c r="R7" s="15" t="s">
        <v>3285</v>
      </c>
      <c r="S7" s="15" t="s">
        <v>3286</v>
      </c>
      <c r="T7" s="15" t="s">
        <v>3287</v>
      </c>
      <c r="U7" s="15" t="s">
        <v>3288</v>
      </c>
      <c r="V7" s="15" t="s">
        <v>3289</v>
      </c>
      <c r="W7" s="15" t="s">
        <v>3290</v>
      </c>
      <c r="X7" s="15" t="s">
        <v>3291</v>
      </c>
      <c r="Y7" s="15" t="s">
        <v>3292</v>
      </c>
    </row>
    <row r="8" spans="1:25">
      <c r="A8" s="2" t="s">
        <v>3235</v>
      </c>
      <c r="B8" s="2" t="s">
        <v>2909</v>
      </c>
      <c r="C8" s="2" t="s">
        <v>3634</v>
      </c>
      <c r="D8" s="2"/>
      <c r="E8" s="2"/>
      <c r="F8" s="2"/>
      <c r="G8" s="3"/>
      <c r="H8" s="3"/>
      <c r="I8" s="3"/>
      <c r="J8" s="2"/>
      <c r="K8" s="2"/>
      <c r="L8" s="2"/>
      <c r="M8" s="18">
        <f>SUM(N8:Y8)</f>
        <v>1429377049.98</v>
      </c>
      <c r="N8" s="31">
        <v>115086719</v>
      </c>
      <c r="O8" s="31">
        <v>115086719</v>
      </c>
      <c r="P8" s="31">
        <v>115086719</v>
      </c>
      <c r="Q8" s="31">
        <v>115086719</v>
      </c>
      <c r="R8" s="31">
        <v>115086719</v>
      </c>
      <c r="S8" s="31">
        <v>115086719</v>
      </c>
      <c r="T8" s="18">
        <v>123142789.33000001</v>
      </c>
      <c r="U8" s="18">
        <v>123142789.33000001</v>
      </c>
      <c r="V8" s="18">
        <v>123142789.33000001</v>
      </c>
      <c r="W8" s="18">
        <v>123142789.33000001</v>
      </c>
      <c r="X8" s="18">
        <v>123142789.33000001</v>
      </c>
      <c r="Y8" s="18">
        <v>123142789.33000001</v>
      </c>
    </row>
    <row r="9" spans="1:25">
      <c r="A9" s="6" t="s">
        <v>3235</v>
      </c>
      <c r="B9" s="2" t="s">
        <v>3635</v>
      </c>
      <c r="C9" s="2" t="s">
        <v>3636</v>
      </c>
      <c r="D9" s="2"/>
      <c r="E9" s="2"/>
      <c r="F9" s="2"/>
      <c r="G9" s="3"/>
      <c r="H9" s="3"/>
      <c r="I9" s="3"/>
      <c r="J9" s="2"/>
      <c r="K9" s="2"/>
      <c r="L9" s="2"/>
      <c r="M9" s="18">
        <f>SUM(N9:Y9)</f>
        <v>1180748790.277895</v>
      </c>
      <c r="N9" s="18">
        <v>88491254.163157895</v>
      </c>
      <c r="O9" s="18">
        <v>144103193.60315791</v>
      </c>
      <c r="P9" s="18">
        <v>74884832.883157894</v>
      </c>
      <c r="Q9" s="18">
        <v>60553174.723157898</v>
      </c>
      <c r="R9" s="18">
        <v>264697568.28315789</v>
      </c>
      <c r="S9" s="18">
        <v>103125274.84315789</v>
      </c>
      <c r="T9" s="18">
        <v>82837937.843157887</v>
      </c>
      <c r="U9" s="18">
        <v>57543095.203157894</v>
      </c>
      <c r="V9" s="18">
        <v>78261761.043157876</v>
      </c>
      <c r="W9" s="18">
        <v>81195372.163157895</v>
      </c>
      <c r="X9" s="18">
        <v>79919156.123157889</v>
      </c>
      <c r="Y9" s="18">
        <v>65136169.40315789</v>
      </c>
    </row>
    <row r="10" spans="1:25" ht="18.75" customHeight="1">
      <c r="M10" s="33">
        <f>SUM(M8:M9)</f>
        <v>2610125840.257895</v>
      </c>
    </row>
    <row r="12" spans="1:25">
      <c r="A12" s="35" t="s">
        <v>3637</v>
      </c>
      <c r="M12" s="20"/>
    </row>
    <row r="13" spans="1:25">
      <c r="A13" s="11" t="s">
        <v>3235</v>
      </c>
      <c r="B13" s="11" t="s">
        <v>2909</v>
      </c>
      <c r="C13" s="11" t="s">
        <v>3638</v>
      </c>
      <c r="D13" s="11"/>
      <c r="E13" s="11"/>
      <c r="F13" s="11"/>
      <c r="G13" s="36"/>
      <c r="H13" s="36"/>
      <c r="I13" s="36"/>
      <c r="J13" s="11"/>
      <c r="K13" s="11"/>
      <c r="L13" s="11"/>
      <c r="M13" s="37">
        <f>SUM(N13:Y13)</f>
        <v>3271006358</v>
      </c>
      <c r="N13" s="37">
        <v>3271006358</v>
      </c>
    </row>
    <row r="14" spans="1:25">
      <c r="M14" s="38">
        <f>SUM(M13:M13)</f>
        <v>3271006358</v>
      </c>
    </row>
    <row r="16" spans="1:25">
      <c r="M16" s="20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4EDC-8DD4-449B-B23A-FEF97F558501}">
  <sheetPr>
    <tabColor theme="5"/>
  </sheetPr>
  <dimension ref="A2:AF15"/>
  <sheetViews>
    <sheetView showGridLines="0" zoomScale="85" zoomScaleNormal="85" workbookViewId="0">
      <selection activeCell="C18" sqref="C18"/>
    </sheetView>
  </sheetViews>
  <sheetFormatPr defaultColWidth="8.7109375" defaultRowHeight="14.45"/>
  <cols>
    <col min="1" max="1" width="26" bestFit="1" customWidth="1"/>
    <col min="2" max="2" width="41.140625" bestFit="1" customWidth="1"/>
    <col min="3" max="3" width="18.5703125" customWidth="1"/>
    <col min="4" max="4" width="36.7109375" hidden="1" customWidth="1"/>
    <col min="5" max="5" width="7.140625" hidden="1" customWidth="1"/>
    <col min="6" max="6" width="12.85546875" hidden="1" customWidth="1"/>
    <col min="7" max="8" width="14.85546875" style="12" hidden="1" customWidth="1"/>
    <col min="9" max="9" width="14.5703125" style="12" hidden="1" customWidth="1"/>
    <col min="10" max="10" width="51.5703125" hidden="1" customWidth="1"/>
    <col min="11" max="11" width="38.85546875" hidden="1" customWidth="1"/>
    <col min="12" max="12" width="40.140625" hidden="1" customWidth="1"/>
    <col min="13" max="13" width="15.140625" customWidth="1"/>
    <col min="14" max="25" width="13.85546875" customWidth="1"/>
  </cols>
  <sheetData>
    <row r="2" spans="1:32">
      <c r="B2" s="1" t="s">
        <v>3263</v>
      </c>
      <c r="C2" s="6"/>
    </row>
    <row r="3" spans="1:32">
      <c r="B3" s="2" t="s">
        <v>3264</v>
      </c>
      <c r="C3" s="8" t="s">
        <v>3265</v>
      </c>
    </row>
    <row r="4" spans="1:32">
      <c r="B4" s="2" t="s">
        <v>3266</v>
      </c>
      <c r="C4" s="10">
        <v>0.08</v>
      </c>
    </row>
    <row r="5" spans="1:32">
      <c r="B5" s="2" t="s">
        <v>3267</v>
      </c>
      <c r="C5" s="9" t="s">
        <v>3268</v>
      </c>
    </row>
    <row r="6" spans="1:32">
      <c r="G6" s="13"/>
      <c r="H6" s="13"/>
      <c r="I6" s="13"/>
    </row>
    <row r="7" spans="1:32" ht="24.6" customHeight="1">
      <c r="A7" s="15" t="s">
        <v>3269</v>
      </c>
      <c r="B7" s="15" t="s">
        <v>3270</v>
      </c>
      <c r="C7" s="15" t="s">
        <v>3271</v>
      </c>
      <c r="D7" s="15" t="s">
        <v>1</v>
      </c>
      <c r="E7" s="15" t="s">
        <v>3272</v>
      </c>
      <c r="F7" s="15" t="s">
        <v>3273</v>
      </c>
      <c r="G7" s="15" t="s">
        <v>3274</v>
      </c>
      <c r="H7" s="15" t="s">
        <v>3275</v>
      </c>
      <c r="I7" s="15" t="s">
        <v>3276</v>
      </c>
      <c r="J7" s="15" t="s">
        <v>3277</v>
      </c>
      <c r="K7" s="15" t="s">
        <v>3278</v>
      </c>
      <c r="L7" s="15" t="s">
        <v>3279</v>
      </c>
      <c r="M7" s="15" t="s">
        <v>3280</v>
      </c>
      <c r="N7" s="15" t="s">
        <v>3281</v>
      </c>
      <c r="O7" s="15" t="s">
        <v>3282</v>
      </c>
      <c r="P7" s="15" t="s">
        <v>3283</v>
      </c>
      <c r="Q7" s="15" t="s">
        <v>3284</v>
      </c>
      <c r="R7" s="15" t="s">
        <v>3285</v>
      </c>
      <c r="S7" s="15" t="s">
        <v>3286</v>
      </c>
      <c r="T7" s="15" t="s">
        <v>3287</v>
      </c>
      <c r="U7" s="15" t="s">
        <v>3288</v>
      </c>
      <c r="V7" s="15" t="s">
        <v>3289</v>
      </c>
      <c r="W7" s="15" t="s">
        <v>3290</v>
      </c>
      <c r="X7" s="15" t="s">
        <v>3291</v>
      </c>
      <c r="Y7" s="15" t="s">
        <v>3292</v>
      </c>
    </row>
    <row r="8" spans="1:32" s="22" customFormat="1" ht="25.5" customHeight="1">
      <c r="A8" s="21" t="s">
        <v>3237</v>
      </c>
      <c r="B8" s="21" t="s">
        <v>3639</v>
      </c>
      <c r="C8" s="21" t="s">
        <v>3640</v>
      </c>
      <c r="D8" s="21"/>
      <c r="E8" s="21"/>
      <c r="F8" s="21"/>
      <c r="G8" s="29"/>
      <c r="H8" s="29"/>
      <c r="I8" s="29"/>
      <c r="J8" s="21"/>
      <c r="K8" s="30" t="s">
        <v>3641</v>
      </c>
      <c r="L8" s="21"/>
      <c r="M8" s="23">
        <v>6183279437.3798809</v>
      </c>
      <c r="N8" s="23">
        <v>6183279437.3798809</v>
      </c>
      <c r="O8" s="21">
        <v>0</v>
      </c>
      <c r="P8" s="21">
        <v>0</v>
      </c>
      <c r="Q8" s="21">
        <v>0</v>
      </c>
      <c r="R8" s="23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</row>
    <row r="9" spans="1:32" s="22" customFormat="1" ht="25.5" customHeight="1">
      <c r="A9" s="21" t="s">
        <v>3237</v>
      </c>
      <c r="B9" s="21" t="s">
        <v>3642</v>
      </c>
      <c r="C9" s="21" t="s">
        <v>3643</v>
      </c>
      <c r="D9" s="21"/>
      <c r="E9" s="21"/>
      <c r="F9" s="21"/>
      <c r="G9" s="29"/>
      <c r="H9" s="29"/>
      <c r="I9" s="29"/>
      <c r="J9" s="21"/>
      <c r="K9" s="30" t="s">
        <v>3644</v>
      </c>
      <c r="L9" s="21"/>
      <c r="M9" s="23">
        <f>SUM(N9:Y9)</f>
        <v>1300000000</v>
      </c>
      <c r="N9" s="23">
        <v>1300000000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23">
        <v>0</v>
      </c>
      <c r="X9" s="23">
        <v>0</v>
      </c>
      <c r="Y9" s="23">
        <v>0</v>
      </c>
    </row>
    <row r="10" spans="1:32" s="44" customFormat="1" ht="35.25" customHeight="1">
      <c r="A10" s="40" t="s">
        <v>3237</v>
      </c>
      <c r="B10" s="40" t="s">
        <v>3645</v>
      </c>
      <c r="C10" s="45" t="s">
        <v>3646</v>
      </c>
      <c r="D10" s="40"/>
      <c r="E10" s="40"/>
      <c r="F10" s="40"/>
      <c r="G10" s="42"/>
      <c r="H10" s="42"/>
      <c r="I10" s="42"/>
      <c r="J10" s="40"/>
      <c r="K10" s="41" t="s">
        <v>3644</v>
      </c>
      <c r="L10" s="40"/>
      <c r="M10" s="43">
        <f>SUM(N10:Y10)</f>
        <v>1015000000</v>
      </c>
      <c r="N10" s="43">
        <v>1015000000</v>
      </c>
      <c r="O10" s="43">
        <v>0</v>
      </c>
      <c r="P10" s="43">
        <v>0</v>
      </c>
      <c r="Q10" s="43">
        <v>0</v>
      </c>
      <c r="R10" s="43">
        <v>0</v>
      </c>
      <c r="S10" s="43">
        <v>0</v>
      </c>
      <c r="T10" s="43">
        <v>0</v>
      </c>
      <c r="U10" s="43">
        <v>0</v>
      </c>
      <c r="V10" s="43">
        <v>0</v>
      </c>
      <c r="W10" s="43">
        <v>0</v>
      </c>
      <c r="X10" s="43">
        <v>0</v>
      </c>
      <c r="Y10" s="43">
        <v>0</v>
      </c>
    </row>
    <row r="11" spans="1:32" ht="21.75" customHeight="1">
      <c r="K11" s="16"/>
      <c r="M11" s="24">
        <f>SUM(M8:M10)</f>
        <v>8498279437.3798809</v>
      </c>
    </row>
    <row r="12" spans="1:32" ht="21" customHeight="1">
      <c r="A12" s="35" t="s">
        <v>3637</v>
      </c>
    </row>
    <row r="13" spans="1:32" s="22" customFormat="1" ht="48.75" customHeight="1">
      <c r="A13" s="25" t="s">
        <v>3237</v>
      </c>
      <c r="B13" s="25" t="s">
        <v>3639</v>
      </c>
      <c r="C13" s="27" t="s">
        <v>3647</v>
      </c>
      <c r="D13" s="25"/>
      <c r="E13" s="25"/>
      <c r="F13" s="25"/>
      <c r="G13" s="26"/>
      <c r="H13" s="26"/>
      <c r="I13" s="26"/>
      <c r="J13" s="25"/>
      <c r="K13" s="27" t="s">
        <v>3641</v>
      </c>
      <c r="L13" s="25"/>
      <c r="M13" s="34">
        <v>973966517</v>
      </c>
      <c r="N13" s="34">
        <v>973966517</v>
      </c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s="22" customFormat="1" ht="34.5" customHeight="1">
      <c r="A14" s="25" t="s">
        <v>3237</v>
      </c>
      <c r="B14" s="25" t="s">
        <v>3639</v>
      </c>
      <c r="C14" s="27" t="s">
        <v>3648</v>
      </c>
      <c r="D14" s="25"/>
      <c r="E14" s="25"/>
      <c r="F14" s="25"/>
      <c r="G14" s="26"/>
      <c r="H14" s="26"/>
      <c r="I14" s="26"/>
      <c r="J14" s="25"/>
      <c r="K14" s="27" t="s">
        <v>3641</v>
      </c>
      <c r="L14" s="25"/>
      <c r="M14" s="34">
        <v>3225036492.4344525</v>
      </c>
      <c r="N14" s="34">
        <v>3225036492.4344525</v>
      </c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ht="27" customHeight="1">
      <c r="B15" s="28"/>
      <c r="K15" t="s">
        <v>3641</v>
      </c>
      <c r="M15" s="39">
        <f>SUM(M13:M14)</f>
        <v>4199003009.4344525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6267-7772-4752-81D4-C7F4AA028B86}">
  <dimension ref="A2:Y8"/>
  <sheetViews>
    <sheetView showGridLines="0" topLeftCell="A2" workbookViewId="0">
      <selection activeCell="B23" sqref="B23:B24"/>
    </sheetView>
  </sheetViews>
  <sheetFormatPr defaultColWidth="8.7109375" defaultRowHeight="14.45"/>
  <cols>
    <col min="1" max="1" width="26" bestFit="1" customWidth="1"/>
    <col min="2" max="2" width="41.140625" bestFit="1" customWidth="1"/>
    <col min="3" max="3" width="60.28515625" bestFit="1" customWidth="1"/>
    <col min="4" max="4" width="36.7109375" bestFit="1" customWidth="1"/>
    <col min="5" max="5" width="7.140625" bestFit="1" customWidth="1"/>
    <col min="6" max="6" width="12.85546875" bestFit="1" customWidth="1"/>
    <col min="7" max="7" width="14.85546875" style="12" bestFit="1" customWidth="1"/>
    <col min="8" max="8" width="14.85546875" style="12" customWidth="1"/>
    <col min="9" max="9" width="14.5703125" style="12" bestFit="1" customWidth="1"/>
    <col min="10" max="10" width="51.5703125" bestFit="1" customWidth="1"/>
    <col min="11" max="11" width="38.85546875" bestFit="1" customWidth="1"/>
    <col min="12" max="12" width="40.140625" bestFit="1" customWidth="1"/>
    <col min="13" max="13" width="20.7109375" bestFit="1" customWidth="1"/>
    <col min="14" max="25" width="13.85546875" customWidth="1"/>
  </cols>
  <sheetData>
    <row r="2" spans="1:25">
      <c r="B2" s="1" t="s">
        <v>3263</v>
      </c>
      <c r="C2" s="6"/>
    </row>
    <row r="3" spans="1:25">
      <c r="B3" s="2" t="s">
        <v>3264</v>
      </c>
      <c r="C3" s="8" t="s">
        <v>3265</v>
      </c>
    </row>
    <row r="4" spans="1:25">
      <c r="B4" s="2" t="s">
        <v>3266</v>
      </c>
      <c r="C4" s="10">
        <v>0.08</v>
      </c>
    </row>
    <row r="5" spans="1:25">
      <c r="B5" s="2" t="s">
        <v>3267</v>
      </c>
      <c r="C5" s="9" t="s">
        <v>3268</v>
      </c>
    </row>
    <row r="6" spans="1:25">
      <c r="G6" s="13"/>
      <c r="H6" s="13"/>
      <c r="I6" s="13"/>
    </row>
    <row r="7" spans="1:25" ht="24.6" customHeight="1">
      <c r="A7" s="15" t="s">
        <v>3269</v>
      </c>
      <c r="B7" s="15" t="s">
        <v>3270</v>
      </c>
      <c r="C7" s="15" t="s">
        <v>3271</v>
      </c>
      <c r="D7" s="15" t="s">
        <v>1</v>
      </c>
      <c r="E7" s="15" t="s">
        <v>3272</v>
      </c>
      <c r="F7" s="15" t="s">
        <v>3273</v>
      </c>
      <c r="G7" s="15" t="s">
        <v>3274</v>
      </c>
      <c r="H7" s="15" t="s">
        <v>3275</v>
      </c>
      <c r="I7" s="15" t="s">
        <v>3276</v>
      </c>
      <c r="J7" s="15" t="s">
        <v>3277</v>
      </c>
      <c r="K7" s="15" t="s">
        <v>3278</v>
      </c>
      <c r="L7" s="15" t="s">
        <v>3279</v>
      </c>
      <c r="M7" s="15" t="s">
        <v>3280</v>
      </c>
      <c r="N7" s="15" t="s">
        <v>3281</v>
      </c>
      <c r="O7" s="15" t="s">
        <v>3282</v>
      </c>
      <c r="P7" s="15" t="s">
        <v>3283</v>
      </c>
      <c r="Q7" s="15" t="s">
        <v>3284</v>
      </c>
      <c r="R7" s="15" t="s">
        <v>3285</v>
      </c>
      <c r="S7" s="15" t="s">
        <v>3286</v>
      </c>
      <c r="T7" s="15" t="s">
        <v>3287</v>
      </c>
      <c r="U7" s="15" t="s">
        <v>3288</v>
      </c>
      <c r="V7" s="15" t="s">
        <v>3289</v>
      </c>
      <c r="W7" s="15" t="s">
        <v>3290</v>
      </c>
      <c r="X7" s="15" t="s">
        <v>3291</v>
      </c>
      <c r="Y7" s="15" t="s">
        <v>3292</v>
      </c>
    </row>
    <row r="8" spans="1:25">
      <c r="A8" s="2" t="s">
        <v>3239</v>
      </c>
      <c r="B8" s="2"/>
      <c r="C8" s="2"/>
      <c r="D8" s="2"/>
      <c r="E8" s="2"/>
      <c r="F8" s="2"/>
      <c r="G8" s="3"/>
      <c r="H8" s="3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D49E-DE48-460A-AC38-4C442A6A083C}">
  <dimension ref="A2:Y8"/>
  <sheetViews>
    <sheetView showGridLines="0" topLeftCell="A2" workbookViewId="0">
      <selection activeCell="B23" sqref="B23:B24"/>
    </sheetView>
  </sheetViews>
  <sheetFormatPr defaultColWidth="8.7109375" defaultRowHeight="14.45"/>
  <cols>
    <col min="1" max="1" width="26" bestFit="1" customWidth="1"/>
    <col min="2" max="2" width="41.140625" bestFit="1" customWidth="1"/>
    <col min="3" max="3" width="60.28515625" bestFit="1" customWidth="1"/>
    <col min="4" max="4" width="36.7109375" bestFit="1" customWidth="1"/>
    <col min="5" max="5" width="7.140625" bestFit="1" customWidth="1"/>
    <col min="6" max="6" width="12.85546875" bestFit="1" customWidth="1"/>
    <col min="7" max="7" width="14.85546875" style="12" bestFit="1" customWidth="1"/>
    <col min="8" max="8" width="14.85546875" style="12" customWidth="1"/>
    <col min="9" max="9" width="14.5703125" style="12" bestFit="1" customWidth="1"/>
    <col min="10" max="10" width="51.5703125" bestFit="1" customWidth="1"/>
    <col min="11" max="11" width="38.85546875" bestFit="1" customWidth="1"/>
    <col min="12" max="12" width="40.140625" bestFit="1" customWidth="1"/>
    <col min="13" max="13" width="20.7109375" bestFit="1" customWidth="1"/>
    <col min="14" max="25" width="13.85546875" customWidth="1"/>
  </cols>
  <sheetData>
    <row r="2" spans="1:25">
      <c r="B2" s="1" t="s">
        <v>3263</v>
      </c>
      <c r="C2" s="6"/>
    </row>
    <row r="3" spans="1:25">
      <c r="B3" s="2" t="s">
        <v>3264</v>
      </c>
      <c r="C3" s="8" t="s">
        <v>3265</v>
      </c>
    </row>
    <row r="4" spans="1:25">
      <c r="B4" s="2" t="s">
        <v>3266</v>
      </c>
      <c r="C4" s="10">
        <v>0.08</v>
      </c>
    </row>
    <row r="5" spans="1:25">
      <c r="B5" s="2" t="s">
        <v>3267</v>
      </c>
      <c r="C5" s="9" t="s">
        <v>3268</v>
      </c>
    </row>
    <row r="6" spans="1:25">
      <c r="G6" s="13"/>
      <c r="H6" s="13"/>
      <c r="I6" s="13"/>
    </row>
    <row r="7" spans="1:25" ht="24.6" customHeight="1">
      <c r="A7" s="15" t="s">
        <v>3269</v>
      </c>
      <c r="B7" s="15" t="s">
        <v>3270</v>
      </c>
      <c r="C7" s="15" t="s">
        <v>3271</v>
      </c>
      <c r="D7" s="15" t="s">
        <v>1</v>
      </c>
      <c r="E7" s="15" t="s">
        <v>3272</v>
      </c>
      <c r="F7" s="15" t="s">
        <v>3273</v>
      </c>
      <c r="G7" s="15" t="s">
        <v>3274</v>
      </c>
      <c r="H7" s="15" t="s">
        <v>3275</v>
      </c>
      <c r="I7" s="15" t="s">
        <v>3276</v>
      </c>
      <c r="J7" s="15" t="s">
        <v>3277</v>
      </c>
      <c r="K7" s="15" t="s">
        <v>3278</v>
      </c>
      <c r="L7" s="15" t="s">
        <v>3279</v>
      </c>
      <c r="M7" s="15" t="s">
        <v>3280</v>
      </c>
      <c r="N7" s="15" t="s">
        <v>3281</v>
      </c>
      <c r="O7" s="15" t="s">
        <v>3282</v>
      </c>
      <c r="P7" s="15" t="s">
        <v>3283</v>
      </c>
      <c r="Q7" s="15" t="s">
        <v>3284</v>
      </c>
      <c r="R7" s="15" t="s">
        <v>3285</v>
      </c>
      <c r="S7" s="15" t="s">
        <v>3286</v>
      </c>
      <c r="T7" s="15" t="s">
        <v>3287</v>
      </c>
      <c r="U7" s="15" t="s">
        <v>3288</v>
      </c>
      <c r="V7" s="15" t="s">
        <v>3289</v>
      </c>
      <c r="W7" s="15" t="s">
        <v>3290</v>
      </c>
      <c r="X7" s="15" t="s">
        <v>3291</v>
      </c>
      <c r="Y7" s="15" t="s">
        <v>3292</v>
      </c>
    </row>
    <row r="8" spans="1:25">
      <c r="A8" s="2" t="s">
        <v>3243</v>
      </c>
      <c r="B8" s="2"/>
      <c r="C8" s="2"/>
      <c r="D8" s="2"/>
      <c r="E8" s="2"/>
      <c r="F8" s="2"/>
      <c r="G8" s="3"/>
      <c r="H8" s="3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7B15-7D10-476B-87A7-A7445AC35FF1}">
  <dimension ref="A2:Y8"/>
  <sheetViews>
    <sheetView showGridLines="0" topLeftCell="A2" workbookViewId="0">
      <selection activeCell="B23" sqref="B23:B24"/>
    </sheetView>
  </sheetViews>
  <sheetFormatPr defaultColWidth="8.7109375" defaultRowHeight="14.45"/>
  <cols>
    <col min="1" max="1" width="26" bestFit="1" customWidth="1"/>
    <col min="2" max="2" width="41.140625" bestFit="1" customWidth="1"/>
    <col min="3" max="3" width="60.28515625" bestFit="1" customWidth="1"/>
    <col min="4" max="4" width="36.7109375" bestFit="1" customWidth="1"/>
    <col min="5" max="5" width="7.140625" bestFit="1" customWidth="1"/>
    <col min="6" max="6" width="12.85546875" bestFit="1" customWidth="1"/>
    <col min="7" max="7" width="14.85546875" style="12" bestFit="1" customWidth="1"/>
    <col min="8" max="8" width="14.85546875" style="12" customWidth="1"/>
    <col min="9" max="9" width="14.5703125" style="12" bestFit="1" customWidth="1"/>
    <col min="10" max="10" width="51.5703125" bestFit="1" customWidth="1"/>
    <col min="11" max="11" width="38.85546875" bestFit="1" customWidth="1"/>
    <col min="12" max="12" width="40.140625" bestFit="1" customWidth="1"/>
    <col min="13" max="13" width="20.7109375" bestFit="1" customWidth="1"/>
    <col min="14" max="25" width="13.85546875" customWidth="1"/>
  </cols>
  <sheetData>
    <row r="2" spans="1:25">
      <c r="B2" s="1" t="s">
        <v>3263</v>
      </c>
      <c r="C2" s="6"/>
    </row>
    <row r="3" spans="1:25">
      <c r="B3" s="2" t="s">
        <v>3264</v>
      </c>
      <c r="C3" s="8" t="s">
        <v>3265</v>
      </c>
    </row>
    <row r="4" spans="1:25">
      <c r="B4" s="2" t="s">
        <v>3266</v>
      </c>
      <c r="C4" s="10">
        <v>0.08</v>
      </c>
    </row>
    <row r="5" spans="1:25">
      <c r="B5" s="2" t="s">
        <v>3267</v>
      </c>
      <c r="C5" s="9" t="s">
        <v>3268</v>
      </c>
    </row>
    <row r="6" spans="1:25">
      <c r="G6" s="13"/>
      <c r="H6" s="13"/>
      <c r="I6" s="13"/>
    </row>
    <row r="7" spans="1:25" ht="24.6" customHeight="1">
      <c r="A7" s="15" t="s">
        <v>3269</v>
      </c>
      <c r="B7" s="15" t="s">
        <v>3270</v>
      </c>
      <c r="C7" s="15" t="s">
        <v>3271</v>
      </c>
      <c r="D7" s="15" t="s">
        <v>1</v>
      </c>
      <c r="E7" s="15" t="s">
        <v>3272</v>
      </c>
      <c r="F7" s="15" t="s">
        <v>3273</v>
      </c>
      <c r="G7" s="15" t="s">
        <v>3274</v>
      </c>
      <c r="H7" s="15" t="s">
        <v>3275</v>
      </c>
      <c r="I7" s="15" t="s">
        <v>3276</v>
      </c>
      <c r="J7" s="15" t="s">
        <v>3277</v>
      </c>
      <c r="K7" s="15" t="s">
        <v>3278</v>
      </c>
      <c r="L7" s="15" t="s">
        <v>3279</v>
      </c>
      <c r="M7" s="15" t="s">
        <v>3280</v>
      </c>
      <c r="N7" s="15" t="s">
        <v>3281</v>
      </c>
      <c r="O7" s="15" t="s">
        <v>3282</v>
      </c>
      <c r="P7" s="15" t="s">
        <v>3283</v>
      </c>
      <c r="Q7" s="15" t="s">
        <v>3284</v>
      </c>
      <c r="R7" s="15" t="s">
        <v>3285</v>
      </c>
      <c r="S7" s="15" t="s">
        <v>3286</v>
      </c>
      <c r="T7" s="15" t="s">
        <v>3287</v>
      </c>
      <c r="U7" s="15" t="s">
        <v>3288</v>
      </c>
      <c r="V7" s="15" t="s">
        <v>3289</v>
      </c>
      <c r="W7" s="15" t="s">
        <v>3290</v>
      </c>
      <c r="X7" s="15" t="s">
        <v>3291</v>
      </c>
      <c r="Y7" s="15" t="s">
        <v>3292</v>
      </c>
    </row>
    <row r="8" spans="1:25">
      <c r="A8" s="2" t="s">
        <v>3241</v>
      </c>
      <c r="B8" s="2"/>
      <c r="C8" s="2"/>
      <c r="D8" s="2"/>
      <c r="E8" s="2"/>
      <c r="F8" s="2"/>
      <c r="G8" s="3"/>
      <c r="H8" s="3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45DBE-4981-4F36-B06E-AA1BD895755F}">
  <dimension ref="A2:Y8"/>
  <sheetViews>
    <sheetView showGridLines="0" topLeftCell="A2" workbookViewId="0">
      <selection activeCell="B23" sqref="B23:B24"/>
    </sheetView>
  </sheetViews>
  <sheetFormatPr defaultColWidth="8.7109375" defaultRowHeight="14.45"/>
  <cols>
    <col min="1" max="1" width="26" bestFit="1" customWidth="1"/>
    <col min="2" max="2" width="41.140625" bestFit="1" customWidth="1"/>
    <col min="3" max="3" width="60.28515625" bestFit="1" customWidth="1"/>
    <col min="4" max="4" width="36.7109375" bestFit="1" customWidth="1"/>
    <col min="5" max="5" width="7.140625" bestFit="1" customWidth="1"/>
    <col min="6" max="6" width="12.85546875" bestFit="1" customWidth="1"/>
    <col min="7" max="7" width="14.85546875" style="12" bestFit="1" customWidth="1"/>
    <col min="8" max="8" width="14.85546875" style="12" customWidth="1"/>
    <col min="9" max="9" width="14.5703125" style="12" bestFit="1" customWidth="1"/>
    <col min="10" max="10" width="51.5703125" bestFit="1" customWidth="1"/>
    <col min="11" max="11" width="38.85546875" bestFit="1" customWidth="1"/>
    <col min="12" max="12" width="40.140625" bestFit="1" customWidth="1"/>
    <col min="13" max="13" width="20.7109375" bestFit="1" customWidth="1"/>
    <col min="14" max="25" width="13.85546875" customWidth="1"/>
  </cols>
  <sheetData>
    <row r="2" spans="1:25">
      <c r="B2" s="1" t="s">
        <v>3263</v>
      </c>
      <c r="C2" s="6"/>
    </row>
    <row r="3" spans="1:25">
      <c r="B3" s="2" t="s">
        <v>3264</v>
      </c>
      <c r="C3" s="8" t="s">
        <v>3265</v>
      </c>
    </row>
    <row r="4" spans="1:25">
      <c r="B4" s="2" t="s">
        <v>3266</v>
      </c>
      <c r="C4" s="10">
        <v>0.08</v>
      </c>
    </row>
    <row r="5" spans="1:25">
      <c r="B5" s="2" t="s">
        <v>3267</v>
      </c>
      <c r="C5" s="9" t="s">
        <v>3268</v>
      </c>
    </row>
    <row r="6" spans="1:25">
      <c r="G6" s="13"/>
      <c r="H6" s="13"/>
      <c r="I6" s="13"/>
    </row>
    <row r="7" spans="1:25" ht="24.6" customHeight="1">
      <c r="A7" s="15" t="s">
        <v>3269</v>
      </c>
      <c r="B7" s="15" t="s">
        <v>3270</v>
      </c>
      <c r="C7" s="15" t="s">
        <v>3271</v>
      </c>
      <c r="D7" s="15" t="s">
        <v>1</v>
      </c>
      <c r="E7" s="15" t="s">
        <v>3272</v>
      </c>
      <c r="F7" s="15" t="s">
        <v>3273</v>
      </c>
      <c r="G7" s="15" t="s">
        <v>3274</v>
      </c>
      <c r="H7" s="15" t="s">
        <v>3275</v>
      </c>
      <c r="I7" s="15" t="s">
        <v>3276</v>
      </c>
      <c r="J7" s="15" t="s">
        <v>3277</v>
      </c>
      <c r="K7" s="15" t="s">
        <v>3278</v>
      </c>
      <c r="L7" s="15" t="s">
        <v>3279</v>
      </c>
      <c r="M7" s="15" t="s">
        <v>3280</v>
      </c>
      <c r="N7" s="15" t="s">
        <v>3281</v>
      </c>
      <c r="O7" s="15" t="s">
        <v>3282</v>
      </c>
      <c r="P7" s="15" t="s">
        <v>3283</v>
      </c>
      <c r="Q7" s="15" t="s">
        <v>3284</v>
      </c>
      <c r="R7" s="15" t="s">
        <v>3285</v>
      </c>
      <c r="S7" s="15" t="s">
        <v>3286</v>
      </c>
      <c r="T7" s="15" t="s">
        <v>3287</v>
      </c>
      <c r="U7" s="15" t="s">
        <v>3288</v>
      </c>
      <c r="V7" s="15" t="s">
        <v>3289</v>
      </c>
      <c r="W7" s="15" t="s">
        <v>3290</v>
      </c>
      <c r="X7" s="15" t="s">
        <v>3291</v>
      </c>
      <c r="Y7" s="15" t="s">
        <v>3292</v>
      </c>
    </row>
    <row r="8" spans="1:25">
      <c r="A8" s="2" t="s">
        <v>3245</v>
      </c>
      <c r="B8" s="2"/>
      <c r="C8" s="2"/>
      <c r="D8" s="2"/>
      <c r="E8" s="2"/>
      <c r="F8" s="2"/>
      <c r="G8" s="3"/>
      <c r="H8" s="3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129BB-E443-478A-8DBA-3379E32E8E34}">
  <dimension ref="A2:Y28"/>
  <sheetViews>
    <sheetView showGridLines="0" workbookViewId="0">
      <selection activeCell="B23" sqref="B23:B24"/>
    </sheetView>
  </sheetViews>
  <sheetFormatPr defaultColWidth="8.7109375" defaultRowHeight="14.45"/>
  <cols>
    <col min="1" max="1" width="26" bestFit="1" customWidth="1"/>
    <col min="2" max="2" width="41.140625" bestFit="1" customWidth="1"/>
    <col min="3" max="3" width="60.28515625" bestFit="1" customWidth="1"/>
    <col min="4" max="4" width="36.7109375" bestFit="1" customWidth="1"/>
    <col min="5" max="5" width="7.140625" bestFit="1" customWidth="1"/>
    <col min="6" max="6" width="12.85546875" bestFit="1" customWidth="1"/>
    <col min="7" max="7" width="14.85546875" style="12" bestFit="1" customWidth="1"/>
    <col min="8" max="8" width="14.85546875" style="12" customWidth="1"/>
    <col min="9" max="9" width="14.5703125" style="12" bestFit="1" customWidth="1"/>
    <col min="10" max="10" width="51.5703125" bestFit="1" customWidth="1"/>
    <col min="11" max="11" width="38.85546875" bestFit="1" customWidth="1"/>
    <col min="12" max="12" width="40.140625" bestFit="1" customWidth="1"/>
    <col min="13" max="13" width="20.7109375" bestFit="1" customWidth="1"/>
    <col min="14" max="25" width="13.85546875" customWidth="1"/>
  </cols>
  <sheetData>
    <row r="2" spans="1:25">
      <c r="B2" s="1" t="s">
        <v>3263</v>
      </c>
      <c r="C2" s="6"/>
    </row>
    <row r="3" spans="1:25">
      <c r="B3" s="2" t="s">
        <v>3264</v>
      </c>
      <c r="C3" s="8" t="s">
        <v>3265</v>
      </c>
    </row>
    <row r="4" spans="1:25">
      <c r="B4" s="2" t="s">
        <v>3266</v>
      </c>
      <c r="C4" s="10">
        <v>0.08</v>
      </c>
    </row>
    <row r="5" spans="1:25">
      <c r="B5" s="2" t="s">
        <v>3267</v>
      </c>
      <c r="C5" s="9" t="s">
        <v>3268</v>
      </c>
    </row>
    <row r="6" spans="1:25">
      <c r="G6" s="13"/>
      <c r="H6" s="13"/>
      <c r="I6" s="13"/>
    </row>
    <row r="7" spans="1:25" ht="24.6" customHeight="1">
      <c r="A7" s="14" t="s">
        <v>3269</v>
      </c>
      <c r="B7" s="14" t="s">
        <v>3270</v>
      </c>
      <c r="C7" s="14" t="s">
        <v>3271</v>
      </c>
      <c r="D7" s="14" t="s">
        <v>1</v>
      </c>
      <c r="E7" s="14" t="s">
        <v>3272</v>
      </c>
      <c r="F7" s="14" t="s">
        <v>3273</v>
      </c>
      <c r="G7" s="14" t="s">
        <v>3274</v>
      </c>
      <c r="H7" s="14" t="s">
        <v>3275</v>
      </c>
      <c r="I7" s="14" t="s">
        <v>3276</v>
      </c>
      <c r="J7" s="14" t="s">
        <v>3277</v>
      </c>
      <c r="K7" s="14" t="s">
        <v>3278</v>
      </c>
      <c r="L7" s="14" t="s">
        <v>3279</v>
      </c>
      <c r="M7" s="14" t="s">
        <v>3280</v>
      </c>
      <c r="N7" s="14" t="s">
        <v>3281</v>
      </c>
      <c r="O7" s="14" t="s">
        <v>3282</v>
      </c>
      <c r="P7" s="14" t="s">
        <v>3283</v>
      </c>
      <c r="Q7" s="14" t="s">
        <v>3284</v>
      </c>
      <c r="R7" s="14" t="s">
        <v>3285</v>
      </c>
      <c r="S7" s="14" t="s">
        <v>3286</v>
      </c>
      <c r="T7" s="14" t="s">
        <v>3287</v>
      </c>
      <c r="U7" s="14" t="s">
        <v>3288</v>
      </c>
      <c r="V7" s="14" t="s">
        <v>3289</v>
      </c>
      <c r="W7" s="14" t="s">
        <v>3290</v>
      </c>
      <c r="X7" s="14" t="s">
        <v>3291</v>
      </c>
      <c r="Y7" s="14" t="s">
        <v>3292</v>
      </c>
    </row>
    <row r="8" spans="1:25">
      <c r="A8" s="11" t="str">
        <f>Capítulos!A4</f>
        <v>SST</v>
      </c>
      <c r="B8" s="11" t="s">
        <v>3326</v>
      </c>
      <c r="C8" s="11" t="s">
        <v>1412</v>
      </c>
      <c r="D8" s="2"/>
      <c r="E8" s="2"/>
      <c r="F8" s="2"/>
      <c r="G8" s="3"/>
      <c r="H8" s="3">
        <f t="shared" ref="H8:H28" si="0">G8*(1+$C$3)</f>
        <v>0</v>
      </c>
      <c r="I8" s="3">
        <f t="shared" ref="I8:I28" si="1">+F8*H8</f>
        <v>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1" t="s">
        <v>3226</v>
      </c>
      <c r="B9" s="11" t="s">
        <v>3326</v>
      </c>
      <c r="C9" s="11" t="s">
        <v>1413</v>
      </c>
      <c r="D9" s="2"/>
      <c r="E9" s="2"/>
      <c r="F9" s="2"/>
      <c r="G9" s="3"/>
      <c r="H9" s="3">
        <f t="shared" si="0"/>
        <v>0</v>
      </c>
      <c r="I9" s="3">
        <f t="shared" si="1"/>
        <v>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1" t="s">
        <v>3226</v>
      </c>
      <c r="B10" s="11" t="s">
        <v>3326</v>
      </c>
      <c r="C10" s="11" t="s">
        <v>1421</v>
      </c>
      <c r="D10" s="2"/>
      <c r="E10" s="2"/>
      <c r="F10" s="2"/>
      <c r="G10" s="3"/>
      <c r="H10" s="3">
        <f t="shared" si="0"/>
        <v>0</v>
      </c>
      <c r="I10" s="3">
        <f t="shared" si="1"/>
        <v>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1" t="s">
        <v>3226</v>
      </c>
      <c r="B11" s="11" t="s">
        <v>3326</v>
      </c>
      <c r="C11" s="11" t="s">
        <v>1422</v>
      </c>
      <c r="D11" s="2"/>
      <c r="E11" s="2"/>
      <c r="F11" s="2"/>
      <c r="G11" s="3"/>
      <c r="H11" s="3">
        <f t="shared" si="0"/>
        <v>0</v>
      </c>
      <c r="I11" s="3">
        <f t="shared" si="1"/>
        <v>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1" t="s">
        <v>3226</v>
      </c>
      <c r="B12" s="11" t="s">
        <v>3326</v>
      </c>
      <c r="C12" s="11" t="s">
        <v>1426</v>
      </c>
      <c r="D12" s="2"/>
      <c r="E12" s="2"/>
      <c r="F12" s="2"/>
      <c r="G12" s="3"/>
      <c r="H12" s="3">
        <f t="shared" si="0"/>
        <v>0</v>
      </c>
      <c r="I12" s="3">
        <f t="shared" si="1"/>
        <v>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1" t="s">
        <v>3226</v>
      </c>
      <c r="B13" s="11" t="s">
        <v>3326</v>
      </c>
      <c r="C13" s="11" t="s">
        <v>1427</v>
      </c>
      <c r="D13" s="2"/>
      <c r="E13" s="2"/>
      <c r="F13" s="2"/>
      <c r="G13" s="3"/>
      <c r="H13" s="3">
        <f t="shared" si="0"/>
        <v>0</v>
      </c>
      <c r="I13" s="3">
        <f t="shared" si="1"/>
        <v>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1" t="s">
        <v>3226</v>
      </c>
      <c r="B14" s="11" t="s">
        <v>3326</v>
      </c>
      <c r="C14" s="11" t="s">
        <v>1430</v>
      </c>
      <c r="D14" s="2"/>
      <c r="E14" s="2"/>
      <c r="F14" s="2"/>
      <c r="G14" s="3"/>
      <c r="H14" s="3">
        <f t="shared" si="0"/>
        <v>0</v>
      </c>
      <c r="I14" s="3">
        <f t="shared" si="1"/>
        <v>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1" t="s">
        <v>3226</v>
      </c>
      <c r="B15" s="11" t="s">
        <v>3326</v>
      </c>
      <c r="C15" s="11" t="s">
        <v>1431</v>
      </c>
      <c r="D15" s="2"/>
      <c r="E15" s="2"/>
      <c r="F15" s="2"/>
      <c r="G15" s="3"/>
      <c r="H15" s="3">
        <f t="shared" si="0"/>
        <v>0</v>
      </c>
      <c r="I15" s="3">
        <f t="shared" si="1"/>
        <v>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11" t="s">
        <v>3226</v>
      </c>
      <c r="B16" s="11" t="s">
        <v>3326</v>
      </c>
      <c r="C16" s="11" t="s">
        <v>1439</v>
      </c>
      <c r="D16" s="2"/>
      <c r="E16" s="2"/>
      <c r="F16" s="2"/>
      <c r="G16" s="3"/>
      <c r="H16" s="3">
        <f t="shared" si="0"/>
        <v>0</v>
      </c>
      <c r="I16" s="3">
        <f t="shared" si="1"/>
        <v>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1" t="s">
        <v>3226</v>
      </c>
      <c r="B17" s="11" t="s">
        <v>3326</v>
      </c>
      <c r="C17" s="11" t="s">
        <v>1440</v>
      </c>
      <c r="D17" s="2"/>
      <c r="E17" s="2"/>
      <c r="F17" s="2"/>
      <c r="G17" s="3"/>
      <c r="H17" s="3">
        <f t="shared" si="0"/>
        <v>0</v>
      </c>
      <c r="I17" s="3">
        <f t="shared" si="1"/>
        <v>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1" t="s">
        <v>3226</v>
      </c>
      <c r="B18" s="11" t="s">
        <v>3326</v>
      </c>
      <c r="C18" s="11" t="s">
        <v>1444</v>
      </c>
      <c r="D18" s="2"/>
      <c r="E18" s="2"/>
      <c r="F18" s="2"/>
      <c r="G18" s="3"/>
      <c r="H18" s="3">
        <f t="shared" si="0"/>
        <v>0</v>
      </c>
      <c r="I18" s="3">
        <f t="shared" si="1"/>
        <v>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1" t="s">
        <v>3226</v>
      </c>
      <c r="B19" s="11" t="s">
        <v>3326</v>
      </c>
      <c r="C19" s="11" t="s">
        <v>1450</v>
      </c>
      <c r="D19" s="2"/>
      <c r="E19" s="2"/>
      <c r="F19" s="2"/>
      <c r="G19" s="3"/>
      <c r="H19" s="3">
        <f t="shared" si="0"/>
        <v>0</v>
      </c>
      <c r="I19" s="3">
        <f t="shared" si="1"/>
        <v>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1" t="s">
        <v>3226</v>
      </c>
      <c r="B20" s="11" t="s">
        <v>3326</v>
      </c>
      <c r="C20" s="11" t="s">
        <v>1451</v>
      </c>
      <c r="D20" s="2"/>
      <c r="E20" s="2"/>
      <c r="F20" s="2"/>
      <c r="G20" s="3"/>
      <c r="H20" s="3">
        <f t="shared" si="0"/>
        <v>0</v>
      </c>
      <c r="I20" s="3">
        <f t="shared" si="1"/>
        <v>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11" t="s">
        <v>3226</v>
      </c>
      <c r="B21" s="11" t="s">
        <v>3326</v>
      </c>
      <c r="C21" s="11" t="s">
        <v>1452</v>
      </c>
      <c r="D21" s="2"/>
      <c r="E21" s="2"/>
      <c r="F21" s="2"/>
      <c r="G21" s="3"/>
      <c r="H21" s="3">
        <f t="shared" si="0"/>
        <v>0</v>
      </c>
      <c r="I21" s="3">
        <f t="shared" si="1"/>
        <v>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>
      <c r="A22" s="11" t="s">
        <v>3226</v>
      </c>
      <c r="B22" s="11" t="s">
        <v>3326</v>
      </c>
      <c r="C22" s="11" t="s">
        <v>1458</v>
      </c>
      <c r="D22" s="2"/>
      <c r="E22" s="2"/>
      <c r="F22" s="2"/>
      <c r="G22" s="3"/>
      <c r="H22" s="3">
        <f t="shared" si="0"/>
        <v>0</v>
      </c>
      <c r="I22" s="3">
        <f t="shared" si="1"/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11" t="s">
        <v>3226</v>
      </c>
      <c r="B23" s="11" t="s">
        <v>3326</v>
      </c>
      <c r="C23" s="11" t="s">
        <v>1459</v>
      </c>
      <c r="D23" s="2"/>
      <c r="E23" s="2"/>
      <c r="F23" s="2"/>
      <c r="G23" s="3"/>
      <c r="H23" s="3">
        <f t="shared" si="0"/>
        <v>0</v>
      </c>
      <c r="I23" s="3">
        <f t="shared" si="1"/>
        <v>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11" t="s">
        <v>3226</v>
      </c>
      <c r="B24" s="11" t="s">
        <v>3326</v>
      </c>
      <c r="C24" s="11" t="s">
        <v>1460</v>
      </c>
      <c r="D24" s="2"/>
      <c r="E24" s="2"/>
      <c r="F24" s="2"/>
      <c r="G24" s="3"/>
      <c r="H24" s="3">
        <f t="shared" si="0"/>
        <v>0</v>
      </c>
      <c r="I24" s="3">
        <f t="shared" si="1"/>
        <v>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11" t="s">
        <v>3226</v>
      </c>
      <c r="B25" s="11" t="s">
        <v>569</v>
      </c>
      <c r="C25" s="11" t="s">
        <v>3327</v>
      </c>
      <c r="D25" s="2"/>
      <c r="E25" s="2"/>
      <c r="F25" s="2"/>
      <c r="G25" s="3"/>
      <c r="H25" s="3">
        <f t="shared" si="0"/>
        <v>0</v>
      </c>
      <c r="I25" s="3">
        <f t="shared" si="1"/>
        <v>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11" t="s">
        <v>3226</v>
      </c>
      <c r="B26" s="11" t="s">
        <v>569</v>
      </c>
      <c r="C26" s="11" t="s">
        <v>3328</v>
      </c>
      <c r="D26" s="2"/>
      <c r="E26" s="2"/>
      <c r="F26" s="2"/>
      <c r="G26" s="3"/>
      <c r="H26" s="3">
        <f t="shared" si="0"/>
        <v>0</v>
      </c>
      <c r="I26" s="3">
        <f t="shared" si="1"/>
        <v>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11" t="s">
        <v>3226</v>
      </c>
      <c r="B27" s="11" t="s">
        <v>1905</v>
      </c>
      <c r="C27" s="11" t="s">
        <v>3329</v>
      </c>
      <c r="D27" s="2"/>
      <c r="E27" s="2"/>
      <c r="F27" s="2"/>
      <c r="G27" s="3"/>
      <c r="H27" s="3">
        <f t="shared" si="0"/>
        <v>0</v>
      </c>
      <c r="I27" s="3">
        <f t="shared" si="1"/>
        <v>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11" t="s">
        <v>3226</v>
      </c>
      <c r="B28" s="11" t="s">
        <v>2171</v>
      </c>
      <c r="C28" s="11" t="s">
        <v>3330</v>
      </c>
      <c r="D28" s="2"/>
      <c r="E28" s="2"/>
      <c r="F28" s="2"/>
      <c r="G28" s="3"/>
      <c r="H28" s="3">
        <f t="shared" si="0"/>
        <v>0</v>
      </c>
      <c r="I28" s="3">
        <f t="shared" si="1"/>
        <v>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D55F-853E-4533-B234-C93C54563B6B}">
  <dimension ref="A2:Y16"/>
  <sheetViews>
    <sheetView showGridLines="0" topLeftCell="A2" workbookViewId="0">
      <selection activeCell="B23" sqref="B23:B24"/>
    </sheetView>
  </sheetViews>
  <sheetFormatPr defaultColWidth="8.7109375" defaultRowHeight="14.45"/>
  <cols>
    <col min="1" max="1" width="26" bestFit="1" customWidth="1"/>
    <col min="2" max="2" width="41.140625" bestFit="1" customWidth="1"/>
    <col min="3" max="3" width="60.28515625" bestFit="1" customWidth="1"/>
    <col min="4" max="4" width="36.7109375" bestFit="1" customWidth="1"/>
    <col min="5" max="5" width="7.140625" bestFit="1" customWidth="1"/>
    <col min="6" max="6" width="12.85546875" bestFit="1" customWidth="1"/>
    <col min="7" max="7" width="14.85546875" style="12" bestFit="1" customWidth="1"/>
    <col min="8" max="8" width="14.85546875" style="12" customWidth="1"/>
    <col min="9" max="9" width="14.5703125" style="12" bestFit="1" customWidth="1"/>
    <col min="10" max="10" width="51.5703125" bestFit="1" customWidth="1"/>
    <col min="11" max="11" width="38.85546875" bestFit="1" customWidth="1"/>
    <col min="12" max="12" width="40.140625" bestFit="1" customWidth="1"/>
    <col min="13" max="13" width="20.7109375" bestFit="1" customWidth="1"/>
    <col min="14" max="25" width="13.85546875" customWidth="1"/>
  </cols>
  <sheetData>
    <row r="2" spans="1:25">
      <c r="B2" s="1" t="s">
        <v>3263</v>
      </c>
      <c r="C2" s="6"/>
    </row>
    <row r="3" spans="1:25">
      <c r="B3" s="2" t="s">
        <v>3264</v>
      </c>
      <c r="C3" s="8" t="s">
        <v>3265</v>
      </c>
    </row>
    <row r="4" spans="1:25">
      <c r="B4" s="2" t="s">
        <v>3266</v>
      </c>
      <c r="C4" s="10">
        <v>0.08</v>
      </c>
    </row>
    <row r="5" spans="1:25">
      <c r="B5" s="2" t="s">
        <v>3267</v>
      </c>
      <c r="C5" s="9" t="s">
        <v>3268</v>
      </c>
    </row>
    <row r="6" spans="1:25">
      <c r="G6" s="13"/>
      <c r="H6" s="13"/>
      <c r="I6" s="13"/>
    </row>
    <row r="7" spans="1:25" ht="24.6" customHeight="1">
      <c r="A7" s="15" t="s">
        <v>3269</v>
      </c>
      <c r="B7" s="15" t="s">
        <v>3270</v>
      </c>
      <c r="C7" s="15" t="s">
        <v>3271</v>
      </c>
      <c r="D7" s="15" t="s">
        <v>1</v>
      </c>
      <c r="E7" s="15" t="s">
        <v>3272</v>
      </c>
      <c r="F7" s="15" t="s">
        <v>3273</v>
      </c>
      <c r="G7" s="15" t="s">
        <v>3274</v>
      </c>
      <c r="H7" s="15" t="s">
        <v>3275</v>
      </c>
      <c r="I7" s="15" t="s">
        <v>3276</v>
      </c>
      <c r="J7" s="15" t="s">
        <v>3277</v>
      </c>
      <c r="K7" s="15" t="s">
        <v>3278</v>
      </c>
      <c r="L7" s="15" t="s">
        <v>3279</v>
      </c>
      <c r="M7" s="15" t="s">
        <v>3280</v>
      </c>
      <c r="N7" s="15" t="s">
        <v>3281</v>
      </c>
      <c r="O7" s="15" t="s">
        <v>3282</v>
      </c>
      <c r="P7" s="15" t="s">
        <v>3283</v>
      </c>
      <c r="Q7" s="15" t="s">
        <v>3284</v>
      </c>
      <c r="R7" s="15" t="s">
        <v>3285</v>
      </c>
      <c r="S7" s="15" t="s">
        <v>3286</v>
      </c>
      <c r="T7" s="15" t="s">
        <v>3287</v>
      </c>
      <c r="U7" s="15" t="s">
        <v>3288</v>
      </c>
      <c r="V7" s="15" t="s">
        <v>3289</v>
      </c>
      <c r="W7" s="15" t="s">
        <v>3290</v>
      </c>
      <c r="X7" s="15" t="s">
        <v>3291</v>
      </c>
      <c r="Y7" s="15" t="s">
        <v>3292</v>
      </c>
    </row>
    <row r="8" spans="1:25">
      <c r="A8" s="2" t="s">
        <v>2040</v>
      </c>
      <c r="B8" s="2" t="s">
        <v>3649</v>
      </c>
      <c r="C8" s="2"/>
      <c r="D8" s="2"/>
      <c r="E8" s="2"/>
      <c r="F8" s="2"/>
      <c r="G8" s="3"/>
      <c r="H8" s="3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2" t="s">
        <v>2040</v>
      </c>
      <c r="B9" s="2" t="s">
        <v>3650</v>
      </c>
      <c r="C9" s="2"/>
      <c r="D9" s="2"/>
      <c r="E9" s="2"/>
      <c r="F9" s="2"/>
      <c r="G9" s="3"/>
      <c r="H9" s="3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2" t="s">
        <v>2040</v>
      </c>
      <c r="B10" s="2" t="s">
        <v>3651</v>
      </c>
      <c r="C10" s="2"/>
      <c r="D10" s="2"/>
      <c r="E10" s="2"/>
      <c r="F10" s="2"/>
      <c r="G10" s="3"/>
      <c r="H10" s="3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2" t="s">
        <v>2040</v>
      </c>
      <c r="B11" s="2" t="s">
        <v>3652</v>
      </c>
      <c r="C11" s="2"/>
      <c r="D11" s="2"/>
      <c r="E11" s="2"/>
      <c r="F11" s="2"/>
      <c r="G11" s="3"/>
      <c r="H11" s="3"/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2" t="s">
        <v>2040</v>
      </c>
      <c r="B12" s="2" t="s">
        <v>3653</v>
      </c>
      <c r="C12" s="2"/>
      <c r="D12" s="2"/>
      <c r="E12" s="2"/>
      <c r="F12" s="2"/>
      <c r="G12" s="3"/>
      <c r="H12" s="3"/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2" t="s">
        <v>2040</v>
      </c>
      <c r="B13" s="2" t="s">
        <v>3654</v>
      </c>
      <c r="C13" s="2"/>
      <c r="D13" s="2"/>
      <c r="E13" s="2"/>
      <c r="F13" s="2"/>
      <c r="G13" s="3"/>
      <c r="H13" s="3"/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2" t="s">
        <v>2040</v>
      </c>
      <c r="B14" s="2" t="s">
        <v>3655</v>
      </c>
      <c r="C14" s="2"/>
      <c r="D14" s="2"/>
      <c r="E14" s="2"/>
      <c r="F14" s="2"/>
      <c r="G14" s="3"/>
      <c r="H14" s="3"/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2" t="s">
        <v>2040</v>
      </c>
      <c r="B15" s="2" t="s">
        <v>3656</v>
      </c>
      <c r="C15" s="2"/>
      <c r="D15" s="2"/>
      <c r="E15" s="2"/>
      <c r="F15" s="2"/>
      <c r="G15" s="3"/>
      <c r="H15" s="3"/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2" t="s">
        <v>2040</v>
      </c>
      <c r="B16" s="2" t="s">
        <v>3657</v>
      </c>
      <c r="C16" s="2"/>
      <c r="D16" s="2"/>
      <c r="E16" s="2"/>
      <c r="F16" s="2"/>
      <c r="G16" s="3"/>
      <c r="H16" s="3"/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25BC9-E78E-49F8-BC39-D0834F35BAC5}">
  <dimension ref="A2:Y25"/>
  <sheetViews>
    <sheetView showGridLines="0" topLeftCell="A8" workbookViewId="0">
      <selection activeCell="A26" sqref="A26:XFD72"/>
    </sheetView>
  </sheetViews>
  <sheetFormatPr defaultColWidth="8.7109375" defaultRowHeight="14.45"/>
  <cols>
    <col min="1" max="1" width="26" bestFit="1" customWidth="1"/>
    <col min="2" max="2" width="41.140625" bestFit="1" customWidth="1"/>
    <col min="3" max="3" width="60.28515625" bestFit="1" customWidth="1"/>
    <col min="4" max="4" width="36.7109375" bestFit="1" customWidth="1"/>
    <col min="5" max="5" width="7.140625" bestFit="1" customWidth="1"/>
    <col min="6" max="6" width="12.85546875" bestFit="1" customWidth="1"/>
    <col min="7" max="7" width="14.85546875" style="12" bestFit="1" customWidth="1"/>
    <col min="8" max="8" width="14.85546875" style="12" customWidth="1"/>
    <col min="9" max="9" width="14.5703125" style="12" bestFit="1" customWidth="1"/>
    <col min="10" max="10" width="51.5703125" bestFit="1" customWidth="1"/>
    <col min="11" max="11" width="38.85546875" bestFit="1" customWidth="1"/>
    <col min="12" max="12" width="40.140625" bestFit="1" customWidth="1"/>
    <col min="13" max="13" width="20.7109375" bestFit="1" customWidth="1"/>
    <col min="14" max="25" width="13.85546875" customWidth="1"/>
  </cols>
  <sheetData>
    <row r="2" spans="1:25">
      <c r="B2" s="1" t="s">
        <v>3263</v>
      </c>
      <c r="C2" s="6"/>
    </row>
    <row r="3" spans="1:25">
      <c r="B3" s="2" t="s">
        <v>3264</v>
      </c>
      <c r="C3" s="8" t="s">
        <v>3265</v>
      </c>
    </row>
    <row r="4" spans="1:25">
      <c r="B4" s="2" t="s">
        <v>3266</v>
      </c>
      <c r="C4" s="10">
        <v>0.08</v>
      </c>
    </row>
    <row r="5" spans="1:25">
      <c r="B5" s="2" t="s">
        <v>3267</v>
      </c>
      <c r="C5" s="9" t="s">
        <v>3268</v>
      </c>
    </row>
    <row r="6" spans="1:25">
      <c r="G6" s="13"/>
      <c r="H6" s="13"/>
      <c r="I6" s="13"/>
    </row>
    <row r="7" spans="1:25" ht="24.6" customHeight="1">
      <c r="A7" s="14" t="s">
        <v>3269</v>
      </c>
      <c r="B7" s="14" t="s">
        <v>3270</v>
      </c>
      <c r="C7" s="14" t="s">
        <v>3271</v>
      </c>
      <c r="D7" s="14" t="s">
        <v>1</v>
      </c>
      <c r="E7" s="14" t="s">
        <v>3272</v>
      </c>
      <c r="F7" s="14" t="s">
        <v>3273</v>
      </c>
      <c r="G7" s="14" t="s">
        <v>3274</v>
      </c>
      <c r="H7" s="14" t="s">
        <v>3275</v>
      </c>
      <c r="I7" s="14" t="s">
        <v>3276</v>
      </c>
      <c r="J7" s="14" t="s">
        <v>3277</v>
      </c>
      <c r="K7" s="14" t="s">
        <v>3278</v>
      </c>
      <c r="L7" s="14" t="s">
        <v>3279</v>
      </c>
      <c r="M7" s="14" t="s">
        <v>3280</v>
      </c>
      <c r="N7" s="14" t="s">
        <v>3281</v>
      </c>
      <c r="O7" s="14" t="s">
        <v>3282</v>
      </c>
      <c r="P7" s="14" t="s">
        <v>3283</v>
      </c>
      <c r="Q7" s="14" t="s">
        <v>3284</v>
      </c>
      <c r="R7" s="14" t="s">
        <v>3285</v>
      </c>
      <c r="S7" s="14" t="s">
        <v>3286</v>
      </c>
      <c r="T7" s="14" t="s">
        <v>3287</v>
      </c>
      <c r="U7" s="14" t="s">
        <v>3288</v>
      </c>
      <c r="V7" s="14" t="s">
        <v>3289</v>
      </c>
      <c r="W7" s="14" t="s">
        <v>3290</v>
      </c>
      <c r="X7" s="14" t="s">
        <v>3291</v>
      </c>
      <c r="Y7" s="14" t="s">
        <v>3292</v>
      </c>
    </row>
    <row r="8" spans="1:25">
      <c r="A8" s="2" t="str">
        <f>Capítulos!$A$2</f>
        <v>ADMINISTRACION</v>
      </c>
      <c r="B8" s="2" t="s">
        <v>3293</v>
      </c>
      <c r="C8" s="2" t="s">
        <v>3294</v>
      </c>
      <c r="D8" s="2" t="s">
        <v>3295</v>
      </c>
      <c r="E8" s="2" t="s">
        <v>3296</v>
      </c>
      <c r="F8" s="2">
        <v>12</v>
      </c>
      <c r="G8" s="3">
        <v>11305000</v>
      </c>
      <c r="H8" s="3">
        <f t="shared" ref="H8:H13" si="0">G8*(1+$C$3)</f>
        <v>11757200</v>
      </c>
      <c r="I8" s="3">
        <f>+F8*H8</f>
        <v>141086400</v>
      </c>
      <c r="J8" s="2" t="s">
        <v>3297</v>
      </c>
      <c r="K8" s="2" t="s">
        <v>3298</v>
      </c>
      <c r="L8" s="3" t="s">
        <v>3299</v>
      </c>
      <c r="M8" s="3">
        <f t="shared" ref="M8:M18" si="1">SUM(N8:Y8)</f>
        <v>141086400</v>
      </c>
      <c r="N8" s="3">
        <f>+I8/$F8</f>
        <v>11757200</v>
      </c>
      <c r="O8" s="3">
        <f t="shared" ref="O8:Y8" si="2">+$I$8/$F$8</f>
        <v>11757200</v>
      </c>
      <c r="P8" s="3">
        <f t="shared" si="2"/>
        <v>11757200</v>
      </c>
      <c r="Q8" s="3">
        <f t="shared" si="2"/>
        <v>11757200</v>
      </c>
      <c r="R8" s="3">
        <f t="shared" si="2"/>
        <v>11757200</v>
      </c>
      <c r="S8" s="3">
        <f t="shared" si="2"/>
        <v>11757200</v>
      </c>
      <c r="T8" s="3">
        <f t="shared" si="2"/>
        <v>11757200</v>
      </c>
      <c r="U8" s="3">
        <f t="shared" si="2"/>
        <v>11757200</v>
      </c>
      <c r="V8" s="3">
        <f t="shared" si="2"/>
        <v>11757200</v>
      </c>
      <c r="W8" s="3">
        <f t="shared" si="2"/>
        <v>11757200</v>
      </c>
      <c r="X8" s="3">
        <f t="shared" si="2"/>
        <v>11757200</v>
      </c>
      <c r="Y8" s="3">
        <f t="shared" si="2"/>
        <v>11757200</v>
      </c>
    </row>
    <row r="9" spans="1:25">
      <c r="A9" s="2" t="str">
        <f>Capítulos!$A$2</f>
        <v>ADMINISTRACION</v>
      </c>
      <c r="B9" s="2" t="s">
        <v>3293</v>
      </c>
      <c r="C9" s="2" t="s">
        <v>3300</v>
      </c>
      <c r="D9" s="2" t="s">
        <v>3301</v>
      </c>
      <c r="E9" s="2" t="s">
        <v>3296</v>
      </c>
      <c r="F9" s="2">
        <v>12</v>
      </c>
      <c r="G9" s="3">
        <v>2258812</v>
      </c>
      <c r="H9" s="3">
        <f t="shared" si="0"/>
        <v>2349164.48</v>
      </c>
      <c r="I9" s="3">
        <f>+F9*H9</f>
        <v>28189973.759999998</v>
      </c>
      <c r="J9" s="2" t="s">
        <v>3297</v>
      </c>
      <c r="K9" s="2" t="s">
        <v>3298</v>
      </c>
      <c r="L9" s="3" t="s">
        <v>3302</v>
      </c>
      <c r="M9" s="3">
        <f t="shared" si="1"/>
        <v>28189973.760000002</v>
      </c>
      <c r="N9" s="3">
        <f>+$I$9/$F$9</f>
        <v>2349164.48</v>
      </c>
      <c r="O9" s="3">
        <f t="shared" ref="O9:Y9" si="3">+$I$9/$F$9</f>
        <v>2349164.48</v>
      </c>
      <c r="P9" s="3">
        <f t="shared" si="3"/>
        <v>2349164.48</v>
      </c>
      <c r="Q9" s="3">
        <f t="shared" si="3"/>
        <v>2349164.48</v>
      </c>
      <c r="R9" s="3">
        <f t="shared" si="3"/>
        <v>2349164.48</v>
      </c>
      <c r="S9" s="3">
        <f t="shared" si="3"/>
        <v>2349164.48</v>
      </c>
      <c r="T9" s="3">
        <f t="shared" si="3"/>
        <v>2349164.48</v>
      </c>
      <c r="U9" s="3">
        <f t="shared" si="3"/>
        <v>2349164.48</v>
      </c>
      <c r="V9" s="3">
        <f t="shared" si="3"/>
        <v>2349164.48</v>
      </c>
      <c r="W9" s="3">
        <f t="shared" si="3"/>
        <v>2349164.48</v>
      </c>
      <c r="X9" s="3">
        <f t="shared" si="3"/>
        <v>2349164.48</v>
      </c>
      <c r="Y9" s="3">
        <f t="shared" si="3"/>
        <v>2349164.48</v>
      </c>
    </row>
    <row r="10" spans="1:25">
      <c r="A10" s="2" t="str">
        <f>Capítulos!$A$2</f>
        <v>ADMINISTRACION</v>
      </c>
      <c r="B10" s="2" t="s">
        <v>3303</v>
      </c>
      <c r="C10" s="2" t="s">
        <v>3304</v>
      </c>
      <c r="D10" s="5" t="s">
        <v>3305</v>
      </c>
      <c r="E10" s="2" t="s">
        <v>3306</v>
      </c>
      <c r="F10" s="2">
        <v>10</v>
      </c>
      <c r="G10" s="3">
        <v>5000</v>
      </c>
      <c r="H10" s="3">
        <f t="shared" si="0"/>
        <v>5200</v>
      </c>
      <c r="I10" s="3">
        <f>+F10*H10</f>
        <v>52000</v>
      </c>
      <c r="J10" s="2" t="s">
        <v>3297</v>
      </c>
      <c r="K10" s="2" t="s">
        <v>3307</v>
      </c>
      <c r="L10" s="3" t="s">
        <v>3308</v>
      </c>
      <c r="M10" s="3">
        <f t="shared" si="1"/>
        <v>52000</v>
      </c>
      <c r="N10" s="3"/>
      <c r="O10" s="3">
        <f>+$I$10/3</f>
        <v>17333.333333333332</v>
      </c>
      <c r="P10" s="3"/>
      <c r="Q10" s="3"/>
      <c r="R10" s="3"/>
      <c r="S10" s="3">
        <f>+$I$10/3</f>
        <v>17333.333333333332</v>
      </c>
      <c r="T10" s="3"/>
      <c r="U10" s="3"/>
      <c r="V10" s="3"/>
      <c r="W10" s="3">
        <f>+$I$10/3</f>
        <v>17333.333333333332</v>
      </c>
      <c r="X10" s="3"/>
      <c r="Y10" s="3"/>
    </row>
    <row r="11" spans="1:25">
      <c r="A11" s="2" t="str">
        <f>Capítulos!$A$2</f>
        <v>ADMINISTRACION</v>
      </c>
      <c r="B11" s="2" t="s">
        <v>3303</v>
      </c>
      <c r="C11" s="2" t="s">
        <v>3309</v>
      </c>
      <c r="D11" s="2" t="s">
        <v>3310</v>
      </c>
      <c r="E11" s="2" t="s">
        <v>3306</v>
      </c>
      <c r="F11" s="2">
        <v>500</v>
      </c>
      <c r="G11" s="3">
        <v>700</v>
      </c>
      <c r="H11" s="3">
        <f t="shared" si="0"/>
        <v>728</v>
      </c>
      <c r="I11" s="3">
        <f t="shared" ref="I11:I25" si="4">+F11*H11</f>
        <v>364000</v>
      </c>
      <c r="J11" s="2" t="s">
        <v>3297</v>
      </c>
      <c r="K11" s="2" t="s">
        <v>3307</v>
      </c>
      <c r="L11" s="3" t="s">
        <v>3308</v>
      </c>
      <c r="M11" s="3">
        <f t="shared" si="1"/>
        <v>364000</v>
      </c>
      <c r="N11" s="3"/>
      <c r="O11" s="3">
        <f>+$I$11/3</f>
        <v>121333.33333333333</v>
      </c>
      <c r="P11" s="3"/>
      <c r="Q11" s="3"/>
      <c r="R11" s="3"/>
      <c r="S11" s="3">
        <f>+$I$11/3</f>
        <v>121333.33333333333</v>
      </c>
      <c r="T11" s="3"/>
      <c r="U11" s="3"/>
      <c r="V11" s="3"/>
      <c r="W11" s="3">
        <f>+$I$11/3</f>
        <v>121333.33333333333</v>
      </c>
      <c r="X11" s="3"/>
      <c r="Y11" s="3"/>
    </row>
    <row r="12" spans="1:25">
      <c r="A12" s="2" t="str">
        <f>Capítulos!$A$2</f>
        <v>ADMINISTRACION</v>
      </c>
      <c r="B12" s="2" t="s">
        <v>3303</v>
      </c>
      <c r="C12" s="2" t="s">
        <v>3311</v>
      </c>
      <c r="D12" s="2" t="s">
        <v>3310</v>
      </c>
      <c r="E12" s="2" t="s">
        <v>3306</v>
      </c>
      <c r="F12" s="2">
        <v>1000</v>
      </c>
      <c r="G12" s="3">
        <v>800</v>
      </c>
      <c r="H12" s="3">
        <f t="shared" si="0"/>
        <v>832</v>
      </c>
      <c r="I12" s="3">
        <f t="shared" si="4"/>
        <v>832000</v>
      </c>
      <c r="J12" s="2" t="s">
        <v>3297</v>
      </c>
      <c r="K12" s="2" t="s">
        <v>3307</v>
      </c>
      <c r="L12" s="3" t="s">
        <v>3308</v>
      </c>
      <c r="M12" s="3">
        <f t="shared" si="1"/>
        <v>832000</v>
      </c>
      <c r="N12" s="3"/>
      <c r="O12" s="3">
        <f>+$I$12/3</f>
        <v>277333.33333333331</v>
      </c>
      <c r="P12" s="3"/>
      <c r="Q12" s="3"/>
      <c r="R12" s="3"/>
      <c r="S12" s="3">
        <f>+$I$12/3</f>
        <v>277333.33333333331</v>
      </c>
      <c r="T12" s="3"/>
      <c r="U12" s="3"/>
      <c r="V12" s="3"/>
      <c r="W12" s="3">
        <f>+$I$12/3</f>
        <v>277333.33333333331</v>
      </c>
      <c r="X12" s="3"/>
      <c r="Y12" s="3"/>
    </row>
    <row r="13" spans="1:25">
      <c r="A13" s="2" t="str">
        <f>Capítulos!$A$2</f>
        <v>ADMINISTRACION</v>
      </c>
      <c r="B13" s="2" t="s">
        <v>3303</v>
      </c>
      <c r="C13" s="2" t="s">
        <v>3312</v>
      </c>
      <c r="D13" s="2" t="s">
        <v>3313</v>
      </c>
      <c r="E13" s="2" t="s">
        <v>3306</v>
      </c>
      <c r="F13" s="2">
        <v>10</v>
      </c>
      <c r="G13" s="3">
        <v>4000</v>
      </c>
      <c r="H13" s="3">
        <f t="shared" si="0"/>
        <v>4160</v>
      </c>
      <c r="I13" s="3">
        <f t="shared" si="4"/>
        <v>41600</v>
      </c>
      <c r="J13" s="2" t="s">
        <v>3314</v>
      </c>
      <c r="K13" s="2" t="s">
        <v>3307</v>
      </c>
      <c r="L13" s="3" t="s">
        <v>3308</v>
      </c>
      <c r="M13" s="3">
        <f t="shared" si="1"/>
        <v>41600</v>
      </c>
      <c r="N13" s="3"/>
      <c r="O13" s="3">
        <f>+$I$13/3</f>
        <v>13866.666666666666</v>
      </c>
      <c r="P13" s="3"/>
      <c r="Q13" s="3"/>
      <c r="R13" s="3"/>
      <c r="S13" s="3">
        <f>+$I$13/3</f>
        <v>13866.666666666666</v>
      </c>
      <c r="T13" s="3"/>
      <c r="U13" s="3"/>
      <c r="V13" s="3"/>
      <c r="W13" s="3">
        <f>+$I$13/3</f>
        <v>13866.666666666666</v>
      </c>
      <c r="X13" s="3"/>
      <c r="Y13" s="3"/>
    </row>
    <row r="14" spans="1:25">
      <c r="A14" s="2" t="str">
        <f>Capítulos!$A$2</f>
        <v>ADMINISTRACION</v>
      </c>
      <c r="B14" s="2" t="s">
        <v>3303</v>
      </c>
      <c r="C14" s="2" t="s">
        <v>1193</v>
      </c>
      <c r="D14" s="2"/>
      <c r="E14" s="2"/>
      <c r="F14" s="2"/>
      <c r="G14" s="3"/>
      <c r="H14" s="3">
        <f t="shared" ref="H14:H25" si="5">G14*(1+$C$3)</f>
        <v>0</v>
      </c>
      <c r="I14" s="3">
        <f t="shared" si="4"/>
        <v>0</v>
      </c>
      <c r="J14" s="2"/>
      <c r="K14" s="2"/>
      <c r="L14" s="3"/>
      <c r="M14" s="3">
        <f t="shared" si="1"/>
        <v>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>
      <c r="A15" s="2" t="str">
        <f>Capítulos!$A$2</f>
        <v>ADMINISTRACION</v>
      </c>
      <c r="B15" s="2" t="s">
        <v>3303</v>
      </c>
      <c r="C15" s="2" t="s">
        <v>3315</v>
      </c>
      <c r="D15" s="2"/>
      <c r="E15" s="2"/>
      <c r="F15" s="2"/>
      <c r="G15" s="3"/>
      <c r="H15" s="3">
        <f t="shared" si="5"/>
        <v>0</v>
      </c>
      <c r="I15" s="3">
        <f t="shared" si="4"/>
        <v>0</v>
      </c>
      <c r="J15" s="2"/>
      <c r="K15" s="2"/>
      <c r="L15" s="3"/>
      <c r="M15" s="3">
        <f t="shared" si="1"/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>
      <c r="A16" s="2" t="str">
        <f>Capítulos!$A$2</f>
        <v>ADMINISTRACION</v>
      </c>
      <c r="B16" s="2" t="s">
        <v>3303</v>
      </c>
      <c r="C16" s="2" t="s">
        <v>3316</v>
      </c>
      <c r="D16" s="2"/>
      <c r="E16" s="2"/>
      <c r="F16" s="2"/>
      <c r="G16" s="3"/>
      <c r="H16" s="3">
        <f t="shared" si="5"/>
        <v>0</v>
      </c>
      <c r="I16" s="3">
        <f t="shared" si="4"/>
        <v>0</v>
      </c>
      <c r="J16" s="2"/>
      <c r="K16" s="2"/>
      <c r="L16" s="3"/>
      <c r="M16" s="3">
        <f t="shared" si="1"/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>
      <c r="A17" s="2" t="str">
        <f>Capítulos!$A$2</f>
        <v>ADMINISTRACION</v>
      </c>
      <c r="B17" s="2" t="s">
        <v>3303</v>
      </c>
      <c r="C17" s="2" t="s">
        <v>3317</v>
      </c>
      <c r="D17" s="2"/>
      <c r="E17" s="2"/>
      <c r="F17" s="2"/>
      <c r="G17" s="3"/>
      <c r="H17" s="3">
        <f t="shared" si="5"/>
        <v>0</v>
      </c>
      <c r="I17" s="3">
        <f t="shared" si="4"/>
        <v>0</v>
      </c>
      <c r="J17" s="2"/>
      <c r="K17" s="2"/>
      <c r="L17" s="3"/>
      <c r="M17" s="3">
        <f t="shared" si="1"/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>
      <c r="A18" s="2" t="str">
        <f>Capítulos!$A$2</f>
        <v>ADMINISTRACION</v>
      </c>
      <c r="B18" s="2" t="s">
        <v>3303</v>
      </c>
      <c r="C18" s="2" t="s">
        <v>3318</v>
      </c>
      <c r="D18" s="2"/>
      <c r="E18" s="2"/>
      <c r="F18" s="2"/>
      <c r="G18" s="3"/>
      <c r="H18" s="3">
        <f t="shared" si="5"/>
        <v>0</v>
      </c>
      <c r="I18" s="3">
        <f t="shared" si="4"/>
        <v>0</v>
      </c>
      <c r="J18" s="2"/>
      <c r="K18" s="2"/>
      <c r="L18" s="3"/>
      <c r="M18" s="3">
        <f t="shared" si="1"/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>
      <c r="A19" s="2" t="str">
        <f>Capítulos!$A$2</f>
        <v>ADMINISTRACION</v>
      </c>
      <c r="B19" s="2" t="s">
        <v>3319</v>
      </c>
      <c r="C19" s="2"/>
      <c r="D19" s="2"/>
      <c r="E19" s="2"/>
      <c r="F19" s="2"/>
      <c r="G19" s="3"/>
      <c r="H19" s="3">
        <f t="shared" si="5"/>
        <v>0</v>
      </c>
      <c r="I19" s="3">
        <f t="shared" si="4"/>
        <v>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2" t="str">
        <f>Capítulos!$A$2</f>
        <v>ADMINISTRACION</v>
      </c>
      <c r="B20" s="2" t="s">
        <v>3320</v>
      </c>
      <c r="C20" s="2"/>
      <c r="D20" s="2"/>
      <c r="E20" s="2"/>
      <c r="F20" s="2"/>
      <c r="G20" s="3"/>
      <c r="H20" s="3">
        <f t="shared" si="5"/>
        <v>0</v>
      </c>
      <c r="I20" s="3">
        <f t="shared" si="4"/>
        <v>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2" t="str">
        <f>Capítulos!$A$2</f>
        <v>ADMINISTRACION</v>
      </c>
      <c r="B21" s="2" t="s">
        <v>3321</v>
      </c>
      <c r="C21" s="2"/>
      <c r="D21" s="2"/>
      <c r="E21" s="2"/>
      <c r="F21" s="2"/>
      <c r="G21" s="3"/>
      <c r="H21" s="3">
        <f t="shared" si="5"/>
        <v>0</v>
      </c>
      <c r="I21" s="3">
        <f t="shared" si="4"/>
        <v>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>
      <c r="A22" s="2" t="str">
        <f>Capítulos!$A$2</f>
        <v>ADMINISTRACION</v>
      </c>
      <c r="B22" s="2" t="s">
        <v>3322</v>
      </c>
      <c r="C22" s="2"/>
      <c r="D22" s="2"/>
      <c r="E22" s="2"/>
      <c r="F22" s="2"/>
      <c r="G22" s="3"/>
      <c r="H22" s="3">
        <f t="shared" si="5"/>
        <v>0</v>
      </c>
      <c r="I22" s="3">
        <f t="shared" si="4"/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2" t="str">
        <f>Capítulos!$A$2</f>
        <v>ADMINISTRACION</v>
      </c>
      <c r="B23" s="2" t="s">
        <v>3323</v>
      </c>
      <c r="C23" s="2"/>
      <c r="D23" s="2"/>
      <c r="E23" s="2"/>
      <c r="F23" s="2"/>
      <c r="G23" s="3"/>
      <c r="H23" s="3">
        <f t="shared" si="5"/>
        <v>0</v>
      </c>
      <c r="I23" s="3">
        <f t="shared" si="4"/>
        <v>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2" t="str">
        <f>Capítulos!$A$2</f>
        <v>ADMINISTRACION</v>
      </c>
      <c r="B24" s="2" t="s">
        <v>3324</v>
      </c>
      <c r="C24" s="2"/>
      <c r="D24" s="2"/>
      <c r="E24" s="2"/>
      <c r="F24" s="2"/>
      <c r="G24" s="3"/>
      <c r="H24" s="3">
        <f t="shared" si="5"/>
        <v>0</v>
      </c>
      <c r="I24" s="3">
        <f t="shared" si="4"/>
        <v>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2" t="str">
        <f>Capítulos!$A$2</f>
        <v>ADMINISTRACION</v>
      </c>
      <c r="B25" s="2" t="s">
        <v>3325</v>
      </c>
      <c r="C25" s="2"/>
      <c r="D25" s="2"/>
      <c r="E25" s="2"/>
      <c r="F25" s="2"/>
      <c r="G25" s="3"/>
      <c r="H25" s="3">
        <f t="shared" si="5"/>
        <v>0</v>
      </c>
      <c r="I25" s="3">
        <f t="shared" si="4"/>
        <v>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0B4C-7B8A-4209-B23B-A1DED36DA6D6}">
  <dimension ref="A2:Y31"/>
  <sheetViews>
    <sheetView showGridLines="0" topLeftCell="A2" workbookViewId="0">
      <selection activeCell="A26" sqref="A26:XFD72"/>
    </sheetView>
  </sheetViews>
  <sheetFormatPr defaultColWidth="8.7109375" defaultRowHeight="14.45"/>
  <cols>
    <col min="1" max="1" width="26" bestFit="1" customWidth="1"/>
    <col min="2" max="2" width="43.7109375" bestFit="1" customWidth="1"/>
    <col min="3" max="3" width="60.28515625" bestFit="1" customWidth="1"/>
    <col min="4" max="4" width="36.7109375" bestFit="1" customWidth="1"/>
    <col min="5" max="5" width="7.140625" bestFit="1" customWidth="1"/>
    <col min="6" max="6" width="12.85546875" bestFit="1" customWidth="1"/>
    <col min="7" max="7" width="14.85546875" style="12" bestFit="1" customWidth="1"/>
    <col min="8" max="8" width="14.85546875" style="12" customWidth="1"/>
    <col min="9" max="9" width="14.5703125" style="12" bestFit="1" customWidth="1"/>
    <col min="10" max="10" width="51.5703125" bestFit="1" customWidth="1"/>
    <col min="11" max="11" width="38.85546875" bestFit="1" customWidth="1"/>
    <col min="12" max="12" width="40.140625" bestFit="1" customWidth="1"/>
    <col min="13" max="13" width="20.7109375" bestFit="1" customWidth="1"/>
    <col min="14" max="25" width="13.85546875" customWidth="1"/>
  </cols>
  <sheetData>
    <row r="2" spans="1:25">
      <c r="B2" s="1" t="s">
        <v>3263</v>
      </c>
      <c r="C2" s="6"/>
    </row>
    <row r="3" spans="1:25">
      <c r="B3" s="2" t="s">
        <v>3264</v>
      </c>
      <c r="C3" s="8" t="s">
        <v>3265</v>
      </c>
    </row>
    <row r="4" spans="1:25">
      <c r="B4" s="2" t="s">
        <v>3266</v>
      </c>
      <c r="C4" s="10">
        <v>0.08</v>
      </c>
    </row>
    <row r="5" spans="1:25">
      <c r="B5" s="2" t="s">
        <v>3267</v>
      </c>
      <c r="C5" s="9" t="s">
        <v>3268</v>
      </c>
    </row>
    <row r="6" spans="1:25">
      <c r="G6" s="13"/>
      <c r="H6" s="13"/>
      <c r="I6" s="13"/>
    </row>
    <row r="7" spans="1:25" ht="24.6" customHeight="1">
      <c r="A7" s="15" t="s">
        <v>3269</v>
      </c>
      <c r="B7" s="15" t="s">
        <v>3270</v>
      </c>
      <c r="C7" s="15" t="s">
        <v>3271</v>
      </c>
      <c r="D7" s="15" t="s">
        <v>1</v>
      </c>
      <c r="E7" s="15" t="s">
        <v>3272</v>
      </c>
      <c r="F7" s="15" t="s">
        <v>3273</v>
      </c>
      <c r="G7" s="15" t="s">
        <v>3274</v>
      </c>
      <c r="H7" s="15" t="s">
        <v>3275</v>
      </c>
      <c r="I7" s="15" t="s">
        <v>3276</v>
      </c>
      <c r="J7" s="15" t="s">
        <v>3277</v>
      </c>
      <c r="K7" s="15" t="s">
        <v>3278</v>
      </c>
      <c r="L7" s="15" t="s">
        <v>3279</v>
      </c>
      <c r="M7" s="15" t="s">
        <v>3280</v>
      </c>
      <c r="N7" s="15" t="s">
        <v>3281</v>
      </c>
      <c r="O7" s="15" t="s">
        <v>3282</v>
      </c>
      <c r="P7" s="15" t="s">
        <v>3283</v>
      </c>
      <c r="Q7" s="15" t="s">
        <v>3284</v>
      </c>
      <c r="R7" s="15" t="s">
        <v>3285</v>
      </c>
      <c r="S7" s="15" t="s">
        <v>3286</v>
      </c>
      <c r="T7" s="15" t="s">
        <v>3287</v>
      </c>
      <c r="U7" s="15" t="s">
        <v>3288</v>
      </c>
      <c r="V7" s="15" t="s">
        <v>3289</v>
      </c>
      <c r="W7" s="15" t="s">
        <v>3290</v>
      </c>
      <c r="X7" s="15" t="s">
        <v>3291</v>
      </c>
      <c r="Y7" s="15" t="s">
        <v>3292</v>
      </c>
    </row>
    <row r="8" spans="1:25">
      <c r="A8" s="2" t="s">
        <v>3248</v>
      </c>
      <c r="B8" s="2" t="s">
        <v>3658</v>
      </c>
      <c r="C8" s="2"/>
      <c r="D8" s="2"/>
      <c r="E8" s="2"/>
      <c r="F8" s="2"/>
      <c r="G8" s="3"/>
      <c r="H8" s="3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2" t="s">
        <v>3248</v>
      </c>
      <c r="B9" s="2" t="s">
        <v>582</v>
      </c>
      <c r="C9" s="2"/>
      <c r="D9" s="2"/>
      <c r="E9" s="2"/>
      <c r="F9" s="2"/>
      <c r="G9" s="3"/>
      <c r="H9" s="3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2" t="s">
        <v>3248</v>
      </c>
      <c r="B10" s="2" t="s">
        <v>3659</v>
      </c>
      <c r="C10" s="2"/>
      <c r="D10" s="2"/>
      <c r="E10" s="2"/>
      <c r="F10" s="2"/>
      <c r="G10" s="3"/>
      <c r="H10" s="3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2" t="s">
        <v>3248</v>
      </c>
      <c r="B11" s="2" t="s">
        <v>3660</v>
      </c>
      <c r="C11" s="2"/>
      <c r="D11" s="2"/>
      <c r="E11" s="2"/>
      <c r="F11" s="2"/>
      <c r="G11" s="3"/>
      <c r="H11" s="3"/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2" t="s">
        <v>3248</v>
      </c>
      <c r="B12" s="2" t="s">
        <v>3661</v>
      </c>
      <c r="C12" s="2"/>
      <c r="D12" s="2"/>
      <c r="E12" s="2"/>
      <c r="F12" s="2"/>
      <c r="G12" s="3"/>
      <c r="H12" s="3"/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2" t="s">
        <v>3248</v>
      </c>
      <c r="B13" s="2" t="s">
        <v>3662</v>
      </c>
      <c r="C13" s="2"/>
      <c r="D13" s="2"/>
      <c r="E13" s="2"/>
      <c r="F13" s="2"/>
      <c r="G13" s="3"/>
      <c r="H13" s="3"/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2" t="s">
        <v>3248</v>
      </c>
      <c r="B14" s="2" t="s">
        <v>3663</v>
      </c>
      <c r="C14" s="2"/>
      <c r="D14" s="2"/>
      <c r="E14" s="2"/>
      <c r="F14" s="2"/>
      <c r="G14" s="3"/>
      <c r="H14" s="3"/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2" t="s">
        <v>3248</v>
      </c>
      <c r="B15" s="2" t="s">
        <v>3664</v>
      </c>
      <c r="C15" s="2"/>
      <c r="D15" s="2"/>
      <c r="E15" s="2"/>
      <c r="F15" s="2"/>
      <c r="G15" s="3"/>
      <c r="H15" s="3"/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2" t="s">
        <v>3248</v>
      </c>
      <c r="B16" s="2" t="s">
        <v>579</v>
      </c>
      <c r="C16" s="2" t="s">
        <v>3665</v>
      </c>
      <c r="D16" s="2"/>
      <c r="E16" s="2"/>
      <c r="F16" s="2"/>
      <c r="G16" s="3"/>
      <c r="H16" s="3"/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2" t="s">
        <v>3248</v>
      </c>
      <c r="B17" s="2" t="s">
        <v>579</v>
      </c>
      <c r="C17" s="2" t="s">
        <v>3666</v>
      </c>
      <c r="D17" s="2"/>
      <c r="E17" s="2"/>
      <c r="F17" s="2"/>
      <c r="G17" s="3"/>
      <c r="H17" s="3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2" t="s">
        <v>3248</v>
      </c>
      <c r="B18" s="2" t="s">
        <v>579</v>
      </c>
      <c r="C18" s="2" t="s">
        <v>3667</v>
      </c>
      <c r="D18" s="2"/>
      <c r="E18" s="2"/>
      <c r="F18" s="2"/>
      <c r="G18" s="3"/>
      <c r="H18" s="3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2" t="s">
        <v>3248</v>
      </c>
      <c r="B19" s="2" t="s">
        <v>579</v>
      </c>
      <c r="C19" s="2" t="s">
        <v>3668</v>
      </c>
      <c r="D19" s="2"/>
      <c r="E19" s="2"/>
      <c r="F19" s="2"/>
      <c r="G19" s="3"/>
      <c r="H19" s="3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2" t="s">
        <v>3248</v>
      </c>
      <c r="B20" s="2" t="s">
        <v>579</v>
      </c>
      <c r="C20" s="2" t="s">
        <v>3669</v>
      </c>
      <c r="D20" s="2"/>
      <c r="E20" s="2"/>
      <c r="F20" s="2"/>
      <c r="G20" s="3"/>
      <c r="H20" s="3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2" t="s">
        <v>3248</v>
      </c>
      <c r="B21" s="2" t="s">
        <v>579</v>
      </c>
      <c r="C21" s="2" t="s">
        <v>3670</v>
      </c>
      <c r="D21" s="2"/>
      <c r="E21" s="2"/>
      <c r="F21" s="2"/>
      <c r="G21" s="3"/>
      <c r="H21" s="3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>
      <c r="A22" s="2" t="s">
        <v>3248</v>
      </c>
      <c r="B22" s="2" t="s">
        <v>3671</v>
      </c>
      <c r="C22" s="2"/>
      <c r="D22" s="2"/>
      <c r="E22" s="2"/>
      <c r="F22" s="2"/>
      <c r="G22" s="3"/>
      <c r="H22" s="3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2" t="s">
        <v>3248</v>
      </c>
      <c r="B23" s="2" t="s">
        <v>3672</v>
      </c>
      <c r="C23" s="2"/>
      <c r="D23" s="2"/>
      <c r="E23" s="2"/>
      <c r="F23" s="2"/>
      <c r="G23" s="3"/>
      <c r="H23" s="3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2" t="s">
        <v>3248</v>
      </c>
      <c r="B24" s="2" t="s">
        <v>3673</v>
      </c>
      <c r="C24" s="2"/>
      <c r="D24" s="2"/>
      <c r="E24" s="2"/>
      <c r="F24" s="2"/>
      <c r="G24" s="3"/>
      <c r="H24" s="3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2" t="s">
        <v>3248</v>
      </c>
      <c r="B25" s="2" t="s">
        <v>3674</v>
      </c>
      <c r="C25" s="2"/>
      <c r="D25" s="2"/>
      <c r="E25" s="2"/>
      <c r="F25" s="2"/>
      <c r="G25" s="3"/>
      <c r="H25" s="3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 t="s">
        <v>3248</v>
      </c>
      <c r="B26" s="2" t="s">
        <v>3675</v>
      </c>
      <c r="C26" s="2"/>
      <c r="D26" s="2"/>
      <c r="E26" s="2"/>
      <c r="F26" s="2"/>
      <c r="G26" s="3"/>
      <c r="H26" s="3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 t="s">
        <v>3248</v>
      </c>
      <c r="B27" s="2" t="s">
        <v>3676</v>
      </c>
      <c r="C27" s="2"/>
      <c r="D27" s="2"/>
      <c r="E27" s="2"/>
      <c r="F27" s="2"/>
      <c r="G27" s="3"/>
      <c r="H27" s="3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 t="s">
        <v>3248</v>
      </c>
      <c r="B28" s="2" t="s">
        <v>3677</v>
      </c>
      <c r="C28" s="2"/>
      <c r="D28" s="2"/>
      <c r="E28" s="2"/>
      <c r="F28" s="2"/>
      <c r="G28" s="3"/>
      <c r="H28" s="3"/>
      <c r="I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 t="s">
        <v>3248</v>
      </c>
      <c r="B29" s="2" t="s">
        <v>3678</v>
      </c>
      <c r="C29" s="2"/>
      <c r="D29" s="2"/>
      <c r="E29" s="2"/>
      <c r="F29" s="2"/>
      <c r="G29" s="3"/>
      <c r="H29" s="3"/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 t="s">
        <v>3248</v>
      </c>
      <c r="B30" s="2" t="s">
        <v>3679</v>
      </c>
      <c r="C30" s="2"/>
      <c r="D30" s="2"/>
      <c r="E30" s="2"/>
      <c r="F30" s="2"/>
      <c r="G30" s="3"/>
      <c r="H30" s="3"/>
      <c r="I30" s="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 t="s">
        <v>3248</v>
      </c>
      <c r="B31" s="2" t="s">
        <v>3680</v>
      </c>
      <c r="C31" s="2"/>
      <c r="D31" s="2"/>
      <c r="E31" s="2"/>
      <c r="F31" s="2"/>
      <c r="G31" s="3"/>
      <c r="H31" s="3"/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4B46-A090-4E8C-B5BC-DC5418C1D30C}">
  <dimension ref="A2:Y11"/>
  <sheetViews>
    <sheetView showGridLines="0" topLeftCell="A2" workbookViewId="0">
      <selection activeCell="A26" sqref="A26:XFD72"/>
    </sheetView>
  </sheetViews>
  <sheetFormatPr defaultColWidth="8.7109375" defaultRowHeight="14.45"/>
  <cols>
    <col min="1" max="1" width="26" bestFit="1" customWidth="1"/>
    <col min="2" max="2" width="41.140625" bestFit="1" customWidth="1"/>
    <col min="3" max="3" width="60.28515625" bestFit="1" customWidth="1"/>
    <col min="4" max="4" width="36.7109375" bestFit="1" customWidth="1"/>
    <col min="5" max="5" width="7.140625" bestFit="1" customWidth="1"/>
    <col min="6" max="6" width="12.85546875" bestFit="1" customWidth="1"/>
    <col min="7" max="7" width="14.85546875" style="12" bestFit="1" customWidth="1"/>
    <col min="8" max="8" width="14.85546875" style="12" customWidth="1"/>
    <col min="9" max="9" width="14.5703125" style="12" bestFit="1" customWidth="1"/>
    <col min="10" max="10" width="51.5703125" bestFit="1" customWidth="1"/>
    <col min="11" max="11" width="38.85546875" bestFit="1" customWidth="1"/>
    <col min="12" max="12" width="40.140625" bestFit="1" customWidth="1"/>
    <col min="13" max="13" width="20.7109375" bestFit="1" customWidth="1"/>
    <col min="14" max="25" width="13.85546875" customWidth="1"/>
  </cols>
  <sheetData>
    <row r="2" spans="1:25">
      <c r="B2" s="1" t="s">
        <v>3263</v>
      </c>
      <c r="C2" s="6"/>
    </row>
    <row r="3" spans="1:25">
      <c r="B3" s="2" t="s">
        <v>3264</v>
      </c>
      <c r="C3" s="8" t="s">
        <v>3265</v>
      </c>
    </row>
    <row r="4" spans="1:25">
      <c r="B4" s="2" t="s">
        <v>3266</v>
      </c>
      <c r="C4" s="10">
        <v>0.08</v>
      </c>
    </row>
    <row r="5" spans="1:25">
      <c r="B5" s="2" t="s">
        <v>3267</v>
      </c>
      <c r="C5" s="9" t="s">
        <v>3268</v>
      </c>
    </row>
    <row r="6" spans="1:25">
      <c r="G6" s="13"/>
      <c r="H6" s="13"/>
      <c r="I6" s="13"/>
    </row>
    <row r="7" spans="1:25" ht="24.6" customHeight="1">
      <c r="A7" s="15" t="s">
        <v>3269</v>
      </c>
      <c r="B7" s="15" t="s">
        <v>3270</v>
      </c>
      <c r="C7" s="15" t="s">
        <v>3271</v>
      </c>
      <c r="D7" s="15" t="s">
        <v>1</v>
      </c>
      <c r="E7" s="15" t="s">
        <v>3272</v>
      </c>
      <c r="F7" s="15" t="s">
        <v>3273</v>
      </c>
      <c r="G7" s="15" t="s">
        <v>3274</v>
      </c>
      <c r="H7" s="15" t="s">
        <v>3275</v>
      </c>
      <c r="I7" s="15" t="s">
        <v>3276</v>
      </c>
      <c r="J7" s="15" t="s">
        <v>3277</v>
      </c>
      <c r="K7" s="15" t="s">
        <v>3278</v>
      </c>
      <c r="L7" s="15" t="s">
        <v>3279</v>
      </c>
      <c r="M7" s="15" t="s">
        <v>3280</v>
      </c>
      <c r="N7" s="15" t="s">
        <v>3281</v>
      </c>
      <c r="O7" s="15" t="s">
        <v>3282</v>
      </c>
      <c r="P7" s="15" t="s">
        <v>3283</v>
      </c>
      <c r="Q7" s="15" t="s">
        <v>3284</v>
      </c>
      <c r="R7" s="15" t="s">
        <v>3285</v>
      </c>
      <c r="S7" s="15" t="s">
        <v>3286</v>
      </c>
      <c r="T7" s="15" t="s">
        <v>3287</v>
      </c>
      <c r="U7" s="15" t="s">
        <v>3288</v>
      </c>
      <c r="V7" s="15" t="s">
        <v>3289</v>
      </c>
      <c r="W7" s="15" t="s">
        <v>3290</v>
      </c>
      <c r="X7" s="15" t="s">
        <v>3291</v>
      </c>
      <c r="Y7" s="15" t="s">
        <v>3292</v>
      </c>
    </row>
    <row r="8" spans="1:25">
      <c r="A8" s="2" t="s">
        <v>3250</v>
      </c>
      <c r="B8" s="2" t="s">
        <v>3681</v>
      </c>
      <c r="C8" s="2"/>
      <c r="D8" s="2"/>
      <c r="E8" s="2"/>
      <c r="F8" s="2"/>
      <c r="G8" s="3"/>
      <c r="H8" s="3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2" t="s">
        <v>3250</v>
      </c>
      <c r="B9" s="2" t="s">
        <v>3682</v>
      </c>
      <c r="C9" s="2"/>
      <c r="D9" s="2"/>
      <c r="E9" s="2"/>
      <c r="F9" s="2"/>
      <c r="G9" s="3"/>
      <c r="H9" s="3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2" t="s">
        <v>3250</v>
      </c>
      <c r="B10" s="2" t="s">
        <v>3683</v>
      </c>
      <c r="C10" s="2"/>
      <c r="D10" s="2"/>
      <c r="E10" s="2"/>
      <c r="F10" s="2"/>
      <c r="G10" s="3"/>
      <c r="H10" s="3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2" t="s">
        <v>3250</v>
      </c>
      <c r="B11" s="2" t="s">
        <v>3684</v>
      </c>
      <c r="C11" s="2"/>
      <c r="D11" s="2"/>
      <c r="E11" s="2"/>
      <c r="F11" s="2"/>
      <c r="G11" s="3"/>
      <c r="H11" s="3"/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5BCF6-4917-4638-A5EE-5473DD2F6BA8}">
  <dimension ref="A2:Y14"/>
  <sheetViews>
    <sheetView showGridLines="0" topLeftCell="A2" workbookViewId="0">
      <selection activeCell="A26" sqref="A26:XFD72"/>
    </sheetView>
  </sheetViews>
  <sheetFormatPr defaultColWidth="8.7109375" defaultRowHeight="14.45"/>
  <cols>
    <col min="1" max="1" width="26" bestFit="1" customWidth="1"/>
    <col min="2" max="2" width="41.140625" bestFit="1" customWidth="1"/>
    <col min="3" max="3" width="60.28515625" bestFit="1" customWidth="1"/>
    <col min="4" max="4" width="36.7109375" bestFit="1" customWidth="1"/>
    <col min="5" max="5" width="7.140625" bestFit="1" customWidth="1"/>
    <col min="6" max="6" width="12.85546875" bestFit="1" customWidth="1"/>
    <col min="7" max="7" width="14.85546875" style="12" bestFit="1" customWidth="1"/>
    <col min="8" max="8" width="14.85546875" style="12" customWidth="1"/>
    <col min="9" max="9" width="14.5703125" style="12" bestFit="1" customWidth="1"/>
    <col min="10" max="10" width="51.5703125" bestFit="1" customWidth="1"/>
    <col min="11" max="11" width="38.85546875" bestFit="1" customWidth="1"/>
    <col min="12" max="12" width="40.140625" bestFit="1" customWidth="1"/>
    <col min="13" max="13" width="20.7109375" bestFit="1" customWidth="1"/>
    <col min="14" max="25" width="13.85546875" customWidth="1"/>
  </cols>
  <sheetData>
    <row r="2" spans="1:25">
      <c r="B2" s="1" t="s">
        <v>3263</v>
      </c>
      <c r="C2" s="6"/>
    </row>
    <row r="3" spans="1:25">
      <c r="B3" s="2" t="s">
        <v>3264</v>
      </c>
      <c r="C3" s="8" t="s">
        <v>3265</v>
      </c>
    </row>
    <row r="4" spans="1:25">
      <c r="B4" s="2" t="s">
        <v>3266</v>
      </c>
      <c r="C4" s="10">
        <v>0.08</v>
      </c>
    </row>
    <row r="5" spans="1:25">
      <c r="B5" s="2" t="s">
        <v>3267</v>
      </c>
      <c r="C5" s="9" t="s">
        <v>3268</v>
      </c>
    </row>
    <row r="6" spans="1:25">
      <c r="G6" s="13"/>
      <c r="H6" s="13"/>
      <c r="I6" s="13"/>
    </row>
    <row r="7" spans="1:25" ht="24.6" customHeight="1">
      <c r="A7" s="15" t="s">
        <v>3269</v>
      </c>
      <c r="B7" s="15" t="s">
        <v>3270</v>
      </c>
      <c r="C7" s="15" t="s">
        <v>3271</v>
      </c>
      <c r="D7" s="15" t="s">
        <v>1</v>
      </c>
      <c r="E7" s="15" t="s">
        <v>3272</v>
      </c>
      <c r="F7" s="15" t="s">
        <v>3273</v>
      </c>
      <c r="G7" s="15" t="s">
        <v>3274</v>
      </c>
      <c r="H7" s="15" t="s">
        <v>3275</v>
      </c>
      <c r="I7" s="15" t="s">
        <v>3276</v>
      </c>
      <c r="J7" s="15" t="s">
        <v>3277</v>
      </c>
      <c r="K7" s="15" t="s">
        <v>3278</v>
      </c>
      <c r="L7" s="15" t="s">
        <v>3279</v>
      </c>
      <c r="M7" s="15" t="s">
        <v>3280</v>
      </c>
      <c r="N7" s="15" t="s">
        <v>3281</v>
      </c>
      <c r="O7" s="15" t="s">
        <v>3282</v>
      </c>
      <c r="P7" s="15" t="s">
        <v>3283</v>
      </c>
      <c r="Q7" s="15" t="s">
        <v>3284</v>
      </c>
      <c r="R7" s="15" t="s">
        <v>3285</v>
      </c>
      <c r="S7" s="15" t="s">
        <v>3286</v>
      </c>
      <c r="T7" s="15" t="s">
        <v>3287</v>
      </c>
      <c r="U7" s="15" t="s">
        <v>3288</v>
      </c>
      <c r="V7" s="15" t="s">
        <v>3289</v>
      </c>
      <c r="W7" s="15" t="s">
        <v>3290</v>
      </c>
      <c r="X7" s="15" t="s">
        <v>3291</v>
      </c>
      <c r="Y7" s="15" t="s">
        <v>3292</v>
      </c>
    </row>
    <row r="8" spans="1:25">
      <c r="A8" s="2" t="s">
        <v>3252</v>
      </c>
      <c r="B8" s="2" t="s">
        <v>3685</v>
      </c>
      <c r="C8" s="2"/>
      <c r="D8" s="2"/>
      <c r="E8" s="2"/>
      <c r="F8" s="2"/>
      <c r="G8" s="3"/>
      <c r="H8" s="3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2" t="s">
        <v>3252</v>
      </c>
      <c r="B9" s="2" t="s">
        <v>3686</v>
      </c>
      <c r="C9" s="2"/>
      <c r="D9" s="2"/>
      <c r="E9" s="2"/>
      <c r="F9" s="2"/>
      <c r="G9" s="3"/>
      <c r="H9" s="3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2" t="s">
        <v>3252</v>
      </c>
      <c r="B10" s="2" t="s">
        <v>3687</v>
      </c>
      <c r="C10" s="2"/>
      <c r="D10" s="2"/>
      <c r="E10" s="2"/>
      <c r="F10" s="2"/>
      <c r="G10" s="3"/>
      <c r="H10" s="3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2" t="s">
        <v>3252</v>
      </c>
      <c r="B11" s="2" t="s">
        <v>3688</v>
      </c>
      <c r="C11" s="2"/>
      <c r="D11" s="2"/>
      <c r="E11" s="2"/>
      <c r="F11" s="2"/>
      <c r="G11" s="3"/>
      <c r="H11" s="3"/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2" t="s">
        <v>3252</v>
      </c>
      <c r="B12" s="2" t="s">
        <v>3689</v>
      </c>
      <c r="C12" s="2"/>
      <c r="D12" s="2"/>
      <c r="E12" s="2"/>
      <c r="F12" s="2"/>
      <c r="G12" s="3"/>
      <c r="H12" s="3"/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2" t="s">
        <v>3252</v>
      </c>
      <c r="B13" s="2" t="s">
        <v>3690</v>
      </c>
      <c r="C13" s="2"/>
      <c r="D13" s="2"/>
      <c r="E13" s="2"/>
      <c r="F13" s="2"/>
      <c r="G13" s="3"/>
      <c r="H13" s="3"/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2"/>
      <c r="B14" s="2"/>
      <c r="C14" s="2"/>
      <c r="D14" s="2"/>
      <c r="E14" s="2"/>
      <c r="F14" s="2"/>
      <c r="G14" s="3"/>
      <c r="H14" s="3"/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Directora Financiera</dc:creator>
  <cp:keywords/>
  <dc:description/>
  <cp:lastModifiedBy/>
  <cp:revision/>
  <dcterms:created xsi:type="dcterms:W3CDTF">2025-09-01T14:17:59Z</dcterms:created>
  <dcterms:modified xsi:type="dcterms:W3CDTF">2026-01-14T01:47:30Z</dcterms:modified>
  <cp:category/>
  <cp:contentStatus/>
</cp:coreProperties>
</file>