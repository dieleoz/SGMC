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8915" windowHeight="7890" tabRatio="942" activeTab="1"/>
  </bookViews>
  <sheets>
    <sheet name="PMG 2016" sheetId="8" r:id="rId1"/>
    <sheet name="PMG 2017" sheetId="18" r:id="rId2"/>
    <sheet name="MANTENIMIENTO FEBRERO" sheetId="12" r:id="rId3"/>
    <sheet name="SEMANA 1 AL 5 DE FEBRERO" sheetId="4" r:id="rId4"/>
    <sheet name="SEMANA 8 AL 12 DE FEBRERO" sheetId="17" r:id="rId5"/>
    <sheet name="OBSERVACIONES" sheetId="5" r:id="rId6"/>
  </sheets>
  <definedNames>
    <definedName name="_xlnm._FilterDatabase" localSheetId="2" hidden="1">'MANTENIMIENTO FEBRERO'!$B$10:$J$176</definedName>
    <definedName name="_xlnm._FilterDatabase" localSheetId="0" hidden="1">'PMG 2016'!$B$10:$BD$181</definedName>
    <definedName name="_xlnm._FilterDatabase" localSheetId="1" hidden="1">'PMG 2017'!$B$10:$BD$181</definedName>
    <definedName name="A_impresión_IM" localSheetId="2">#REF!</definedName>
    <definedName name="A_impresión_IM" localSheetId="5">#REF!</definedName>
    <definedName name="A_impresión_IM" localSheetId="1">#REF!</definedName>
    <definedName name="A_impresión_IM" localSheetId="3">#REF!</definedName>
    <definedName name="A_impresión_IM" localSheetId="4">#REF!</definedName>
    <definedName name="A_impresión_IM">#REF!</definedName>
    <definedName name="_xlnm.Print_Area" localSheetId="2">'MANTENIMIENTO FEBRERO'!$A$2:$J$209</definedName>
    <definedName name="_xlnm.Print_Area" localSheetId="5">OBSERVACIONES!$A$1:$E$20</definedName>
    <definedName name="_xlnm.Print_Area" localSheetId="0">'PMG 2016'!$A$2:$BD$214</definedName>
    <definedName name="_xlnm.Print_Area" localSheetId="1">'PMG 2017'!$A$2:$BD$214</definedName>
    <definedName name="_xlnm.Print_Area" localSheetId="3">'SEMANA 1 AL 5 DE FEBRERO'!$A$1:$H$37</definedName>
    <definedName name="_xlnm.Print_Area" localSheetId="4">'SEMANA 8 AL 12 DE FEBRERO'!$A$1:$H$34</definedName>
    <definedName name="_xlnm.Print_Titles" localSheetId="2">'MANTENIMIENTO FEBRERO'!$1:$10</definedName>
    <definedName name="_xlnm.Print_Titles" localSheetId="0">'PMG 2016'!$1:$10</definedName>
    <definedName name="_xlnm.Print_Titles" localSheetId="1">'PMG 2017'!$1:$10</definedName>
    <definedName name="www" localSheetId="2">#REF!</definedName>
    <definedName name="www" localSheetId="1">#REF!</definedName>
    <definedName name="www" localSheetId="4">#REF!</definedName>
    <definedName name="www">#REF!</definedName>
  </definedNames>
  <calcPr calcId="145621"/>
</workbook>
</file>

<file path=xl/calcChain.xml><?xml version="1.0" encoding="utf-8"?>
<calcChain xmlns="http://schemas.openxmlformats.org/spreadsheetml/2006/main">
  <c r="BE181" i="18" l="1"/>
  <c r="BE180" i="18"/>
  <c r="BE179" i="18"/>
  <c r="BE178" i="18"/>
  <c r="BE177" i="18"/>
  <c r="BE175" i="18"/>
  <c r="BE173" i="18"/>
  <c r="BE172" i="18"/>
  <c r="BE171" i="18"/>
  <c r="BE170" i="18"/>
  <c r="BE168" i="18"/>
  <c r="BE167" i="18"/>
  <c r="BE166" i="18"/>
  <c r="BE165" i="18"/>
  <c r="BE164" i="18"/>
  <c r="BE163" i="18"/>
  <c r="BE162" i="18"/>
  <c r="BE160" i="18"/>
  <c r="BE159" i="18"/>
  <c r="BE158" i="18"/>
  <c r="BE157" i="18"/>
  <c r="BE156" i="18"/>
  <c r="BE155" i="18"/>
  <c r="BE153" i="18"/>
  <c r="BE151" i="18"/>
  <c r="BE150" i="18"/>
  <c r="BE149" i="18"/>
  <c r="BE148" i="18"/>
  <c r="BE147" i="18"/>
  <c r="BE144" i="18"/>
  <c r="BE143" i="18"/>
  <c r="BE142" i="18"/>
  <c r="BE141" i="18"/>
  <c r="BE140" i="18"/>
  <c r="BE139" i="18"/>
  <c r="BE138" i="18"/>
  <c r="BE136" i="18"/>
  <c r="BE135" i="18"/>
  <c r="BE134" i="18"/>
  <c r="BE133" i="18"/>
  <c r="BE131" i="18"/>
  <c r="BE129" i="18"/>
  <c r="BE128" i="18"/>
  <c r="BE127" i="18"/>
  <c r="BE126" i="18"/>
  <c r="BE120" i="18"/>
  <c r="BE119" i="18"/>
  <c r="BE115" i="18"/>
  <c r="BE114" i="18"/>
  <c r="BE113" i="18"/>
  <c r="BE112" i="18"/>
  <c r="BE111" i="18"/>
  <c r="BE110" i="18"/>
  <c r="BE109" i="18"/>
  <c r="BE108" i="18"/>
  <c r="BE102" i="18"/>
  <c r="BE101" i="18"/>
  <c r="BE98" i="18"/>
  <c r="BE97" i="18"/>
  <c r="BE96" i="18"/>
  <c r="BE95" i="18"/>
  <c r="BE94" i="18"/>
  <c r="BE93" i="18"/>
  <c r="BE92" i="18"/>
  <c r="BE91" i="18"/>
  <c r="BE90" i="18"/>
  <c r="BE89" i="18"/>
  <c r="BE88" i="18"/>
  <c r="BE85" i="18"/>
  <c r="BE84" i="18"/>
  <c r="BE83" i="18"/>
  <c r="BE80" i="18"/>
  <c r="BE79" i="18"/>
  <c r="BE78" i="18"/>
  <c r="BE77" i="18"/>
  <c r="BE76" i="18"/>
  <c r="BE75" i="18"/>
  <c r="BE74" i="18"/>
  <c r="BE73" i="18"/>
  <c r="BE72" i="18"/>
  <c r="BE71" i="18"/>
  <c r="BE68" i="18"/>
  <c r="BE67" i="18"/>
  <c r="BE66" i="18"/>
  <c r="BE65" i="18"/>
  <c r="BE63" i="18"/>
  <c r="BE60" i="18"/>
  <c r="BE59" i="18"/>
  <c r="BE56" i="18"/>
  <c r="BE55" i="18"/>
  <c r="BE54" i="18"/>
  <c r="BE53" i="18"/>
  <c r="BE52" i="18"/>
  <c r="BE51" i="18"/>
  <c r="BE50" i="18"/>
  <c r="BE49" i="18"/>
  <c r="BE47" i="18"/>
  <c r="BE46" i="18"/>
  <c r="BE45" i="18"/>
  <c r="BE44" i="18"/>
  <c r="BE43" i="18"/>
  <c r="BE41" i="18"/>
  <c r="BE40" i="18"/>
  <c r="BE39" i="18"/>
  <c r="BE38" i="18"/>
  <c r="BE37" i="18"/>
  <c r="BE34" i="18"/>
  <c r="BE33" i="18"/>
  <c r="BE32" i="18"/>
  <c r="BE31" i="18"/>
  <c r="BE30" i="18"/>
  <c r="BE29" i="18"/>
  <c r="BE28" i="18"/>
  <c r="BE27" i="18"/>
  <c r="BE26" i="18"/>
  <c r="BE25" i="18"/>
  <c r="BE24" i="18"/>
  <c r="BE23" i="18"/>
  <c r="BE22" i="18"/>
  <c r="BE21" i="18"/>
  <c r="BE20" i="18"/>
  <c r="BE19" i="18"/>
  <c r="BE18" i="18"/>
  <c r="BE17" i="18"/>
  <c r="BE16" i="18"/>
  <c r="BE15" i="18"/>
  <c r="BE14" i="18"/>
  <c r="BE13" i="18"/>
  <c r="BE60" i="8"/>
  <c r="BE59" i="8"/>
  <c r="BE159" i="8"/>
  <c r="BE76" i="8"/>
  <c r="BE41" i="8"/>
  <c r="BE40" i="8"/>
  <c r="BE39" i="8"/>
  <c r="BE38" i="8"/>
  <c r="C27" i="4"/>
  <c r="F26" i="17" l="1"/>
  <c r="E26" i="17"/>
  <c r="D26" i="17"/>
  <c r="C26" i="17"/>
  <c r="F24" i="17"/>
  <c r="F25" i="17" s="1"/>
  <c r="E24" i="17"/>
  <c r="E25" i="17" s="1"/>
  <c r="D24" i="17"/>
  <c r="C24" i="17"/>
  <c r="C25" i="17" s="1"/>
  <c r="D27" i="17" l="1"/>
  <c r="E27" i="17"/>
  <c r="D25" i="17"/>
  <c r="F27" i="17"/>
  <c r="G26" i="17"/>
  <c r="C27" i="17"/>
  <c r="G24" i="17"/>
  <c r="D29" i="4"/>
  <c r="E29" i="4"/>
  <c r="F29" i="4"/>
  <c r="D27" i="4"/>
  <c r="E27" i="4"/>
  <c r="F27" i="4"/>
  <c r="C29" i="4"/>
  <c r="BE181" i="8" l="1"/>
  <c r="BE180" i="8"/>
  <c r="BE179" i="8"/>
  <c r="BE178" i="8"/>
  <c r="BE177" i="8"/>
  <c r="BE175" i="8"/>
  <c r="BE173" i="8"/>
  <c r="BE172" i="8"/>
  <c r="BE171" i="8"/>
  <c r="BE170" i="8"/>
  <c r="BE168" i="8"/>
  <c r="BE167" i="8"/>
  <c r="BE166" i="8"/>
  <c r="BE165" i="8"/>
  <c r="BE164" i="8"/>
  <c r="BE163" i="8"/>
  <c r="BE162" i="8"/>
  <c r="BE160" i="8"/>
  <c r="BE158" i="8"/>
  <c r="BE157" i="8"/>
  <c r="BE156" i="8"/>
  <c r="BE155" i="8"/>
  <c r="BE153" i="8"/>
  <c r="BE151" i="8"/>
  <c r="BE150" i="8"/>
  <c r="BE149" i="8"/>
  <c r="BE148" i="8"/>
  <c r="BE147" i="8"/>
  <c r="BE144" i="8"/>
  <c r="BE143" i="8"/>
  <c r="BE142" i="8"/>
  <c r="BE141" i="8"/>
  <c r="BE140" i="8"/>
  <c r="BE139" i="8"/>
  <c r="BE138" i="8"/>
  <c r="BE136" i="8"/>
  <c r="BE135" i="8"/>
  <c r="BE134" i="8"/>
  <c r="BE133" i="8"/>
  <c r="BE131" i="8"/>
  <c r="BE129" i="8"/>
  <c r="BE128" i="8"/>
  <c r="BE127" i="8"/>
  <c r="BE126" i="8"/>
  <c r="BE120" i="8"/>
  <c r="BE119" i="8"/>
  <c r="BE115" i="8"/>
  <c r="BE114" i="8"/>
  <c r="BE113" i="8"/>
  <c r="BE112" i="8"/>
  <c r="BE111" i="8"/>
  <c r="BE110" i="8"/>
  <c r="BE109" i="8"/>
  <c r="BE108" i="8"/>
  <c r="BE102" i="8"/>
  <c r="BE101" i="8"/>
  <c r="BE98" i="8"/>
  <c r="BE97" i="8"/>
  <c r="BE96" i="8"/>
  <c r="BE95" i="8"/>
  <c r="BE94" i="8"/>
  <c r="BE93" i="8"/>
  <c r="BE92" i="8"/>
  <c r="BE91" i="8"/>
  <c r="BE90" i="8"/>
  <c r="BE89" i="8"/>
  <c r="BE88" i="8"/>
  <c r="BE85" i="8"/>
  <c r="BE84" i="8"/>
  <c r="BE83" i="8"/>
  <c r="BE80" i="8"/>
  <c r="BE79" i="8"/>
  <c r="BE78" i="8"/>
  <c r="BE77" i="8"/>
  <c r="BE75" i="8"/>
  <c r="BE74" i="8"/>
  <c r="BE73" i="8"/>
  <c r="BE72" i="8"/>
  <c r="BE71" i="8"/>
  <c r="BE68" i="8"/>
  <c r="BE67" i="8"/>
  <c r="BE66" i="8"/>
  <c r="BE65" i="8"/>
  <c r="BE63" i="8"/>
  <c r="BE56" i="8"/>
  <c r="BE55" i="8"/>
  <c r="BE54" i="8"/>
  <c r="BE53" i="8"/>
  <c r="BE52" i="8"/>
  <c r="BE51" i="8"/>
  <c r="BE50" i="8"/>
  <c r="BE49" i="8"/>
  <c r="BE47" i="8"/>
  <c r="BE46" i="8"/>
  <c r="BE45" i="8"/>
  <c r="BE44" i="8"/>
  <c r="BE43" i="8"/>
  <c r="BE37" i="8"/>
  <c r="BE34" i="8"/>
  <c r="BE33" i="8"/>
  <c r="BE32" i="8"/>
  <c r="BE31" i="8"/>
  <c r="BE30" i="8"/>
  <c r="BE29" i="8"/>
  <c r="BE28" i="8"/>
  <c r="BE27" i="8"/>
  <c r="BE26" i="8"/>
  <c r="BE25" i="8"/>
  <c r="BE24" i="8"/>
  <c r="BE23" i="8"/>
  <c r="BE22" i="8"/>
  <c r="BE21" i="8"/>
  <c r="BE20" i="8"/>
  <c r="BE19" i="8"/>
  <c r="BE18" i="8"/>
  <c r="BE17" i="8"/>
  <c r="BE16" i="8"/>
  <c r="BE15" i="8"/>
  <c r="BE14" i="8"/>
  <c r="BE13" i="8"/>
  <c r="D28" i="4" l="1"/>
  <c r="F28" i="4"/>
  <c r="E28" i="4"/>
  <c r="C30" i="4"/>
  <c r="E30" i="4"/>
  <c r="D30" i="4"/>
  <c r="C28" i="4"/>
  <c r="F30" i="4"/>
  <c r="G27" i="4"/>
  <c r="G29" i="4"/>
</calcChain>
</file>

<file path=xl/sharedStrings.xml><?xml version="1.0" encoding="utf-8"?>
<sst xmlns="http://schemas.openxmlformats.org/spreadsheetml/2006/main" count="1032" uniqueCount="275">
  <si>
    <t>D</t>
  </si>
  <si>
    <t>MANTENIMIENTO SEMESTRAL SERVIDORES</t>
  </si>
  <si>
    <t>SERVIDORES</t>
  </si>
  <si>
    <t>PC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</si>
  <si>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</si>
  <si>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</si>
  <si>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</si>
  <si>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</si>
  <si>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</si>
  <si>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</si>
  <si>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</si>
  <si>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</si>
  <si>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</si>
  <si>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</si>
  <si>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</si>
  <si>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</si>
  <si>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GABINETES</t>
  </si>
  <si>
    <t>GABINETES-RACKS</t>
  </si>
  <si>
    <t>LIMPIEZA MENSUAL DE PUESTOS DE TRABAJO</t>
  </si>
  <si>
    <t>PUESTOS DE TRABAJO</t>
  </si>
  <si>
    <t>MANTENIMIENTO SEMESTRAL VIDEOWALL</t>
  </si>
  <si>
    <t>VIDEOWALL</t>
  </si>
  <si>
    <t>PANTALLAS LCD</t>
  </si>
  <si>
    <t>PANTALLAS - VIDEOWALL</t>
  </si>
  <si>
    <t>LIMPIEZA MENSUAL DE BALIZAS Y FUENTES DE BALIZAS</t>
  </si>
  <si>
    <t>BALIZAS</t>
  </si>
  <si>
    <t>AMPLIFICADORES</t>
  </si>
  <si>
    <t>MANTENIMIENTO TRIMESTRAL ALTAVOCES</t>
  </si>
  <si>
    <t>ALTAVOCES</t>
  </si>
  <si>
    <t>MEGAFONÍA</t>
  </si>
  <si>
    <t>MANTENIMIENTO TRIMESTRAL ANALIZADORES DAI</t>
  </si>
  <si>
    <t>ANALIZADORES</t>
  </si>
  <si>
    <t>DAI</t>
  </si>
  <si>
    <t>MEDICIÓN ANUAL DE FIBRAS ÓPTICAS</t>
  </si>
  <si>
    <t>FIBRA ÓPTICA</t>
  </si>
  <si>
    <t>MANTENIMIENTO TRIMESTRAL EQUIPOS ACTIVOS</t>
  </si>
  <si>
    <t>EQUIPOS ACTIVOS</t>
  </si>
  <si>
    <t>COMUNICACIONES</t>
  </si>
  <si>
    <t>OSM/OLM/RS485-FO/GATEWAY</t>
  </si>
  <si>
    <t>MANTENIMIENTO TRIMESTRAL PLC</t>
  </si>
  <si>
    <t>PLC</t>
  </si>
  <si>
    <t>MANTENIMIENTO TRIMESTRAL PTZ</t>
  </si>
  <si>
    <t>CONTROL PTZ</t>
  </si>
  <si>
    <t>CÁMARAS VÍA</t>
  </si>
  <si>
    <t>CÁMARAS TÚNEL</t>
  </si>
  <si>
    <t>VERIFICACIÓN TRIMESTRAL DE PARÁMETROS INALÁMBRICOS</t>
  </si>
  <si>
    <t>CABLE RADIANTE: BQ, BV, VIA</t>
  </si>
  <si>
    <t>MANTENIMIENTO SEMESTRAL EQUIPOS CABLE RADIANTE</t>
  </si>
  <si>
    <t>LIMPIEZA MENSUAL EQUIPOS CABLE RADIANTE</t>
  </si>
  <si>
    <t>PRUEBA SEMANAL RADIO-COMUNICACIONES y EMISORA</t>
  </si>
  <si>
    <t>EQUIPOS CABLE RADIANTE: BQ, BV, VIA</t>
  </si>
  <si>
    <t>RADIOCOMUNICACIONES</t>
  </si>
  <si>
    <t>PRUEBA SEMANAL POSTES SOS</t>
  </si>
  <si>
    <t>POSTES SOS</t>
  </si>
  <si>
    <t>LIMPIEZA MENSUAL ESTACIONES METEOROLÓGICAS</t>
  </si>
  <si>
    <t>ESTACIONES METEOROLÓGICAS</t>
  </si>
  <si>
    <t>LUMINANCÍMETROS - ILUMINANCÍMETROS</t>
  </si>
  <si>
    <t>LIMPIEZA MENSUAL ANEMÓMETROS</t>
  </si>
  <si>
    <t>ANEMÓMETROS</t>
  </si>
  <si>
    <t>OPACÍMETROS</t>
  </si>
  <si>
    <t>DETECTORES DE NO2</t>
  </si>
  <si>
    <t>SENSORES</t>
  </si>
  <si>
    <t>MANTENIMIENTO TRIMESTRAL BARRERA</t>
  </si>
  <si>
    <t>BARRERAS</t>
  </si>
  <si>
    <t>ESPIRAS</t>
  </si>
  <si>
    <t>MANTENIMIENTO TRIMESTRAL SENSORES GÁLIBO ELECTRÓNICO</t>
  </si>
  <si>
    <t>PRUEBA MENSUAL SISTEMA DE GÁLIBO ELECTRÓNICO</t>
  </si>
  <si>
    <t>GÁLIBO ELECTRÓNICO</t>
  </si>
  <si>
    <t>PÁNELES DE MENSAJES TÚNEL y VÍA</t>
  </si>
  <si>
    <t>SEÑALES DE VELOCIDAD VARIABLE-ASPAFLECHA y LIMITE VELOCIDAD</t>
  </si>
  <si>
    <t>SEMÁFOROS</t>
  </si>
  <si>
    <t>CERTIFICACIÓN ANUAL DEL TUBO SENSOR</t>
  </si>
  <si>
    <t>TUBO SENSOR</t>
  </si>
  <si>
    <t>MANTENIMIENTO TRIMESTRAL CONTROLADOR TUBO SENSOR</t>
  </si>
  <si>
    <t>CONTROLADOR TUBO SENSOR</t>
  </si>
  <si>
    <t>CERTIFICACIÓN ANUAL CABLE SENSOR</t>
  </si>
  <si>
    <t>PRUEBA SEMESTRAL CABLE SENSOR</t>
  </si>
  <si>
    <t>CABLE SENSOR</t>
  </si>
  <si>
    <t>MANTENIMIENTO TRIMESTRAL CONTROLADOR CABLE SENSOR</t>
  </si>
  <si>
    <t>CONTROLADORES CABLE SENSOR</t>
  </si>
  <si>
    <t>ESTACIONES MANUALES</t>
  </si>
  <si>
    <t>PRUEBA TRIMESTRAL DETECTORES</t>
  </si>
  <si>
    <t>LIMPIEZA MENSUAL DETECTORES</t>
  </si>
  <si>
    <t>DETECTORES HUMO-TEMP</t>
  </si>
  <si>
    <t>MANTENIMIENTO TRIMESTRAL CENTRALES DE INCENDIO</t>
  </si>
  <si>
    <t>CHEQUEO MENSUAL CENTRALES DE INCENDIO</t>
  </si>
  <si>
    <t>CENTRALES INCENDIO</t>
  </si>
  <si>
    <t>INDRA COLOMBIA</t>
  </si>
  <si>
    <t>CONTRATO DE MANTENIMIENTO ITS y COMUNICACIONES</t>
  </si>
  <si>
    <t>BQ</t>
  </si>
  <si>
    <t>QB</t>
  </si>
  <si>
    <t>BV</t>
  </si>
  <si>
    <t>V</t>
  </si>
  <si>
    <t>CHEQUEO MENSUAL SISTEMA AGENTE LIMPIO FM200</t>
  </si>
  <si>
    <t>MANTENIMIENTO TRIMESTRAL DE SEMAFOROS</t>
  </si>
  <si>
    <t>MANTENIMIENTO TRIMESTRAL DE AF, SLV</t>
  </si>
  <si>
    <t>MANTENIMIENTO TRIMESTRAL PMV</t>
  </si>
  <si>
    <t>MANTENIMIENTO TRIMESTRAL DETECTORES DE CO Y NO2</t>
  </si>
  <si>
    <t>MANTENIMIENTO TRIMESTRAL OPACIMETROS</t>
  </si>
  <si>
    <t>MANTENIMIENTO TRIMESTRAL ANEMOMETROS</t>
  </si>
  <si>
    <t>MANTENIMIENTO TRIMESTRAL POSTES SOS</t>
  </si>
  <si>
    <t>PRUEBA MENSUAL CON INTERVENTORIA POSTES SOS</t>
  </si>
  <si>
    <t>MANTENIMIENTO BIMENSUAL EQUIPOS CCTV S/E</t>
  </si>
  <si>
    <t>VERIFICACION SEMANAL MASCARAS DAI</t>
  </si>
  <si>
    <t>PRUEBA SEMESTRAL SECUENCIA DE INCENDIO PLC</t>
  </si>
  <si>
    <t>MANTENIMIENTO TRIMESTRAL GATEWAY, OLM, OSM</t>
  </si>
  <si>
    <t>MANTENIMIENTO TRIMESTRAL POWERMETER</t>
  </si>
  <si>
    <t>MANTENIMIENTO MENSUAL AMPLIFICADORES</t>
  </si>
  <si>
    <t>PRUEBA SEMESTRAL DE MEGAFONIA</t>
  </si>
  <si>
    <t>LIMPIEZA PROFUNDA SEMESTRAL DE PANTALLAS</t>
  </si>
  <si>
    <t>MANTENIMIENTO TRIMESTRAL AIRE ACONDICIONADO</t>
  </si>
  <si>
    <t>LIMPIEZA MENSUAL EQUIPOS DE COMPUTO</t>
  </si>
  <si>
    <t xml:space="preserve">V </t>
  </si>
  <si>
    <t>MANTENIMIENTO MENSUAL RADARES CIRANO</t>
  </si>
  <si>
    <t>MANTENIMIENTO TRIMESTRAL EQUIPOS SGI</t>
  </si>
  <si>
    <t>CERTIFICACION ANUAL RADARES</t>
  </si>
  <si>
    <t>MANTENIMIENTO TRIMESTRAL ESTACIONES METEOROLÓGICAS</t>
  </si>
  <si>
    <t>MANTENIMIENTO TRIMESTRAL CÁMARAS VÍA</t>
  </si>
  <si>
    <t>PRUEBA SEMESTRAL SISTEMA SEGURIDAD BUNKER</t>
  </si>
  <si>
    <t>MANTENIMIENTO TRIMESTRAL EQUIPOS DE COMPUTO</t>
  </si>
  <si>
    <t>MANTENIMIENTO TRIMESTRAL RAISECOM</t>
  </si>
  <si>
    <t>MANTENIMIENTO TRIMESTRAL FIREWALL</t>
  </si>
  <si>
    <t>CHEQUEO Y LIMPIEZA TRIMESTRAL  ANTENAS WIFI</t>
  </si>
  <si>
    <t>LIMPIEZA ANUAL PROFUNDA DE AF, SLV</t>
  </si>
  <si>
    <t>MANTENIMIENTO TRIMESTRAL SISTEMA ESPIRAS</t>
  </si>
  <si>
    <t>CALIBRACIÓN SEMESTRAL OPACÍMETROS</t>
  </si>
  <si>
    <t>MANTENIMIENTO TRIMESTRAL EQUIPOS CCTV</t>
  </si>
  <si>
    <t>BQ-QB</t>
  </si>
  <si>
    <t>LIMPIEZA MENSUAL RACKS</t>
  </si>
  <si>
    <t>MANTENIMIENTO TRIMESTRAL VENTILACION FORZADA RACKS</t>
  </si>
  <si>
    <t>LIMPIEZA TRIMESTRAL GABINETES</t>
  </si>
  <si>
    <t>PRUEBA DE FUNCIONAMIENTO MENSUAL ESTACIONES MANUALES Y SVV</t>
  </si>
  <si>
    <t>LIMPIEZA TRIMESTRAL ESTACIONES MANUALES Y SVV</t>
  </si>
  <si>
    <t>CHEQUEO MENSUAL SISTEMA CABLE SENSOR</t>
  </si>
  <si>
    <t>CHEQUEO MENSUAL DEL SISTEMA TUBO SENSOR</t>
  </si>
  <si>
    <t>MANTENIMIENTO TRIMESTRAL DE ALERTA PARADA</t>
  </si>
  <si>
    <t>BQ-BV</t>
  </si>
  <si>
    <t>BQ-V-BV</t>
  </si>
  <si>
    <t>MANTENIMIENTO BIMENSUAL CAMARAS INTERIOR TÚNEL</t>
  </si>
  <si>
    <t>MANTENIMIENTO MENSUAL EQUIPOS MEGAFONIA</t>
  </si>
  <si>
    <t xml:space="preserve">MANTENIMIENTO ANUAL PANTALLAS </t>
  </si>
  <si>
    <t>CONTRATO 444-005-15</t>
  </si>
  <si>
    <t>BQ-QB-BV</t>
  </si>
  <si>
    <t>MANTENIMIENTO MENSUAL RADARES CIVEME</t>
  </si>
  <si>
    <t>LIMPIEZA ANUAL PROFUNDA DE SVV</t>
  </si>
  <si>
    <t>MANTENIMIENTO ANUAL INTERNO PMV</t>
  </si>
  <si>
    <t>CONVENCIONES</t>
  </si>
  <si>
    <t>AÑO 2.016</t>
  </si>
  <si>
    <t>PLAN DE MANTENIMIENTO AÑO 2016</t>
  </si>
  <si>
    <t>TAREAS:         PLANEADAS VS EJECUTADAS</t>
  </si>
  <si>
    <t>X</t>
  </si>
  <si>
    <t>TAREAS PLANEADAS VS EJECUTADAS</t>
  </si>
  <si>
    <t>TOTAL</t>
  </si>
  <si>
    <t>TAREAS EJECUTADAS</t>
  </si>
  <si>
    <t>TAREAS NO EJECUTADAS</t>
  </si>
  <si>
    <t>COMENTARIO</t>
  </si>
  <si>
    <t>FECHA PLANEADA DE EJECUCIÓN</t>
  </si>
  <si>
    <t>O</t>
  </si>
  <si>
    <t>CONTRATO DE MANTENIMIENTO ITS y RADIOCOMUNICACIONES</t>
  </si>
  <si>
    <t>DETECCIÓN DE INCENDIO</t>
  </si>
  <si>
    <t>BQ-BV-QB</t>
  </si>
  <si>
    <t>LIMPIEZA SEMESTRAL SISTEMA AGENTE LIMPIO FM200</t>
  </si>
  <si>
    <t>PRUEBA TRIMESTRAL  DEL TUBO SENSOR</t>
  </si>
  <si>
    <t>CONTROL DE TRÁFICO</t>
  </si>
  <si>
    <t xml:space="preserve">MANTENIMIENTO TRIMESTRAL DE SVV </t>
  </si>
  <si>
    <t>CALIBRACIÓN Y MANTENIMIENTO SEMESTRAL DETECTORES DE CO Y NO2</t>
  </si>
  <si>
    <t>MANTENIMIENTO TRIMESTRAL ILUMINANCIMETROS</t>
  </si>
  <si>
    <t>CALIBRACIÓN Y MANTENIMIENTO SEMESTRAL ILUMINANCÍMETROS</t>
  </si>
  <si>
    <t>MANTENIMIENTO MENSUAL EQUIPOS CERRO GANCO</t>
  </si>
  <si>
    <t>MANTENIMIENTO MENSUAL EQUIPOS CERRO GUAYABETAL</t>
  </si>
  <si>
    <t>MANTENIMIENTO MENSUAL EQUIPOS CERRO VEREDA EL CARMEN</t>
  </si>
  <si>
    <t>MANTENIMIENTO SEMESTRAL REPETIDORAS CERRO GANCO</t>
  </si>
  <si>
    <t xml:space="preserve">MANTENIMIENTO SEMESTRAL REPETIDORAS CERRO GUAYABETAL </t>
  </si>
  <si>
    <t>MANTENIMIENTO SEMESTRAL REPETIDORAS  VEREDA EL CARMEN</t>
  </si>
  <si>
    <t>CCTV - DAI</t>
  </si>
  <si>
    <t>BQ- BV</t>
  </si>
  <si>
    <t>PLC - RED DE CONTROL</t>
  </si>
  <si>
    <t>BV-BQ</t>
  </si>
  <si>
    <t>MANTENIMIENTO MENSUAL AIRE ACONDICIONADO</t>
  </si>
  <si>
    <t>EQUIPOS CÓMPUTO</t>
  </si>
  <si>
    <t>REVISIÓN CUATRIMESTRAL UPS</t>
  </si>
  <si>
    <t xml:space="preserve">SISTEMA </t>
  </si>
  <si>
    <t>x</t>
  </si>
  <si>
    <t>PLAN DE MANTENIMIENTO - SEMANA 05</t>
  </si>
  <si>
    <t>* Se realizan correcciones al excel para:</t>
  </si>
  <si>
    <t>Esta actividad no se llevó  cabo debido a que el personal de Indra estaba ejecutando actividades   con el personal de AASA.  Se realizará en la semana del 15 al 19 del presente mes.</t>
  </si>
  <si>
    <t>Esta actividad no se llevó  cabo por problemas de ingreso al sitio, se espera hacer en la semana del 15 al 19 del presente mes.</t>
  </si>
  <si>
    <t>* En conjunto con el Ing. Hernando Orjuela se socializo el proceso de intervención: Correo al Jefe de sala y operadores con breve explicación de las actividades a realizar, con copia a Hernando orjuela y Diego Zúñiga; posterior a esto se debe llamar e informar al jefe de sala y operadores para que señalicen en campo según corresponda.</t>
  </si>
  <si>
    <t>P</t>
  </si>
  <si>
    <t>M</t>
  </si>
  <si>
    <t>T</t>
  </si>
  <si>
    <t>B</t>
  </si>
  <si>
    <t>S</t>
  </si>
  <si>
    <t>A</t>
  </si>
  <si>
    <t>LIMPIEZA ANUAL PROFUNDA DE SEMÁFOROS</t>
  </si>
  <si>
    <t>LIMPIEZA ANUAL PROFUNDA DE AF y SLV</t>
  </si>
  <si>
    <t>LIMPIEZA ANUAL INTERNO PMV</t>
  </si>
  <si>
    <t>LIMPIEZA Y PRUEBA MENSUAL SISTEMA DE GÁLIBO ELECTRÓNICO</t>
  </si>
  <si>
    <t>PRUEBA MENSUAL FUNCIONAMIENTO ESPIRAS</t>
  </si>
  <si>
    <t>MANTENIMIENTO SEMESTRAL PROFUNDO ESPIRAS (TARJ Y CAJAS)</t>
  </si>
  <si>
    <t>LIMPIEZA MENSUAL BARRERAS</t>
  </si>
  <si>
    <t>MANTENIMIENTO SEMESTRAL PRUFUNDO BARRERAS</t>
  </si>
  <si>
    <t>LIMPIEZA MENSUAL DETECTORES CO y NO2</t>
  </si>
  <si>
    <t>LIMPIEZA MENSUAL OPACÍMETROS</t>
  </si>
  <si>
    <t>CALIBRACIÓN Y MANTENIMIENTO PROFUNDO SEMESTRAL OPACÍMETROS</t>
  </si>
  <si>
    <t>CALIBRACIÓN Y MANTENIMIENTO PROFUNDO SEMESTRAL DETECTORES DE CO Y NO2</t>
  </si>
  <si>
    <t>CALIBRACIÓN Y MANTENIMIENTO PROFUNDO SEMESTRAL ANEMÓMETROS</t>
  </si>
  <si>
    <t>LIMPIEZA MENSUAL DE LUMINANCÍMETROS</t>
  </si>
  <si>
    <t>CALIBRACIÓN Y MANTENIMIENTO PROFUNDO ANUAL LUMINANCÍMETROS</t>
  </si>
  <si>
    <t>PRUEBA MENSUAL POSTES SOS (ANTES DE INTERVENTORÍA)</t>
  </si>
  <si>
    <t>MANTENIMIENTO SRIMESTRAL PROFUNDA POSTES SOS</t>
  </si>
  <si>
    <t>PRUEBA QUINCENAL RADIO-COMUNICACIONES y EMISORA</t>
  </si>
  <si>
    <t>Q</t>
  </si>
  <si>
    <t>MANTENIMIENTO SEMESTRAL PROFUNDA EQUIPOS CABLE RADIANTE</t>
  </si>
  <si>
    <t>LIMPIEZA SEMESTRAL PROFUNDA EQUIPOS PUNTO A PUNTO</t>
  </si>
  <si>
    <t>LIMPIEZA BIMESTRAL DE SEMÁFOROS</t>
  </si>
  <si>
    <t>LIMPIEZA BIMESTRAL DE AF y SLV</t>
  </si>
  <si>
    <t>LIMPIEZA BIMESTRAL EQUIPOS PUNTO A PUNTO</t>
  </si>
  <si>
    <t>PRUEBA MENSUAL OPERATIVA REDUNDANCIA CANAL PUNTO A PUNTO</t>
  </si>
  <si>
    <t>LIMPIEZA BIMESTRAL CAMARAS INTERIOR TÚNEL</t>
  </si>
  <si>
    <t>LIMPIEZA BIMESTRAL CAMARAS EXTERIOR TÚNEL (DOMOS)</t>
  </si>
  <si>
    <t>LIMPIEZA BIMESTRAL CAMARAS DE BUNKER O CUARTOS TECNICOS</t>
  </si>
  <si>
    <t>MANTENIMIENTO SEMESTRAL PROFUNDO CAMARAS DE BUNKER O CUARTOS TECNICOS</t>
  </si>
  <si>
    <t>VERIFICACION MENSUAL MASCARAS DAI</t>
  </si>
  <si>
    <t>MANTENIMIENTO PROFUNDO SEMESTRAL ANALIZADORES DAI</t>
  </si>
  <si>
    <t>PRUEBA SEMESTRAL ALGORITMO DE INCENDIO PLC</t>
  </si>
  <si>
    <t>PRUEBA SEMESTRAL ALGORITMO DE ILUMINACIÓN PLC</t>
  </si>
  <si>
    <t>PRUEBA SEMESTRAL ALGORITMO DE VENTILACIÓN PLC</t>
  </si>
  <si>
    <t>MANTENIMIENTO TRIMESTRAL SWITCH DE COMUNICACIONES PLC</t>
  </si>
  <si>
    <t>PRUEBAS BIMESTRAL ALARMAS DE ACCESO A BUNKER</t>
  </si>
  <si>
    <t>MANTENIMIENTO PROFUNDO ANUAL EQUIPOS DE CONTROL (PLC, SWITCH, CONVERSORES)</t>
  </si>
  <si>
    <t>PRUEBA BIMESTRAL SISTEMA HOT STAND BY</t>
  </si>
  <si>
    <t>MANTENIMIENTO TRIMESTRAL PLC (REVISIÓN DE PROGRAMA) BACK UP</t>
  </si>
  <si>
    <t>LIMPIEZA MENSUAL EQUIPOS DE COMUNICACIONES</t>
  </si>
  <si>
    <t>MANTENIMIENTO PROFUNDO SEMESTRAL EQUIPOS CONVERSORES Y SWITCH</t>
  </si>
  <si>
    <t>MANTENIMIENTO TRIMESTRAL PROFUNDO A AMPLIFICADORES</t>
  </si>
  <si>
    <t>MANTENIMIENTO ANUAL PANTALLAS LED</t>
  </si>
  <si>
    <t>MANTENIMIENTO PROFUNDO SEMESTRAL EQUIPOS VIDEOWALL</t>
  </si>
  <si>
    <t>LIMPIEZA MENSUAL PUESTOS DE TRABAJO CGL NAJ</t>
  </si>
  <si>
    <t>MANTENIMIENTO TRIMESTRAL PROFUNDO EQ AIRE FORZADO O ACONDICIONADO</t>
  </si>
  <si>
    <t>LIMPIEZA MENSUAL EQUIPOS DE COMPUTO WORKSTATION Y PERIFÉRICOS</t>
  </si>
  <si>
    <t>LIMPIEZA MENSUAL EQUIPOS SERVIDORES</t>
  </si>
  <si>
    <t>MANTENIMIENTO TRIMESTRAL PROFUNDO A EQUIPOS WORKSTATION Y SERVIDORES</t>
  </si>
  <si>
    <t>EQUIPAMIENTO</t>
  </si>
  <si>
    <t>PRUEBA BIMESTRAL DE LA REDUNDANCIA DE LOS NODOS CLUSTER</t>
  </si>
  <si>
    <t>LIMPIEZA MENSUAL DETECTORES DE TEMP. HUMO</t>
  </si>
  <si>
    <t>PRUEBA TRIMESTRAL DETECTORES TEMP. HUMO</t>
  </si>
  <si>
    <t>PRUEBA DE FUNCIONAMIENTO MENSUAL ESTACIONES MANUALES Y SEÑALES SONORAS</t>
  </si>
  <si>
    <t>LIMPIEZA TRIMESTRAL ESTACIONES MANUALES Y SEÑALES SONORAS</t>
  </si>
  <si>
    <t>CHEQUEO MENSUAL SISTEMA CABLE SENSOR Y PRUEBA DE REDUNDANCIA</t>
  </si>
  <si>
    <t>MANTENIMIENTO ANUAL PROFUNDO A EQUIPOS DE GÁLIBO ELECTRÓNICO</t>
  </si>
  <si>
    <t>MEDICIONES SEMESTRALES DE PUESTAS A TIERRA EN PÓRTICOS, BANDEROLAS, BUNKERS, BARRERAS, ANTENAS Y GABINETES DEL PUNTO A PUNTO Y CENTRO DE CONTROL CGL NAJ.</t>
  </si>
  <si>
    <t>MANTENIMIENTO SEMESTRAL PROFUNDO CAMARAS Y GABINETES INTERIOR TÚNEL</t>
  </si>
  <si>
    <t>MANTENIMIENTO SEMESTRAL PROFUNDO CAMARAS Y GABINETES EXTERIOR TÚNEL (DOMOS)</t>
  </si>
  <si>
    <t>LIMPIEZA MENSUAL DE ALTAVOCES Y AMPLIFICADORES</t>
  </si>
  <si>
    <t>LIMPIEZA MENSUAL RACKS (BUNKER Y CUARTOS TECNICOS Y CGL NAJ)</t>
  </si>
  <si>
    <t>DOBLE CALZADA - 444-012-14</t>
  </si>
  <si>
    <t>PLAN DE MANTENIMIENTO AÑO 2017</t>
  </si>
  <si>
    <t>AÑO 2.017</t>
  </si>
  <si>
    <t>T7</t>
  </si>
  <si>
    <t>TÚNEL 7</t>
  </si>
  <si>
    <t>T8</t>
  </si>
  <si>
    <t>TÚNEL 8</t>
  </si>
  <si>
    <t>T9</t>
  </si>
  <si>
    <t>TÚNEL 9</t>
  </si>
  <si>
    <t>T10</t>
  </si>
  <si>
    <t>TÚNEL 10</t>
  </si>
  <si>
    <t>T11</t>
  </si>
  <si>
    <t>TÚNEL 11</t>
  </si>
  <si>
    <t>T12</t>
  </si>
  <si>
    <t>TÚNEL 12</t>
  </si>
  <si>
    <t>T13</t>
  </si>
  <si>
    <t>LIMPIEZA MENSUAL DE ESTACIONES METEREOLÓGICAS</t>
  </si>
  <si>
    <t>MANTENIMIENTO SEMESTRAL PROFUNDO A ESTACIONES METEREOLÓGICAS</t>
  </si>
  <si>
    <t>MEDICIONES SEMESTRALES DE PUESTAS A TIERRA EN PÓRTICOS, BANDEROLAS, BUNKERS, BARRERAS, ESTACIONES METEREOLÓGICAS, ANTENAS, GABINETES DEL PUNTO A PUNTO Y CENTRO DE CONTROL CGL NAJ.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</si>
</sst>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2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11"/>
      <name val="Lucida Bright"/>
      <family val="1"/>
    </font>
    <font>
      <b/>
      <sz val="12"/>
      <name val="Helv"/>
    </font>
    <font>
      <sz val="10"/>
      <name val="Arial"/>
      <family val="2"/>
    </font>
    <font>
      <b/>
      <sz val="12"/>
      <name val="Arial"/>
      <family val="2"/>
    </font>
    <font>
      <strike/>
      <sz val="12"/>
      <name val="Helv"/>
    </font>
    <font>
      <b/>
      <sz val="11"/>
      <color rgb="FFFF0000"/>
      <name val="Lucida Bright"/>
      <family val="1"/>
    </font>
    <font>
      <b/>
      <sz val="16"/>
      <name val="Helv"/>
    </font>
    <font>
      <b/>
      <sz val="20"/>
      <name val="Arial"/>
      <family val="2"/>
    </font>
    <font>
      <b/>
      <sz val="11"/>
      <name val="Helv"/>
    </font>
    <font>
      <b/>
      <sz val="10"/>
      <name val="Helv"/>
    </font>
    <font>
      <sz val="8"/>
      <name val="Helv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name val="Helv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scheme val="minor"/>
    </font>
    <font>
      <sz val="12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Calibri"/>
      <scheme val="minor"/>
    </font>
    <font>
      <sz val="8"/>
      <name val="Calibri"/>
      <scheme val="minor"/>
    </font>
    <font>
      <b/>
      <sz val="10"/>
      <color theme="1"/>
      <name val="Helv"/>
    </font>
    <font>
      <sz val="6"/>
      <name val="Helv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FFD0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9" fillId="0" borderId="0" applyFont="0" applyFill="0" applyBorder="0" applyAlignment="0" applyProtection="0"/>
    <xf numFmtId="0" fontId="3" fillId="0" borderId="0"/>
    <xf numFmtId="0" fontId="21" fillId="0" borderId="0">
      <alignment vertical="top"/>
    </xf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449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17" borderId="18" xfId="0" applyFill="1" applyBorder="1" applyAlignment="1">
      <alignment vertical="center"/>
    </xf>
    <xf numFmtId="0" fontId="0" fillId="17" borderId="8" xfId="0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5" fillId="14" borderId="15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17" borderId="2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11" borderId="17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14" borderId="26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13" borderId="26" xfId="0" applyFont="1" applyFill="1" applyBorder="1" applyAlignment="1">
      <alignment vertical="center"/>
    </xf>
    <xf numFmtId="0" fontId="4" fillId="12" borderId="26" xfId="0" applyFont="1" applyFill="1" applyBorder="1" applyAlignment="1">
      <alignment vertical="center"/>
    </xf>
    <xf numFmtId="0" fontId="4" fillId="8" borderId="26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0" fontId="5" fillId="11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17" borderId="15" xfId="0" applyFont="1" applyFill="1" applyBorder="1" applyAlignment="1">
      <alignment horizontal="left" vertical="center"/>
    </xf>
    <xf numFmtId="0" fontId="10" fillId="4" borderId="12" xfId="0" applyFont="1" applyFill="1" applyBorder="1" applyAlignment="1" applyProtection="1">
      <alignment horizontal="left" vertical="center"/>
    </xf>
    <xf numFmtId="0" fontId="4" fillId="6" borderId="29" xfId="0" applyFont="1" applyFill="1" applyBorder="1" applyAlignment="1">
      <alignment vertical="center"/>
    </xf>
    <xf numFmtId="0" fontId="4" fillId="15" borderId="20" xfId="0" applyFont="1" applyFill="1" applyBorder="1" applyAlignment="1">
      <alignment vertical="center"/>
    </xf>
    <xf numFmtId="0" fontId="4" fillId="14" borderId="20" xfId="0" applyFont="1" applyFill="1" applyBorder="1" applyAlignment="1">
      <alignment vertical="center"/>
    </xf>
    <xf numFmtId="0" fontId="4" fillId="13" borderId="20" xfId="0" applyFont="1" applyFill="1" applyBorder="1" applyAlignment="1">
      <alignment vertical="center"/>
    </xf>
    <xf numFmtId="0" fontId="4" fillId="12" borderId="20" xfId="0" applyFont="1" applyFill="1" applyBorder="1" applyAlignment="1">
      <alignment vertical="center"/>
    </xf>
    <xf numFmtId="0" fontId="4" fillId="9" borderId="20" xfId="0" applyFont="1" applyFill="1" applyBorder="1" applyAlignment="1">
      <alignment vertical="center"/>
    </xf>
    <xf numFmtId="0" fontId="4" fillId="8" borderId="29" xfId="0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5" fillId="6" borderId="15" xfId="0" applyFont="1" applyFill="1" applyBorder="1" applyAlignment="1">
      <alignment horizontal="left" vertical="center"/>
    </xf>
    <xf numFmtId="0" fontId="5" fillId="8" borderId="15" xfId="0" applyFont="1" applyFill="1" applyBorder="1" applyAlignment="1">
      <alignment horizontal="left" vertical="center"/>
    </xf>
    <xf numFmtId="0" fontId="5" fillId="9" borderId="15" xfId="0" applyFont="1" applyFill="1" applyBorder="1" applyAlignment="1">
      <alignment horizontal="left" vertical="center"/>
    </xf>
    <xf numFmtId="0" fontId="5" fillId="12" borderId="15" xfId="0" applyFont="1" applyFill="1" applyBorder="1" applyAlignment="1">
      <alignment horizontal="left" vertical="center"/>
    </xf>
    <xf numFmtId="0" fontId="5" fillId="13" borderId="15" xfId="0" applyFont="1" applyFill="1" applyBorder="1" applyAlignment="1">
      <alignment horizontal="left" vertical="center"/>
    </xf>
    <xf numFmtId="0" fontId="5" fillId="15" borderId="15" xfId="0" applyFont="1" applyFill="1" applyBorder="1" applyAlignment="1">
      <alignment horizontal="left" vertical="center"/>
    </xf>
    <xf numFmtId="0" fontId="5" fillId="7" borderId="15" xfId="0" applyFont="1" applyFill="1" applyBorder="1" applyAlignment="1">
      <alignment horizontal="left" vertical="center"/>
    </xf>
    <xf numFmtId="0" fontId="5" fillId="16" borderId="15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vertical="center"/>
    </xf>
    <xf numFmtId="0" fontId="4" fillId="16" borderId="18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7" borderId="18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4" fillId="6" borderId="18" xfId="0" applyFont="1" applyFill="1" applyBorder="1" applyAlignment="1">
      <alignment vertical="center"/>
    </xf>
    <xf numFmtId="0" fontId="4" fillId="15" borderId="8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4" fillId="14" borderId="8" xfId="0" applyFont="1" applyFill="1" applyBorder="1" applyAlignment="1">
      <alignment vertical="center"/>
    </xf>
    <xf numFmtId="0" fontId="4" fillId="14" borderId="18" xfId="0" applyFont="1" applyFill="1" applyBorder="1" applyAlignment="1">
      <alignment vertical="center"/>
    </xf>
    <xf numFmtId="0" fontId="4" fillId="13" borderId="8" xfId="0" applyFont="1" applyFill="1" applyBorder="1" applyAlignment="1">
      <alignment vertical="center"/>
    </xf>
    <xf numFmtId="0" fontId="4" fillId="13" borderId="18" xfId="0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11" borderId="8" xfId="0" applyFont="1" applyFill="1" applyBorder="1" applyAlignment="1">
      <alignment vertical="center"/>
    </xf>
    <xf numFmtId="0" fontId="4" fillId="11" borderId="18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/>
    </xf>
    <xf numFmtId="0" fontId="4" fillId="10" borderId="18" xfId="0" applyFont="1" applyFill="1" applyBorder="1" applyAlignment="1">
      <alignment vertical="center"/>
    </xf>
    <xf numFmtId="0" fontId="4" fillId="9" borderId="18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4" fillId="8" borderId="18" xfId="0" applyFont="1" applyFill="1" applyBorder="1" applyAlignment="1">
      <alignment vertical="center"/>
    </xf>
    <xf numFmtId="0" fontId="4" fillId="3" borderId="23" xfId="0" applyFont="1" applyFill="1" applyBorder="1" applyAlignment="1" applyProtection="1">
      <alignment horizontal="center" vertical="center"/>
    </xf>
    <xf numFmtId="0" fontId="4" fillId="3" borderId="24" xfId="0" applyFont="1" applyFill="1" applyBorder="1" applyAlignment="1" applyProtection="1">
      <alignment horizontal="center" vertical="center"/>
    </xf>
    <xf numFmtId="0" fontId="4" fillId="0" borderId="22" xfId="0" applyFont="1" applyBorder="1" applyAlignment="1" applyProtection="1">
      <alignment horizontal="center" vertical="center"/>
    </xf>
    <xf numFmtId="0" fontId="4" fillId="0" borderId="2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3" borderId="22" xfId="0" applyFont="1" applyFill="1" applyBorder="1" applyAlignment="1" applyProtection="1">
      <alignment horizontal="center" vertical="center"/>
    </xf>
    <xf numFmtId="0" fontId="4" fillId="3" borderId="21" xfId="0" applyFont="1" applyFill="1" applyBorder="1" applyAlignment="1" applyProtection="1">
      <alignment horizontal="center" vertical="center"/>
    </xf>
    <xf numFmtId="0" fontId="4" fillId="0" borderId="32" xfId="0" applyFont="1" applyBorder="1" applyAlignment="1">
      <alignment vertical="center"/>
    </xf>
    <xf numFmtId="0" fontId="4" fillId="0" borderId="32" xfId="0" applyFont="1" applyFill="1" applyBorder="1" applyAlignment="1">
      <alignment vertical="center"/>
    </xf>
    <xf numFmtId="0" fontId="0" fillId="0" borderId="15" xfId="0" applyBorder="1"/>
    <xf numFmtId="0" fontId="4" fillId="3" borderId="11" xfId="0" applyFont="1" applyFill="1" applyBorder="1" applyAlignment="1" applyProtection="1">
      <alignment horizontal="center" vertical="center"/>
    </xf>
    <xf numFmtId="0" fontId="4" fillId="3" borderId="10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4" fillId="0" borderId="35" xfId="0" applyFont="1" applyFill="1" applyBorder="1" applyAlignment="1">
      <alignment vertical="center"/>
    </xf>
    <xf numFmtId="0" fontId="4" fillId="16" borderId="20" xfId="0" applyFont="1" applyFill="1" applyBorder="1" applyAlignment="1">
      <alignment vertical="center"/>
    </xf>
    <xf numFmtId="0" fontId="4" fillId="12" borderId="33" xfId="0" applyFont="1" applyFill="1" applyBorder="1" applyAlignment="1">
      <alignment vertical="center"/>
    </xf>
    <xf numFmtId="0" fontId="4" fillId="12" borderId="34" xfId="0" applyFont="1" applyFill="1" applyBorder="1" applyAlignment="1">
      <alignment vertical="center"/>
    </xf>
    <xf numFmtId="0" fontId="4" fillId="3" borderId="33" xfId="0" applyFont="1" applyFill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16" fillId="18" borderId="11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18" borderId="3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horizontal="center" vertical="center"/>
    </xf>
    <xf numFmtId="0" fontId="16" fillId="17" borderId="3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0" fontId="16" fillId="17" borderId="38" xfId="0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8" borderId="38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" xfId="0" applyFont="1" applyFill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6" fillId="0" borderId="39" xfId="0" applyFont="1" applyFill="1" applyBorder="1" applyAlignment="1">
      <alignment vertical="center"/>
    </xf>
    <xf numFmtId="0" fontId="16" fillId="18" borderId="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0" fontId="16" fillId="0" borderId="3" xfId="0" applyFont="1" applyBorder="1"/>
    <xf numFmtId="0" fontId="16" fillId="0" borderId="6" xfId="0" applyFont="1" applyBorder="1"/>
    <xf numFmtId="0" fontId="16" fillId="18" borderId="7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1" xfId="0" applyFont="1" applyFill="1" applyBorder="1" applyAlignment="1">
      <alignment horizontal="center" vertical="center"/>
    </xf>
    <xf numFmtId="0" fontId="16" fillId="18" borderId="9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6" fillId="18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16" fillId="13" borderId="11" xfId="0" applyFont="1" applyFill="1" applyBorder="1" applyAlignment="1">
      <alignment horizontal="center" vertical="center"/>
    </xf>
    <xf numFmtId="0" fontId="4" fillId="19" borderId="26" xfId="0" applyFont="1" applyFill="1" applyBorder="1" applyAlignment="1">
      <alignment vertical="center"/>
    </xf>
    <xf numFmtId="0" fontId="16" fillId="13" borderId="10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Fill="1" applyBorder="1" applyAlignment="1">
      <alignment vertical="center"/>
    </xf>
    <xf numFmtId="0" fontId="16" fillId="18" borderId="41" xfId="0" applyFont="1" applyFill="1" applyBorder="1" applyAlignment="1">
      <alignment horizontal="center" vertical="center"/>
    </xf>
    <xf numFmtId="0" fontId="16" fillId="18" borderId="37" xfId="0" applyFont="1" applyFill="1" applyBorder="1" applyAlignment="1">
      <alignment horizontal="center" vertical="center"/>
    </xf>
    <xf numFmtId="0" fontId="16" fillId="14" borderId="41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8" fillId="0" borderId="41" xfId="0" applyFont="1" applyFill="1" applyBorder="1" applyAlignment="1">
      <alignment horizontal="center" vertical="center"/>
    </xf>
    <xf numFmtId="0" fontId="18" fillId="0" borderId="42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4" fillId="3" borderId="43" xfId="0" applyFont="1" applyFill="1" applyBorder="1" applyAlignment="1" applyProtection="1">
      <alignment horizontal="center" vertical="center"/>
    </xf>
    <xf numFmtId="0" fontId="4" fillId="15" borderId="34" xfId="0" applyFont="1" applyFill="1" applyBorder="1" applyAlignment="1">
      <alignment vertical="center"/>
    </xf>
    <xf numFmtId="0" fontId="4" fillId="19" borderId="20" xfId="0" applyFont="1" applyFill="1" applyBorder="1" applyAlignment="1">
      <alignment vertical="center"/>
    </xf>
    <xf numFmtId="0" fontId="4" fillId="19" borderId="27" xfId="0" applyFont="1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13" fillId="13" borderId="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16" fillId="0" borderId="44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 applyProtection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4" fillId="3" borderId="25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4" fillId="3" borderId="48" xfId="0" applyFont="1" applyFill="1" applyBorder="1" applyAlignment="1" applyProtection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</xf>
    <xf numFmtId="0" fontId="4" fillId="14" borderId="17" xfId="0" applyFont="1" applyFill="1" applyBorder="1" applyAlignment="1">
      <alignment vertical="center"/>
    </xf>
    <xf numFmtId="0" fontId="4" fillId="6" borderId="17" xfId="0" applyFont="1" applyFill="1" applyBorder="1" applyAlignment="1">
      <alignment vertical="center"/>
    </xf>
    <xf numFmtId="0" fontId="3" fillId="0" borderId="0" xfId="5" applyAlignment="1">
      <alignment vertical="center"/>
    </xf>
    <xf numFmtId="0" fontId="22" fillId="0" borderId="0" xfId="5" applyFont="1" applyAlignment="1">
      <alignment vertical="center"/>
    </xf>
    <xf numFmtId="0" fontId="22" fillId="0" borderId="0" xfId="5" applyFont="1" applyFill="1" applyAlignment="1">
      <alignment vertical="center"/>
    </xf>
    <xf numFmtId="0" fontId="23" fillId="0" borderId="0" xfId="0" applyFont="1" applyFill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25" fillId="0" borderId="0" xfId="5" applyFont="1" applyAlignment="1">
      <alignment vertical="center"/>
    </xf>
    <xf numFmtId="0" fontId="3" fillId="0" borderId="0" xfId="5" applyFill="1" applyAlignment="1">
      <alignment vertical="center"/>
    </xf>
    <xf numFmtId="0" fontId="3" fillId="0" borderId="0" xfId="5" applyAlignment="1">
      <alignment horizontal="right" vertical="center"/>
    </xf>
    <xf numFmtId="0" fontId="26" fillId="0" borderId="0" xfId="5" applyFont="1" applyBorder="1" applyAlignment="1">
      <alignment vertical="center"/>
    </xf>
    <xf numFmtId="0" fontId="26" fillId="0" borderId="0" xfId="5" applyFont="1" applyFill="1" applyAlignment="1">
      <alignment horizontal="center" vertical="center"/>
    </xf>
    <xf numFmtId="0" fontId="27" fillId="0" borderId="0" xfId="5" applyFont="1" applyAlignment="1">
      <alignment vertical="center"/>
    </xf>
    <xf numFmtId="0" fontId="3" fillId="0" borderId="0" xfId="5" applyBorder="1" applyAlignment="1">
      <alignment vertical="center"/>
    </xf>
    <xf numFmtId="0" fontId="26" fillId="0" borderId="0" xfId="5" applyFont="1" applyFill="1" applyBorder="1" applyAlignment="1">
      <alignment horizontal="center" vertical="center"/>
    </xf>
    <xf numFmtId="0" fontId="28" fillId="0" borderId="0" xfId="5" applyFont="1" applyFill="1" applyBorder="1" applyAlignment="1">
      <alignment horizontal="center" vertical="center"/>
    </xf>
    <xf numFmtId="0" fontId="26" fillId="3" borderId="12" xfId="5" applyFont="1" applyFill="1" applyBorder="1" applyAlignment="1">
      <alignment vertical="center"/>
    </xf>
    <xf numFmtId="0" fontId="28" fillId="0" borderId="6" xfId="5" applyFont="1" applyBorder="1" applyAlignment="1">
      <alignment horizontal="center" vertical="center"/>
    </xf>
    <xf numFmtId="0" fontId="29" fillId="0" borderId="44" xfId="0" applyFont="1" applyBorder="1" applyAlignment="1">
      <alignment vertical="center"/>
    </xf>
    <xf numFmtId="0" fontId="28" fillId="0" borderId="6" xfId="5" applyFont="1" applyFill="1" applyBorder="1" applyAlignment="1">
      <alignment horizontal="center" vertical="center"/>
    </xf>
    <xf numFmtId="0" fontId="28" fillId="0" borderId="7" xfId="5" applyFont="1" applyFill="1" applyBorder="1" applyAlignment="1">
      <alignment horizontal="center" vertical="center"/>
    </xf>
    <xf numFmtId="0" fontId="28" fillId="0" borderId="1" xfId="5" applyFont="1" applyBorder="1" applyAlignment="1">
      <alignment horizontal="center" vertical="center"/>
    </xf>
    <xf numFmtId="0" fontId="28" fillId="0" borderId="0" xfId="5" applyFont="1" applyBorder="1" applyAlignment="1">
      <alignment vertical="center"/>
    </xf>
    <xf numFmtId="0" fontId="28" fillId="0" borderId="0" xfId="5" applyFont="1" applyBorder="1" applyAlignment="1">
      <alignment horizontal="center" vertical="center"/>
    </xf>
    <xf numFmtId="0" fontId="28" fillId="0" borderId="0" xfId="5" applyFont="1" applyFill="1" applyBorder="1" applyAlignment="1">
      <alignment vertical="center"/>
    </xf>
    <xf numFmtId="0" fontId="25" fillId="0" borderId="0" xfId="5" applyFont="1" applyFill="1" applyBorder="1" applyAlignment="1">
      <alignment vertical="center"/>
    </xf>
    <xf numFmtId="0" fontId="20" fillId="4" borderId="22" xfId="5" applyFont="1" applyFill="1" applyBorder="1" applyAlignment="1">
      <alignment horizontal="center" vertical="center"/>
    </xf>
    <xf numFmtId="0" fontId="20" fillId="4" borderId="21" xfId="5" applyFont="1" applyFill="1" applyBorder="1" applyAlignment="1">
      <alignment horizontal="center" vertical="center"/>
    </xf>
    <xf numFmtId="0" fontId="20" fillId="4" borderId="48" xfId="5" applyFont="1" applyFill="1" applyBorder="1" applyAlignment="1">
      <alignment horizontal="center" vertical="center"/>
    </xf>
    <xf numFmtId="0" fontId="20" fillId="4" borderId="17" xfId="5" applyFont="1" applyFill="1" applyBorder="1" applyAlignment="1">
      <alignment horizontal="center" vertical="center"/>
    </xf>
    <xf numFmtId="0" fontId="3" fillId="0" borderId="11" xfId="5" applyBorder="1" applyAlignment="1">
      <alignment horizontal="center" vertical="center"/>
    </xf>
    <xf numFmtId="0" fontId="3" fillId="0" borderId="0" xfId="5" applyFill="1" applyBorder="1" applyAlignment="1">
      <alignment horizontal="center" vertical="center"/>
    </xf>
    <xf numFmtId="9" fontId="3" fillId="4" borderId="4" xfId="1" applyFont="1" applyFill="1" applyBorder="1" applyAlignment="1">
      <alignment horizontal="center" vertical="center"/>
    </xf>
    <xf numFmtId="9" fontId="3" fillId="4" borderId="2" xfId="1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0" fontId="3" fillId="0" borderId="11" xfId="5" applyFill="1" applyBorder="1" applyAlignment="1">
      <alignment horizontal="center" vertical="center"/>
    </xf>
    <xf numFmtId="0" fontId="3" fillId="0" borderId="0" xfId="5" applyFill="1" applyBorder="1" applyAlignment="1">
      <alignment vertical="center"/>
    </xf>
    <xf numFmtId="0" fontId="20" fillId="0" borderId="0" xfId="5" applyFont="1" applyFill="1" applyBorder="1" applyAlignment="1">
      <alignment horizontal="center" vertical="center"/>
    </xf>
    <xf numFmtId="0" fontId="3" fillId="0" borderId="0" xfId="5" applyAlignment="1">
      <alignment horizontal="center" vertical="center"/>
    </xf>
    <xf numFmtId="0" fontId="3" fillId="0" borderId="0" xfId="5" applyFill="1" applyAlignment="1">
      <alignment horizontal="center" vertical="center"/>
    </xf>
    <xf numFmtId="0" fontId="3" fillId="0" borderId="0" xfId="2" applyAlignment="1">
      <alignment vertical="center"/>
    </xf>
    <xf numFmtId="0" fontId="3" fillId="0" borderId="0" xfId="2" applyAlignment="1">
      <alignment horizontal="center" vertical="center"/>
    </xf>
    <xf numFmtId="0" fontId="14" fillId="4" borderId="50" xfId="2" applyFont="1" applyFill="1" applyBorder="1" applyAlignment="1">
      <alignment horizontal="center" vertical="center"/>
    </xf>
    <xf numFmtId="0" fontId="14" fillId="9" borderId="17" xfId="2" applyFont="1" applyFill="1" applyBorder="1" applyAlignment="1">
      <alignment horizontal="center" vertical="center"/>
    </xf>
    <xf numFmtId="0" fontId="30" fillId="10" borderId="50" xfId="2" applyFont="1" applyFill="1" applyBorder="1" applyAlignment="1">
      <alignment horizontal="center" vertical="center"/>
    </xf>
    <xf numFmtId="0" fontId="3" fillId="0" borderId="0" xfId="2" applyFill="1" applyBorder="1" applyAlignment="1">
      <alignment vertical="center"/>
    </xf>
    <xf numFmtId="0" fontId="14" fillId="0" borderId="0" xfId="4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vertical="center"/>
    </xf>
    <xf numFmtId="0" fontId="3" fillId="0" borderId="0" xfId="4" applyFill="1" applyBorder="1" applyAlignment="1">
      <alignment horizontal="left" wrapText="1"/>
    </xf>
    <xf numFmtId="0" fontId="14" fillId="0" borderId="0" xfId="4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30" fillId="0" borderId="0" xfId="2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14" fillId="0" borderId="13" xfId="0" applyFont="1" applyBorder="1" applyAlignment="1" applyProtection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" fillId="3" borderId="40" xfId="0" applyFont="1" applyFill="1" applyBorder="1" applyAlignment="1" applyProtection="1">
      <alignment horizontal="center" vertical="center"/>
    </xf>
    <xf numFmtId="0" fontId="4" fillId="15" borderId="17" xfId="0" applyFont="1" applyFill="1" applyBorder="1" applyAlignment="1">
      <alignment vertical="center"/>
    </xf>
    <xf numFmtId="0" fontId="4" fillId="15" borderId="33" xfId="0" applyFont="1" applyFill="1" applyBorder="1" applyAlignment="1">
      <alignment vertical="center"/>
    </xf>
    <xf numFmtId="0" fontId="4" fillId="15" borderId="49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left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13" borderId="33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left" vertical="center"/>
    </xf>
    <xf numFmtId="0" fontId="5" fillId="10" borderId="54" xfId="0" applyFont="1" applyFill="1" applyBorder="1" applyAlignment="1">
      <alignment horizontal="left" vertical="center"/>
    </xf>
    <xf numFmtId="0" fontId="4" fillId="10" borderId="5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5" fillId="10" borderId="15" xfId="0" applyFont="1" applyFill="1" applyBorder="1" applyAlignment="1">
      <alignment horizontal="left" vertical="center"/>
    </xf>
    <xf numFmtId="0" fontId="4" fillId="10" borderId="20" xfId="0" applyFont="1" applyFill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12" fillId="5" borderId="12" xfId="0" applyFont="1" applyFill="1" applyBorder="1" applyAlignment="1">
      <alignment vertical="center"/>
    </xf>
    <xf numFmtId="0" fontId="12" fillId="5" borderId="14" xfId="0" applyFont="1" applyFill="1" applyBorder="1" applyAlignment="1">
      <alignment vertical="center"/>
    </xf>
    <xf numFmtId="0" fontId="12" fillId="5" borderId="13" xfId="0" applyFont="1" applyFill="1" applyBorder="1" applyAlignment="1">
      <alignment vertical="center"/>
    </xf>
    <xf numFmtId="0" fontId="26" fillId="3" borderId="22" xfId="5" applyFont="1" applyFill="1" applyBorder="1" applyAlignment="1">
      <alignment horizontal="center" vertical="center"/>
    </xf>
    <xf numFmtId="0" fontId="26" fillId="3" borderId="21" xfId="5" applyFont="1" applyFill="1" applyBorder="1" applyAlignment="1">
      <alignment horizontal="center" vertical="center"/>
    </xf>
    <xf numFmtId="0" fontId="26" fillId="3" borderId="48" xfId="5" applyFont="1" applyFill="1" applyBorder="1" applyAlignment="1">
      <alignment horizontal="center" vertical="center"/>
    </xf>
    <xf numFmtId="0" fontId="28" fillId="0" borderId="3" xfId="5" applyFont="1" applyFill="1" applyBorder="1" applyAlignment="1">
      <alignment horizontal="center" vertical="center"/>
    </xf>
    <xf numFmtId="0" fontId="28" fillId="0" borderId="11" xfId="5" applyFont="1" applyFill="1" applyBorder="1" applyAlignment="1">
      <alignment horizontal="center" vertical="center"/>
    </xf>
    <xf numFmtId="0" fontId="28" fillId="0" borderId="10" xfId="5" applyFont="1" applyFill="1" applyBorder="1" applyAlignment="1">
      <alignment horizontal="center" vertical="center"/>
    </xf>
    <xf numFmtId="0" fontId="28" fillId="0" borderId="4" xfId="5" applyFont="1" applyFill="1" applyBorder="1" applyAlignment="1">
      <alignment horizontal="center" vertical="center"/>
    </xf>
    <xf numFmtId="0" fontId="16" fillId="19" borderId="34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32" fillId="18" borderId="3" xfId="5" applyFont="1" applyFill="1" applyBorder="1" applyAlignment="1">
      <alignment horizontal="center" vertical="center"/>
    </xf>
    <xf numFmtId="0" fontId="32" fillId="18" borderId="7" xfId="5" applyFont="1" applyFill="1" applyBorder="1" applyAlignment="1">
      <alignment horizontal="center" vertical="center"/>
    </xf>
    <xf numFmtId="0" fontId="32" fillId="18" borderId="6" xfId="5" applyFont="1" applyFill="1" applyBorder="1" applyAlignment="1">
      <alignment horizontal="center" vertical="center"/>
    </xf>
    <xf numFmtId="0" fontId="28" fillId="0" borderId="3" xfId="5" applyFont="1" applyBorder="1" applyAlignment="1">
      <alignment vertical="center"/>
    </xf>
    <xf numFmtId="0" fontId="28" fillId="0" borderId="9" xfId="5" applyFont="1" applyBorder="1" applyAlignment="1">
      <alignment horizontal="center" vertical="center"/>
    </xf>
    <xf numFmtId="0" fontId="28" fillId="0" borderId="2" xfId="5" applyFont="1" applyBorder="1" applyAlignment="1">
      <alignment vertical="center"/>
    </xf>
    <xf numFmtId="0" fontId="28" fillId="0" borderId="38" xfId="5" applyFont="1" applyBorder="1" applyAlignment="1">
      <alignment vertical="center"/>
    </xf>
    <xf numFmtId="0" fontId="28" fillId="0" borderId="6" xfId="5" applyFont="1" applyBorder="1" applyAlignment="1">
      <alignment vertical="center"/>
    </xf>
    <xf numFmtId="0" fontId="28" fillId="0" borderId="7" xfId="5" applyFont="1" applyBorder="1" applyAlignment="1">
      <alignment vertical="center"/>
    </xf>
    <xf numFmtId="0" fontId="32" fillId="18" borderId="2" xfId="5" applyFont="1" applyFill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0" fontId="32" fillId="18" borderId="10" xfId="5" applyFont="1" applyFill="1" applyBorder="1" applyAlignment="1">
      <alignment horizontal="center" vertical="center"/>
    </xf>
    <xf numFmtId="0" fontId="32" fillId="20" borderId="7" xfId="5" applyFont="1" applyFill="1" applyBorder="1" applyAlignment="1">
      <alignment horizontal="center" vertical="center"/>
    </xf>
    <xf numFmtId="0" fontId="14" fillId="0" borderId="52" xfId="2" applyFont="1" applyFill="1" applyBorder="1" applyAlignment="1">
      <alignment horizontal="center" vertical="center" wrapText="1"/>
    </xf>
    <xf numFmtId="14" fontId="3" fillId="0" borderId="52" xfId="2" applyNumberFormat="1" applyFont="1" applyFill="1" applyBorder="1" applyAlignment="1">
      <alignment vertical="center" wrapText="1"/>
    </xf>
    <xf numFmtId="0" fontId="29" fillId="0" borderId="56" xfId="0" applyFont="1" applyBorder="1" applyAlignment="1">
      <alignment vertical="center"/>
    </xf>
    <xf numFmtId="0" fontId="32" fillId="20" borderId="4" xfId="5" applyFont="1" applyFill="1" applyBorder="1" applyAlignment="1">
      <alignment horizontal="center" vertical="center"/>
    </xf>
    <xf numFmtId="0" fontId="29" fillId="0" borderId="57" xfId="0" applyFont="1" applyBorder="1" applyAlignment="1">
      <alignment vertical="center"/>
    </xf>
    <xf numFmtId="0" fontId="29" fillId="0" borderId="58" xfId="0" applyFont="1" applyBorder="1" applyAlignment="1">
      <alignment vertical="center"/>
    </xf>
    <xf numFmtId="0" fontId="2" fillId="0" borderId="12" xfId="2" applyFont="1" applyFill="1" applyBorder="1" applyAlignment="1">
      <alignment vertical="center" wrapText="1"/>
    </xf>
    <xf numFmtId="0" fontId="1" fillId="0" borderId="12" xfId="2" applyFont="1" applyFill="1" applyBorder="1" applyAlignment="1">
      <alignment vertical="center" wrapText="1"/>
    </xf>
    <xf numFmtId="0" fontId="1" fillId="0" borderId="52" xfId="2" applyFont="1" applyFill="1" applyBorder="1" applyAlignment="1">
      <alignment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53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16" fillId="0" borderId="41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0" fontId="16" fillId="0" borderId="3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center" vertical="center"/>
    </xf>
    <xf numFmtId="0" fontId="16" fillId="0" borderId="60" xfId="0" applyFont="1" applyFill="1" applyBorder="1" applyAlignment="1">
      <alignment horizontal="center" vertical="center"/>
    </xf>
    <xf numFmtId="0" fontId="16" fillId="0" borderId="6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14" fillId="4" borderId="13" xfId="0" applyFont="1" applyFill="1" applyBorder="1" applyAlignment="1">
      <alignment horizontal="left" vertical="center" wrapText="1"/>
    </xf>
    <xf numFmtId="0" fontId="4" fillId="17" borderId="20" xfId="0" applyFont="1" applyFill="1" applyBorder="1" applyAlignment="1">
      <alignment vertical="center" wrapText="1"/>
    </xf>
    <xf numFmtId="0" fontId="4" fillId="19" borderId="35" xfId="0" applyFont="1" applyFill="1" applyBorder="1" applyAlignment="1">
      <alignment vertical="center" wrapText="1"/>
    </xf>
    <xf numFmtId="0" fontId="4" fillId="19" borderId="26" xfId="0" applyFont="1" applyFill="1" applyBorder="1" applyAlignment="1">
      <alignment vertical="center" wrapText="1"/>
    </xf>
    <xf numFmtId="0" fontId="4" fillId="19" borderId="20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16" borderId="20" xfId="0" applyFont="1" applyFill="1" applyBorder="1" applyAlignment="1">
      <alignment vertical="center" wrapText="1"/>
    </xf>
    <xf numFmtId="0" fontId="4" fillId="19" borderId="27" xfId="0" applyFont="1" applyFill="1" applyBorder="1" applyAlignment="1">
      <alignment vertical="center" wrapText="1"/>
    </xf>
    <xf numFmtId="0" fontId="4" fillId="0" borderId="27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7" borderId="26" xfId="0" applyFont="1" applyFill="1" applyBorder="1" applyAlignment="1">
      <alignment vertical="center" wrapText="1"/>
    </xf>
    <xf numFmtId="0" fontId="4" fillId="15" borderId="20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4" fillId="0" borderId="28" xfId="0" applyFont="1" applyFill="1" applyBorder="1" applyAlignment="1">
      <alignment vertical="center" wrapText="1"/>
    </xf>
    <xf numFmtId="0" fontId="4" fillId="14" borderId="20" xfId="0" applyFont="1" applyFill="1" applyBorder="1" applyAlignment="1">
      <alignment vertical="center" wrapText="1"/>
    </xf>
    <xf numFmtId="0" fontId="4" fillId="14" borderId="26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13" borderId="20" xfId="0" applyFont="1" applyFill="1" applyBorder="1" applyAlignment="1">
      <alignment vertical="center" wrapText="1"/>
    </xf>
    <xf numFmtId="0" fontId="4" fillId="13" borderId="26" xfId="0" applyFont="1" applyFill="1" applyBorder="1" applyAlignment="1">
      <alignment vertical="center" wrapText="1"/>
    </xf>
    <xf numFmtId="0" fontId="4" fillId="12" borderId="20" xfId="0" applyFont="1" applyFill="1" applyBorder="1" applyAlignment="1">
      <alignment vertical="center" wrapText="1"/>
    </xf>
    <xf numFmtId="0" fontId="4" fillId="12" borderId="26" xfId="0" applyFont="1" applyFill="1" applyBorder="1" applyAlignment="1">
      <alignment vertical="center" wrapText="1"/>
    </xf>
    <xf numFmtId="0" fontId="4" fillId="0" borderId="32" xfId="0" applyFont="1" applyFill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11" borderId="17" xfId="0" applyFont="1" applyFill="1" applyBorder="1" applyAlignment="1">
      <alignment vertical="center" wrapText="1"/>
    </xf>
    <xf numFmtId="0" fontId="14" fillId="4" borderId="17" xfId="0" applyFont="1" applyFill="1" applyBorder="1" applyAlignment="1">
      <alignment horizontal="left" vertical="center" wrapText="1"/>
    </xf>
    <xf numFmtId="0" fontId="4" fillId="10" borderId="55" xfId="0" applyFont="1" applyFill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10" borderId="20" xfId="0" applyFont="1" applyFill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8" borderId="29" xfId="0" applyFont="1" applyFill="1" applyBorder="1" applyAlignment="1">
      <alignment vertical="center" wrapText="1"/>
    </xf>
    <xf numFmtId="0" fontId="4" fillId="8" borderId="26" xfId="0" applyFont="1" applyFill="1" applyBorder="1" applyAlignment="1">
      <alignment vertical="center" wrapText="1"/>
    </xf>
    <xf numFmtId="0" fontId="4" fillId="6" borderId="29" xfId="0" applyFont="1" applyFill="1" applyBorder="1" applyAlignment="1">
      <alignment vertical="center" wrapText="1"/>
    </xf>
    <xf numFmtId="0" fontId="4" fillId="0" borderId="29" xfId="0" applyFont="1" applyFill="1" applyBorder="1" applyAlignment="1">
      <alignment vertical="center" wrapText="1"/>
    </xf>
    <xf numFmtId="0" fontId="4" fillId="3" borderId="29" xfId="0" applyFont="1" applyFill="1" applyBorder="1" applyAlignment="1">
      <alignment vertical="center" wrapText="1"/>
    </xf>
    <xf numFmtId="0" fontId="4" fillId="3" borderId="26" xfId="0" applyFont="1" applyFill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0" fontId="14" fillId="0" borderId="18" xfId="0" applyFont="1" applyBorder="1" applyAlignment="1" applyProtection="1">
      <alignment horizontal="center" vertical="center"/>
    </xf>
    <xf numFmtId="0" fontId="14" fillId="0" borderId="17" xfId="0" applyFont="1" applyBorder="1" applyAlignment="1" applyProtection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30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" xfId="0" applyFont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/>
    </xf>
    <xf numFmtId="0" fontId="14" fillId="0" borderId="13" xfId="0" applyFont="1" applyBorder="1" applyAlignment="1" applyProtection="1">
      <alignment horizontal="center" vertical="center"/>
    </xf>
    <xf numFmtId="0" fontId="8" fillId="0" borderId="12" xfId="0" applyFont="1" applyBorder="1" applyAlignment="1" applyProtection="1">
      <alignment horizontal="center" vertical="center"/>
    </xf>
    <xf numFmtId="0" fontId="8" fillId="0" borderId="14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0" fontId="8" fillId="0" borderId="18" xfId="0" applyFont="1" applyBorder="1" applyAlignment="1" applyProtection="1">
      <alignment horizontal="center" vertical="center"/>
    </xf>
    <xf numFmtId="0" fontId="20" fillId="4" borderId="50" xfId="5" applyFont="1" applyFill="1" applyBorder="1" applyAlignment="1">
      <alignment horizontal="center" vertical="center"/>
    </xf>
    <xf numFmtId="0" fontId="20" fillId="4" borderId="51" xfId="5" applyFont="1" applyFill="1" applyBorder="1" applyAlignment="1">
      <alignment horizontal="center" vertical="center"/>
    </xf>
    <xf numFmtId="0" fontId="3" fillId="0" borderId="17" xfId="5" applyFill="1" applyBorder="1" applyAlignment="1">
      <alignment horizontal="center" vertical="center"/>
    </xf>
    <xf numFmtId="0" fontId="3" fillId="0" borderId="28" xfId="5" applyFill="1" applyBorder="1" applyAlignment="1">
      <alignment horizontal="center" vertical="center"/>
    </xf>
  </cellXfs>
  <cellStyles count="7">
    <cellStyle name="Normal" xfId="0" builtinId="0"/>
    <cellStyle name="Normal 2" xfId="2"/>
    <cellStyle name="Normal 2 2" xfId="3"/>
    <cellStyle name="Normal 2 3" xfId="4"/>
    <cellStyle name="Normal 3" xfId="5"/>
    <cellStyle name="Porcentaje" xfId="1" builtinId="5"/>
    <cellStyle name="Porcentaje 2" xfId="6"/>
  </cellStyles>
  <dxfs count="256"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305"/>
  <sheetViews>
    <sheetView view="pageBreakPreview" topLeftCell="A3" zoomScale="70" zoomScaleNormal="85" zoomScaleSheetLayoutView="70" workbookViewId="0">
      <selection activeCell="A3" sqref="A3"/>
    </sheetView>
  </sheetViews>
  <sheetFormatPr baseColWidth="10" defaultColWidth="0" defaultRowHeight="15.75" zeroHeight="1" x14ac:dyDescent="0.25"/>
  <cols>
    <col min="1" max="1" width="3.6640625" style="2" customWidth="1"/>
    <col min="2" max="2" width="1.77734375" style="40" customWidth="1"/>
    <col min="3" max="3" width="65.5546875" style="385" customWidth="1"/>
    <col min="4" max="4" width="4" style="358" customWidth="1"/>
    <col min="5" max="9" width="7.5546875" style="1" bestFit="1" customWidth="1"/>
    <col min="10" max="10" width="7.33203125" style="1" customWidth="1"/>
    <col min="11" max="11" width="7.5546875" style="1" customWidth="1"/>
    <col min="12" max="14" width="7.5546875" style="1" bestFit="1" customWidth="1"/>
    <col min="15" max="15" width="7" style="1" customWidth="1"/>
    <col min="16" max="16" width="7.5546875" style="1" bestFit="1" customWidth="1"/>
    <col min="17" max="17" width="8.6640625" style="1" customWidth="1"/>
    <col min="18" max="18" width="7.5546875" style="1" bestFit="1" customWidth="1"/>
    <col min="19" max="19" width="7.77734375" style="1" customWidth="1"/>
    <col min="20" max="20" width="8.77734375" style="1" customWidth="1"/>
    <col min="21" max="21" width="9" style="1" customWidth="1"/>
    <col min="22" max="22" width="8.33203125" style="1" customWidth="1"/>
    <col min="23" max="23" width="9" style="1" customWidth="1"/>
    <col min="24" max="24" width="8.33203125" style="1" customWidth="1"/>
    <col min="25" max="25" width="8.77734375" style="1" customWidth="1"/>
    <col min="26" max="56" width="6.88671875" style="1" bestFit="1" customWidth="1"/>
    <col min="57" max="57" width="4.33203125" style="289" customWidth="1"/>
    <col min="58" max="253" width="11.5546875" style="1" hidden="1" customWidth="1"/>
    <col min="254" max="16384" width="0" style="1" hidden="1"/>
  </cols>
  <sheetData>
    <row r="1" spans="2:57" s="2" customFormat="1" hidden="1" x14ac:dyDescent="0.25">
      <c r="B1" s="35"/>
      <c r="C1" s="368"/>
      <c r="D1" s="358"/>
      <c r="BE1" s="288"/>
    </row>
    <row r="2" spans="2:57" s="2" customFormat="1" ht="27" thickBot="1" x14ac:dyDescent="0.3">
      <c r="B2" s="35"/>
      <c r="C2" s="369" t="s">
        <v>87</v>
      </c>
      <c r="D2" s="358"/>
      <c r="Q2" s="437" t="s">
        <v>146</v>
      </c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BE2" s="288"/>
    </row>
    <row r="3" spans="2:57" s="2" customFormat="1" ht="52.5" x14ac:dyDescent="0.25">
      <c r="B3" s="35"/>
      <c r="C3" s="370" t="s">
        <v>158</v>
      </c>
      <c r="D3" s="359"/>
      <c r="E3" s="227"/>
      <c r="F3" s="227"/>
      <c r="G3" s="227"/>
      <c r="H3" s="227"/>
      <c r="Q3" s="212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4"/>
      <c r="BE3" s="288"/>
    </row>
    <row r="4" spans="2:57" s="2" customFormat="1" ht="26.25" x14ac:dyDescent="0.25">
      <c r="B4" s="35"/>
      <c r="C4" s="369" t="s">
        <v>256</v>
      </c>
      <c r="D4" s="358"/>
      <c r="Q4" s="215"/>
      <c r="R4" s="216" t="s">
        <v>259</v>
      </c>
      <c r="S4" s="217" t="s">
        <v>260</v>
      </c>
      <c r="T4" s="97"/>
      <c r="U4" s="216" t="s">
        <v>261</v>
      </c>
      <c r="V4" s="217" t="s">
        <v>262</v>
      </c>
      <c r="W4" s="97"/>
      <c r="X4" s="216" t="s">
        <v>263</v>
      </c>
      <c r="Y4" s="217" t="s">
        <v>264</v>
      </c>
      <c r="Z4" s="217"/>
      <c r="AA4" s="216" t="s">
        <v>265</v>
      </c>
      <c r="AB4" s="217" t="s">
        <v>266</v>
      </c>
      <c r="AC4" s="97"/>
      <c r="AD4" s="216" t="s">
        <v>267</v>
      </c>
      <c r="AE4" s="217" t="s">
        <v>268</v>
      </c>
      <c r="AF4" s="97"/>
      <c r="AG4" s="216" t="s">
        <v>269</v>
      </c>
      <c r="AH4" s="217" t="s">
        <v>270</v>
      </c>
      <c r="AI4" s="97"/>
      <c r="AJ4" s="216" t="s">
        <v>271</v>
      </c>
      <c r="AK4" s="217"/>
      <c r="AL4" s="97"/>
      <c r="AM4" s="97"/>
      <c r="AN4" s="217"/>
      <c r="AO4" s="217"/>
      <c r="AP4" s="97"/>
      <c r="AQ4" s="97"/>
      <c r="AR4" s="97"/>
      <c r="AS4" s="218"/>
      <c r="BE4" s="288"/>
    </row>
    <row r="5" spans="2:57" s="2" customFormat="1" ht="27" thickBot="1" x14ac:dyDescent="0.3">
      <c r="B5" s="35"/>
      <c r="C5" s="369" t="s">
        <v>148</v>
      </c>
      <c r="D5" s="358"/>
      <c r="Q5" s="219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1"/>
      <c r="BE5" s="288"/>
    </row>
    <row r="6" spans="2:57" s="2" customFormat="1" ht="16.5" thickBot="1" x14ac:dyDescent="0.3">
      <c r="B6" s="35"/>
      <c r="C6" s="371"/>
      <c r="D6" s="358"/>
      <c r="BE6" s="288"/>
    </row>
    <row r="7" spans="2:57" s="2" customFormat="1" ht="16.5" hidden="1" thickBot="1" x14ac:dyDescent="0.3">
      <c r="B7" s="35"/>
      <c r="C7" s="368"/>
      <c r="D7" s="358"/>
      <c r="BE7" s="288"/>
    </row>
    <row r="8" spans="2:57" s="2" customFormat="1" ht="16.5" hidden="1" thickBot="1" x14ac:dyDescent="0.3">
      <c r="B8" s="35"/>
      <c r="C8" s="368"/>
      <c r="D8" s="358"/>
      <c r="BE8" s="288"/>
    </row>
    <row r="9" spans="2:57" ht="26.25" customHeight="1" thickBot="1" x14ac:dyDescent="0.3">
      <c r="B9" s="35"/>
      <c r="C9" s="368"/>
      <c r="E9" s="438" t="s">
        <v>147</v>
      </c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39"/>
      <c r="AI9" s="439"/>
      <c r="AJ9" s="439"/>
      <c r="AK9" s="439"/>
      <c r="AL9" s="439"/>
      <c r="AM9" s="439"/>
      <c r="AN9" s="439"/>
      <c r="AO9" s="439"/>
      <c r="AP9" s="439"/>
      <c r="AQ9" s="439"/>
      <c r="AR9" s="439"/>
      <c r="AS9" s="439"/>
      <c r="AT9" s="439"/>
      <c r="AU9" s="439"/>
      <c r="AV9" s="439"/>
      <c r="AW9" s="439"/>
      <c r="AX9" s="439"/>
      <c r="AY9" s="439"/>
      <c r="AZ9" s="439"/>
      <c r="BA9" s="439"/>
      <c r="BB9" s="439"/>
      <c r="BC9" s="439"/>
      <c r="BD9" s="439"/>
    </row>
    <row r="10" spans="2:57" ht="16.5" thickBot="1" x14ac:dyDescent="0.3">
      <c r="B10" s="35"/>
      <c r="C10" s="368"/>
      <c r="D10" s="360" t="s">
        <v>188</v>
      </c>
      <c r="E10" s="431" t="s">
        <v>15</v>
      </c>
      <c r="F10" s="432"/>
      <c r="G10" s="432"/>
      <c r="H10" s="432"/>
      <c r="I10" s="431" t="s">
        <v>14</v>
      </c>
      <c r="J10" s="432"/>
      <c r="K10" s="432"/>
      <c r="L10" s="432"/>
      <c r="M10" s="433"/>
      <c r="N10" s="440" t="s">
        <v>13</v>
      </c>
      <c r="O10" s="441"/>
      <c r="P10" s="441"/>
      <c r="Q10" s="442"/>
      <c r="R10" s="434" t="s">
        <v>12</v>
      </c>
      <c r="S10" s="435"/>
      <c r="T10" s="435"/>
      <c r="U10" s="435"/>
      <c r="V10" s="434" t="s">
        <v>11</v>
      </c>
      <c r="W10" s="435"/>
      <c r="X10" s="435"/>
      <c r="Y10" s="436"/>
      <c r="Z10" s="431" t="s">
        <v>10</v>
      </c>
      <c r="AA10" s="432"/>
      <c r="AB10" s="432"/>
      <c r="AC10" s="432"/>
      <c r="AD10" s="433"/>
      <c r="AE10" s="434" t="s">
        <v>9</v>
      </c>
      <c r="AF10" s="435"/>
      <c r="AG10" s="435"/>
      <c r="AH10" s="436"/>
      <c r="AI10" s="434" t="s">
        <v>8</v>
      </c>
      <c r="AJ10" s="435"/>
      <c r="AK10" s="435"/>
      <c r="AL10" s="435"/>
      <c r="AM10" s="436"/>
      <c r="AN10" s="431" t="s">
        <v>7</v>
      </c>
      <c r="AO10" s="432"/>
      <c r="AP10" s="432"/>
      <c r="AQ10" s="433"/>
      <c r="AR10" s="434" t="s">
        <v>6</v>
      </c>
      <c r="AS10" s="435"/>
      <c r="AT10" s="435"/>
      <c r="AU10" s="436"/>
      <c r="AV10" s="434" t="s">
        <v>5</v>
      </c>
      <c r="AW10" s="435"/>
      <c r="AX10" s="435"/>
      <c r="AY10" s="435"/>
      <c r="AZ10" s="436"/>
      <c r="BA10" s="443" t="s">
        <v>4</v>
      </c>
      <c r="BB10" s="444"/>
      <c r="BC10" s="444"/>
      <c r="BD10" s="444"/>
    </row>
    <row r="11" spans="2:57" ht="16.5" thickBot="1" x14ac:dyDescent="0.3">
      <c r="B11" s="42"/>
      <c r="C11" s="372" t="s">
        <v>159</v>
      </c>
      <c r="E11" s="14">
        <v>1</v>
      </c>
      <c r="F11" s="15">
        <v>2</v>
      </c>
      <c r="G11" s="15">
        <v>3</v>
      </c>
      <c r="H11" s="15">
        <v>4</v>
      </c>
      <c r="I11" s="15">
        <v>5</v>
      </c>
      <c r="J11" s="15">
        <v>6</v>
      </c>
      <c r="K11" s="15">
        <v>7</v>
      </c>
      <c r="L11" s="15">
        <v>8</v>
      </c>
      <c r="M11" s="15">
        <v>9</v>
      </c>
      <c r="N11" s="15">
        <v>10</v>
      </c>
      <c r="O11" s="15">
        <v>11</v>
      </c>
      <c r="P11" s="15">
        <v>12</v>
      </c>
      <c r="Q11" s="15">
        <v>13</v>
      </c>
      <c r="R11" s="15">
        <v>14</v>
      </c>
      <c r="S11" s="15">
        <v>15</v>
      </c>
      <c r="T11" s="15">
        <v>16</v>
      </c>
      <c r="U11" s="15">
        <v>17</v>
      </c>
      <c r="V11" s="15">
        <v>18</v>
      </c>
      <c r="W11" s="15">
        <v>19</v>
      </c>
      <c r="X11" s="15">
        <v>20</v>
      </c>
      <c r="Y11" s="15">
        <v>21</v>
      </c>
      <c r="Z11" s="15">
        <v>22</v>
      </c>
      <c r="AA11" s="15">
        <v>23</v>
      </c>
      <c r="AB11" s="15">
        <v>24</v>
      </c>
      <c r="AC11" s="15">
        <v>25</v>
      </c>
      <c r="AD11" s="15">
        <v>26</v>
      </c>
      <c r="AE11" s="15">
        <v>27</v>
      </c>
      <c r="AF11" s="15">
        <v>28</v>
      </c>
      <c r="AG11" s="15">
        <v>29</v>
      </c>
      <c r="AH11" s="15">
        <v>30</v>
      </c>
      <c r="AI11" s="15">
        <v>31</v>
      </c>
      <c r="AJ11" s="15">
        <v>32</v>
      </c>
      <c r="AK11" s="15">
        <v>33</v>
      </c>
      <c r="AL11" s="15">
        <v>34</v>
      </c>
      <c r="AM11" s="15">
        <v>35</v>
      </c>
      <c r="AN11" s="15">
        <v>36</v>
      </c>
      <c r="AO11" s="15">
        <v>37</v>
      </c>
      <c r="AP11" s="15">
        <v>38</v>
      </c>
      <c r="AQ11" s="15">
        <v>39</v>
      </c>
      <c r="AR11" s="15">
        <v>40</v>
      </c>
      <c r="AS11" s="15">
        <v>41</v>
      </c>
      <c r="AT11" s="15">
        <v>42</v>
      </c>
      <c r="AU11" s="15">
        <v>43</v>
      </c>
      <c r="AV11" s="15">
        <v>44</v>
      </c>
      <c r="AW11" s="15">
        <v>45</v>
      </c>
      <c r="AX11" s="15">
        <v>46</v>
      </c>
      <c r="AY11" s="15">
        <v>47</v>
      </c>
      <c r="AZ11" s="15">
        <v>48</v>
      </c>
      <c r="BA11" s="15">
        <v>49</v>
      </c>
      <c r="BB11" s="15">
        <v>50</v>
      </c>
      <c r="BC11" s="15">
        <v>51</v>
      </c>
      <c r="BD11" s="15">
        <v>52</v>
      </c>
    </row>
    <row r="12" spans="2:57" ht="16.5" hidden="1" thickBot="1" x14ac:dyDescent="0.3">
      <c r="B12" s="41" t="s">
        <v>86</v>
      </c>
      <c r="C12" s="373"/>
      <c r="E12" s="1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2:57" ht="12" customHeight="1" x14ac:dyDescent="0.25">
      <c r="B13" s="99"/>
      <c r="C13" s="374" t="s">
        <v>85</v>
      </c>
      <c r="D13" s="358" t="s">
        <v>189</v>
      </c>
      <c r="E13" s="154"/>
      <c r="F13" s="107"/>
      <c r="G13" s="107"/>
      <c r="H13" s="186"/>
      <c r="I13" s="222"/>
      <c r="J13" s="107"/>
      <c r="K13" s="107"/>
      <c r="L13" s="107"/>
      <c r="M13" s="108"/>
      <c r="N13" s="154"/>
      <c r="O13" s="107"/>
      <c r="P13" s="107"/>
      <c r="Q13" s="108"/>
      <c r="R13" s="154"/>
      <c r="S13" s="107"/>
      <c r="T13" s="107"/>
      <c r="U13" s="186"/>
      <c r="V13" s="154"/>
      <c r="W13" s="107"/>
      <c r="X13" s="107"/>
      <c r="Y13" s="186"/>
      <c r="Z13" s="154"/>
      <c r="AA13" s="107"/>
      <c r="AB13" s="107"/>
      <c r="AC13" s="107"/>
      <c r="AD13" s="108"/>
      <c r="AE13" s="154"/>
      <c r="AF13" s="107"/>
      <c r="AG13" s="107"/>
      <c r="AH13" s="186"/>
      <c r="AI13" s="154"/>
      <c r="AJ13" s="107"/>
      <c r="AK13" s="107"/>
      <c r="AL13" s="107"/>
      <c r="AM13" s="108"/>
      <c r="AN13" s="154"/>
      <c r="AO13" s="107"/>
      <c r="AP13" s="107"/>
      <c r="AQ13" s="186"/>
      <c r="AR13" s="154"/>
      <c r="AS13" s="107"/>
      <c r="AT13" s="107"/>
      <c r="AU13" s="186"/>
      <c r="AV13" s="154"/>
      <c r="AW13" s="107"/>
      <c r="AX13" s="107"/>
      <c r="AY13" s="107"/>
      <c r="AZ13" s="108"/>
      <c r="BA13" s="154"/>
      <c r="BB13" s="107"/>
      <c r="BC13" s="107"/>
      <c r="BD13" s="108"/>
      <c r="BE13" s="289">
        <f>52-COUNTBLANK(E13:BD13)</f>
        <v>0</v>
      </c>
    </row>
    <row r="14" spans="2:57" ht="12" customHeight="1" x14ac:dyDescent="0.25">
      <c r="B14" s="6"/>
      <c r="C14" s="375" t="s">
        <v>84</v>
      </c>
      <c r="D14" s="358" t="s">
        <v>190</v>
      </c>
      <c r="E14" s="110"/>
      <c r="F14" s="111"/>
      <c r="G14" s="111"/>
      <c r="H14" s="187"/>
      <c r="I14" s="110"/>
      <c r="J14" s="113"/>
      <c r="K14" s="111"/>
      <c r="L14" s="111"/>
      <c r="M14" s="112"/>
      <c r="N14" s="110"/>
      <c r="O14" s="111"/>
      <c r="P14" s="111"/>
      <c r="Q14" s="112"/>
      <c r="R14" s="110"/>
      <c r="S14" s="111"/>
      <c r="T14" s="111"/>
      <c r="U14" s="187"/>
      <c r="V14" s="110"/>
      <c r="W14" s="111"/>
      <c r="X14" s="111"/>
      <c r="Y14" s="187"/>
      <c r="Z14" s="110"/>
      <c r="AA14" s="111"/>
      <c r="AB14" s="111"/>
      <c r="AC14" s="111"/>
      <c r="AD14" s="112"/>
      <c r="AE14" s="110"/>
      <c r="AF14" s="111"/>
      <c r="AG14" s="111"/>
      <c r="AH14" s="187"/>
      <c r="AI14" s="110"/>
      <c r="AJ14" s="111"/>
      <c r="AK14" s="111"/>
      <c r="AL14" s="111"/>
      <c r="AM14" s="112"/>
      <c r="AN14" s="110"/>
      <c r="AO14" s="111"/>
      <c r="AP14" s="111"/>
      <c r="AQ14" s="187"/>
      <c r="AR14" s="110"/>
      <c r="AS14" s="111"/>
      <c r="AT14" s="111"/>
      <c r="AU14" s="187"/>
      <c r="AV14" s="110"/>
      <c r="AW14" s="111"/>
      <c r="AX14" s="111"/>
      <c r="AY14" s="111"/>
      <c r="AZ14" s="112"/>
      <c r="BA14" s="110"/>
      <c r="BB14" s="111"/>
      <c r="BC14" s="111"/>
      <c r="BD14" s="112"/>
      <c r="BE14" s="289">
        <f t="shared" ref="BE14:BE80" si="0">52-COUNTBLANK(E14:BD14)</f>
        <v>0</v>
      </c>
    </row>
    <row r="15" spans="2:57" ht="12" hidden="1" customHeight="1" x14ac:dyDescent="0.25">
      <c r="B15" s="41" t="s">
        <v>83</v>
      </c>
      <c r="C15" s="376"/>
      <c r="E15" s="110"/>
      <c r="F15" s="111"/>
      <c r="G15" s="111"/>
      <c r="H15" s="187"/>
      <c r="I15" s="110"/>
      <c r="J15" s="113"/>
      <c r="K15" s="111"/>
      <c r="L15" s="111"/>
      <c r="M15" s="112"/>
      <c r="N15" s="110"/>
      <c r="O15" s="111"/>
      <c r="P15" s="111"/>
      <c r="Q15" s="112"/>
      <c r="R15" s="110"/>
      <c r="S15" s="111"/>
      <c r="T15" s="111"/>
      <c r="U15" s="187"/>
      <c r="V15" s="110"/>
      <c r="W15" s="111"/>
      <c r="X15" s="111"/>
      <c r="Y15" s="187"/>
      <c r="Z15" s="110"/>
      <c r="AA15" s="111"/>
      <c r="AB15" s="111"/>
      <c r="AC15" s="111"/>
      <c r="AD15" s="112"/>
      <c r="AE15" s="110"/>
      <c r="AF15" s="111"/>
      <c r="AG15" s="111"/>
      <c r="AH15" s="187"/>
      <c r="AI15" s="110"/>
      <c r="AJ15" s="111"/>
      <c r="AK15" s="111"/>
      <c r="AL15" s="111"/>
      <c r="AM15" s="112"/>
      <c r="AN15" s="110"/>
      <c r="AO15" s="111"/>
      <c r="AP15" s="111"/>
      <c r="AQ15" s="187"/>
      <c r="AR15" s="110"/>
      <c r="AS15" s="111"/>
      <c r="AT15" s="111"/>
      <c r="AU15" s="187"/>
      <c r="AV15" s="110"/>
      <c r="AW15" s="111"/>
      <c r="AX15" s="111"/>
      <c r="AY15" s="111"/>
      <c r="AZ15" s="112"/>
      <c r="BA15" s="110"/>
      <c r="BB15" s="111"/>
      <c r="BC15" s="111"/>
      <c r="BD15" s="112"/>
      <c r="BE15" s="289">
        <f t="shared" si="0"/>
        <v>0</v>
      </c>
    </row>
    <row r="16" spans="2:57" ht="12" customHeight="1" x14ac:dyDescent="0.25">
      <c r="B16" s="6"/>
      <c r="C16" s="375" t="s">
        <v>245</v>
      </c>
      <c r="D16" s="358" t="s">
        <v>189</v>
      </c>
      <c r="E16" s="110"/>
      <c r="F16" s="111"/>
      <c r="G16" s="111"/>
      <c r="H16" s="187"/>
      <c r="I16" s="110"/>
      <c r="J16" s="113"/>
      <c r="K16" s="111"/>
      <c r="L16" s="111"/>
      <c r="M16" s="112"/>
      <c r="N16" s="110"/>
      <c r="O16" s="111"/>
      <c r="P16" s="111"/>
      <c r="Q16" s="112"/>
      <c r="R16" s="110"/>
      <c r="S16" s="111"/>
      <c r="T16" s="111"/>
      <c r="U16" s="187"/>
      <c r="V16" s="110"/>
      <c r="W16" s="111"/>
      <c r="X16" s="111"/>
      <c r="Y16" s="187"/>
      <c r="Z16" s="110"/>
      <c r="AA16" s="111"/>
      <c r="AB16" s="111"/>
      <c r="AC16" s="111"/>
      <c r="AD16" s="112"/>
      <c r="AE16" s="110"/>
      <c r="AF16" s="111"/>
      <c r="AG16" s="111"/>
      <c r="AH16" s="187"/>
      <c r="AI16" s="110"/>
      <c r="AJ16" s="111"/>
      <c r="AK16" s="111"/>
      <c r="AL16" s="111"/>
      <c r="AM16" s="112"/>
      <c r="AN16" s="110"/>
      <c r="AO16" s="111"/>
      <c r="AP16" s="111"/>
      <c r="AQ16" s="187"/>
      <c r="AR16" s="110"/>
      <c r="AS16" s="111"/>
      <c r="AT16" s="111"/>
      <c r="AU16" s="187"/>
      <c r="AV16" s="110"/>
      <c r="AW16" s="111"/>
      <c r="AX16" s="111"/>
      <c r="AY16" s="111"/>
      <c r="AZ16" s="112"/>
      <c r="BA16" s="110"/>
      <c r="BB16" s="111"/>
      <c r="BC16" s="111"/>
      <c r="BD16" s="112"/>
      <c r="BE16" s="289">
        <f t="shared" si="0"/>
        <v>0</v>
      </c>
    </row>
    <row r="17" spans="2:57" ht="12" customHeight="1" x14ac:dyDescent="0.25">
      <c r="B17" s="6"/>
      <c r="C17" s="375" t="s">
        <v>246</v>
      </c>
      <c r="D17" s="358" t="s">
        <v>190</v>
      </c>
      <c r="E17" s="110"/>
      <c r="F17" s="111"/>
      <c r="G17" s="111"/>
      <c r="H17" s="187"/>
      <c r="I17" s="110"/>
      <c r="J17" s="113"/>
      <c r="K17" s="111"/>
      <c r="L17" s="111"/>
      <c r="M17" s="112"/>
      <c r="N17" s="110"/>
      <c r="O17" s="111"/>
      <c r="P17" s="111"/>
      <c r="Q17" s="112"/>
      <c r="R17" s="110"/>
      <c r="S17" s="111"/>
      <c r="T17" s="111"/>
      <c r="U17" s="187"/>
      <c r="V17" s="110"/>
      <c r="W17" s="111"/>
      <c r="X17" s="111"/>
      <c r="Y17" s="187"/>
      <c r="Z17" s="110"/>
      <c r="AA17" s="111"/>
      <c r="AB17" s="111"/>
      <c r="AC17" s="111"/>
      <c r="AD17" s="112"/>
      <c r="AE17" s="110"/>
      <c r="AF17" s="111"/>
      <c r="AG17" s="111"/>
      <c r="AH17" s="187"/>
      <c r="AI17" s="110"/>
      <c r="AJ17" s="111"/>
      <c r="AK17" s="111"/>
      <c r="AL17" s="111"/>
      <c r="AM17" s="112"/>
      <c r="AN17" s="110"/>
      <c r="AO17" s="111"/>
      <c r="AP17" s="111"/>
      <c r="AQ17" s="187"/>
      <c r="AR17" s="110"/>
      <c r="AS17" s="111"/>
      <c r="AT17" s="111"/>
      <c r="AU17" s="187"/>
      <c r="AV17" s="110"/>
      <c r="AW17" s="111"/>
      <c r="AX17" s="111"/>
      <c r="AY17" s="111"/>
      <c r="AZ17" s="112"/>
      <c r="BA17" s="110"/>
      <c r="BB17" s="111"/>
      <c r="BC17" s="111"/>
      <c r="BD17" s="112"/>
      <c r="BE17" s="289">
        <f t="shared" si="0"/>
        <v>0</v>
      </c>
    </row>
    <row r="18" spans="2:57" ht="12" hidden="1" customHeight="1" x14ac:dyDescent="0.25">
      <c r="B18" s="41" t="s">
        <v>80</v>
      </c>
      <c r="C18" s="376"/>
      <c r="E18" s="110"/>
      <c r="F18" s="111"/>
      <c r="G18" s="111"/>
      <c r="H18" s="187"/>
      <c r="I18" s="110"/>
      <c r="J18" s="113"/>
      <c r="K18" s="111"/>
      <c r="L18" s="111"/>
      <c r="M18" s="112"/>
      <c r="N18" s="110"/>
      <c r="O18" s="111"/>
      <c r="P18" s="111"/>
      <c r="Q18" s="112"/>
      <c r="R18" s="110"/>
      <c r="S18" s="111"/>
      <c r="T18" s="111"/>
      <c r="U18" s="187"/>
      <c r="V18" s="110"/>
      <c r="W18" s="111"/>
      <c r="X18" s="111"/>
      <c r="Y18" s="187"/>
      <c r="Z18" s="110"/>
      <c r="AA18" s="111"/>
      <c r="AB18" s="111"/>
      <c r="AC18" s="111"/>
      <c r="AD18" s="112"/>
      <c r="AE18" s="110"/>
      <c r="AF18" s="111"/>
      <c r="AG18" s="111"/>
      <c r="AH18" s="187"/>
      <c r="AI18" s="110"/>
      <c r="AJ18" s="111"/>
      <c r="AK18" s="111"/>
      <c r="AL18" s="111"/>
      <c r="AM18" s="112"/>
      <c r="AN18" s="110"/>
      <c r="AO18" s="111"/>
      <c r="AP18" s="111"/>
      <c r="AQ18" s="187"/>
      <c r="AR18" s="110"/>
      <c r="AS18" s="111"/>
      <c r="AT18" s="111"/>
      <c r="AU18" s="187"/>
      <c r="AV18" s="110"/>
      <c r="AW18" s="111"/>
      <c r="AX18" s="111"/>
      <c r="AY18" s="111"/>
      <c r="AZ18" s="112"/>
      <c r="BA18" s="110"/>
      <c r="BB18" s="111"/>
      <c r="BC18" s="111"/>
      <c r="BD18" s="112"/>
      <c r="BE18" s="289">
        <f t="shared" si="0"/>
        <v>0</v>
      </c>
    </row>
    <row r="19" spans="2:57" ht="12" customHeight="1" x14ac:dyDescent="0.25">
      <c r="B19" s="6"/>
      <c r="C19" s="375" t="s">
        <v>247</v>
      </c>
      <c r="D19" s="358" t="s">
        <v>189</v>
      </c>
      <c r="E19" s="110"/>
      <c r="F19" s="111"/>
      <c r="G19" s="111"/>
      <c r="H19" s="187"/>
      <c r="I19" s="110"/>
      <c r="J19" s="113"/>
      <c r="K19" s="111"/>
      <c r="L19" s="111"/>
      <c r="M19" s="112"/>
      <c r="N19" s="110"/>
      <c r="O19" s="111"/>
      <c r="P19" s="111"/>
      <c r="Q19" s="112"/>
      <c r="R19" s="110"/>
      <c r="S19" s="111"/>
      <c r="T19" s="111"/>
      <c r="U19" s="187"/>
      <c r="V19" s="110"/>
      <c r="W19" s="111"/>
      <c r="X19" s="111"/>
      <c r="Y19" s="187"/>
      <c r="Z19" s="110"/>
      <c r="AA19" s="111"/>
      <c r="AB19" s="111"/>
      <c r="AC19" s="111"/>
      <c r="AD19" s="112"/>
      <c r="AE19" s="110"/>
      <c r="AF19" s="111"/>
      <c r="AG19" s="111"/>
      <c r="AH19" s="187"/>
      <c r="AI19" s="110"/>
      <c r="AJ19" s="111"/>
      <c r="AK19" s="111"/>
      <c r="AL19" s="111"/>
      <c r="AM19" s="112"/>
      <c r="AN19" s="110"/>
      <c r="AO19" s="111"/>
      <c r="AP19" s="111"/>
      <c r="AQ19" s="187"/>
      <c r="AR19" s="110"/>
      <c r="AS19" s="111"/>
      <c r="AT19" s="111"/>
      <c r="AU19" s="187"/>
      <c r="AV19" s="110"/>
      <c r="AW19" s="111"/>
      <c r="AX19" s="111"/>
      <c r="AY19" s="111"/>
      <c r="AZ19" s="112"/>
      <c r="BA19" s="110"/>
      <c r="BB19" s="111"/>
      <c r="BC19" s="111"/>
      <c r="BD19" s="112"/>
      <c r="BE19" s="289">
        <f t="shared" si="0"/>
        <v>0</v>
      </c>
    </row>
    <row r="20" spans="2:57" ht="12" customHeight="1" x14ac:dyDescent="0.25">
      <c r="B20" s="6"/>
      <c r="C20" s="375" t="s">
        <v>248</v>
      </c>
      <c r="D20" s="358" t="s">
        <v>190</v>
      </c>
      <c r="E20" s="110"/>
      <c r="F20" s="111"/>
      <c r="G20" s="111"/>
      <c r="H20" s="187"/>
      <c r="I20" s="110"/>
      <c r="J20" s="113"/>
      <c r="K20" s="111"/>
      <c r="L20" s="111"/>
      <c r="M20" s="112"/>
      <c r="N20" s="110"/>
      <c r="O20" s="111"/>
      <c r="P20" s="111"/>
      <c r="Q20" s="112"/>
      <c r="R20" s="110"/>
      <c r="S20" s="111"/>
      <c r="T20" s="111"/>
      <c r="U20" s="187"/>
      <c r="V20" s="110"/>
      <c r="W20" s="111"/>
      <c r="X20" s="111"/>
      <c r="Y20" s="187"/>
      <c r="Z20" s="110"/>
      <c r="AA20" s="111"/>
      <c r="AB20" s="111"/>
      <c r="AC20" s="111"/>
      <c r="AD20" s="112"/>
      <c r="AE20" s="110"/>
      <c r="AF20" s="111"/>
      <c r="AG20" s="111"/>
      <c r="AH20" s="187"/>
      <c r="AI20" s="110"/>
      <c r="AJ20" s="111"/>
      <c r="AK20" s="111"/>
      <c r="AL20" s="111"/>
      <c r="AM20" s="112"/>
      <c r="AN20" s="110"/>
      <c r="AO20" s="111"/>
      <c r="AP20" s="111"/>
      <c r="AQ20" s="187"/>
      <c r="AR20" s="110"/>
      <c r="AS20" s="111"/>
      <c r="AT20" s="111"/>
      <c r="AU20" s="187"/>
      <c r="AV20" s="110"/>
      <c r="AW20" s="111"/>
      <c r="AX20" s="111"/>
      <c r="AY20" s="111"/>
      <c r="AZ20" s="112"/>
      <c r="BA20" s="110"/>
      <c r="BB20" s="111"/>
      <c r="BC20" s="111"/>
      <c r="BD20" s="112"/>
      <c r="BE20" s="289">
        <f t="shared" si="0"/>
        <v>0</v>
      </c>
    </row>
    <row r="21" spans="2:57" hidden="1" x14ac:dyDescent="0.25">
      <c r="B21" s="41" t="s">
        <v>79</v>
      </c>
      <c r="C21" s="376"/>
      <c r="E21" s="110"/>
      <c r="F21" s="111"/>
      <c r="G21" s="111"/>
      <c r="H21" s="187"/>
      <c r="I21" s="110"/>
      <c r="J21" s="113"/>
      <c r="K21" s="111"/>
      <c r="L21" s="111"/>
      <c r="M21" s="112"/>
      <c r="N21" s="110"/>
      <c r="O21" s="111"/>
      <c r="P21" s="111"/>
      <c r="Q21" s="112"/>
      <c r="R21" s="110"/>
      <c r="S21" s="111"/>
      <c r="T21" s="111"/>
      <c r="U21" s="187"/>
      <c r="V21" s="110"/>
      <c r="W21" s="111"/>
      <c r="X21" s="111"/>
      <c r="Y21" s="187"/>
      <c r="Z21" s="110"/>
      <c r="AA21" s="111"/>
      <c r="AB21" s="111"/>
      <c r="AC21" s="111"/>
      <c r="AD21" s="112"/>
      <c r="AE21" s="110"/>
      <c r="AF21" s="111"/>
      <c r="AG21" s="111"/>
      <c r="AH21" s="187"/>
      <c r="AI21" s="110"/>
      <c r="AJ21" s="111"/>
      <c r="AK21" s="111"/>
      <c r="AL21" s="111"/>
      <c r="AM21" s="112"/>
      <c r="AN21" s="110"/>
      <c r="AO21" s="111"/>
      <c r="AP21" s="111"/>
      <c r="AQ21" s="187"/>
      <c r="AR21" s="110"/>
      <c r="AS21" s="111"/>
      <c r="AT21" s="111"/>
      <c r="AU21" s="187"/>
      <c r="AV21" s="110"/>
      <c r="AW21" s="111"/>
      <c r="AX21" s="111"/>
      <c r="AY21" s="111"/>
      <c r="AZ21" s="112"/>
      <c r="BA21" s="110"/>
      <c r="BB21" s="111"/>
      <c r="BC21" s="111"/>
      <c r="BD21" s="112"/>
      <c r="BE21" s="289">
        <f t="shared" si="0"/>
        <v>0</v>
      </c>
    </row>
    <row r="22" spans="2:57" ht="12" customHeight="1" x14ac:dyDescent="0.25">
      <c r="B22" s="6"/>
      <c r="C22" s="375" t="s">
        <v>78</v>
      </c>
      <c r="D22" s="358" t="s">
        <v>190</v>
      </c>
      <c r="E22" s="110"/>
      <c r="F22" s="111"/>
      <c r="G22" s="111"/>
      <c r="H22" s="187"/>
      <c r="I22" s="110"/>
      <c r="J22" s="113"/>
      <c r="K22" s="111"/>
      <c r="L22" s="111"/>
      <c r="M22" s="112"/>
      <c r="N22" s="110"/>
      <c r="O22" s="111"/>
      <c r="P22" s="111"/>
      <c r="Q22" s="112"/>
      <c r="R22" s="110"/>
      <c r="S22" s="111"/>
      <c r="T22" s="111"/>
      <c r="U22" s="187"/>
      <c r="V22" s="110"/>
      <c r="W22" s="111"/>
      <c r="X22" s="111"/>
      <c r="Y22" s="187"/>
      <c r="Z22" s="110"/>
      <c r="AA22" s="111"/>
      <c r="AB22" s="111"/>
      <c r="AC22" s="111"/>
      <c r="AD22" s="112"/>
      <c r="AE22" s="110"/>
      <c r="AF22" s="111"/>
      <c r="AG22" s="111"/>
      <c r="AH22" s="187"/>
      <c r="AI22" s="110"/>
      <c r="AJ22" s="111"/>
      <c r="AK22" s="111"/>
      <c r="AL22" s="111"/>
      <c r="AM22" s="112"/>
      <c r="AN22" s="110"/>
      <c r="AO22" s="111"/>
      <c r="AP22" s="111"/>
      <c r="AQ22" s="187"/>
      <c r="AR22" s="110"/>
      <c r="AS22" s="111"/>
      <c r="AT22" s="111"/>
      <c r="AU22" s="187"/>
      <c r="AV22" s="110"/>
      <c r="AW22" s="111"/>
      <c r="AX22" s="111"/>
      <c r="AY22" s="111"/>
      <c r="AZ22" s="112"/>
      <c r="BA22" s="110"/>
      <c r="BB22" s="111"/>
      <c r="BC22" s="111"/>
      <c r="BD22" s="112"/>
      <c r="BE22" s="289">
        <f t="shared" si="0"/>
        <v>0</v>
      </c>
    </row>
    <row r="23" spans="2:57" ht="12" hidden="1" customHeight="1" x14ac:dyDescent="0.25">
      <c r="B23" s="41" t="s">
        <v>77</v>
      </c>
      <c r="C23" s="376"/>
      <c r="E23" s="110"/>
      <c r="F23" s="111"/>
      <c r="G23" s="111"/>
      <c r="H23" s="187"/>
      <c r="I23" s="110"/>
      <c r="J23" s="113"/>
      <c r="K23" s="111"/>
      <c r="L23" s="111"/>
      <c r="M23" s="112"/>
      <c r="N23" s="110"/>
      <c r="O23" s="111"/>
      <c r="P23" s="111"/>
      <c r="Q23" s="112"/>
      <c r="R23" s="110"/>
      <c r="S23" s="111"/>
      <c r="T23" s="111"/>
      <c r="U23" s="187"/>
      <c r="V23" s="110"/>
      <c r="W23" s="111"/>
      <c r="X23" s="111"/>
      <c r="Y23" s="187"/>
      <c r="Z23" s="110"/>
      <c r="AA23" s="111"/>
      <c r="AB23" s="111"/>
      <c r="AC23" s="111"/>
      <c r="AD23" s="112"/>
      <c r="AE23" s="110"/>
      <c r="AF23" s="111"/>
      <c r="AG23" s="111"/>
      <c r="AH23" s="187"/>
      <c r="AI23" s="110"/>
      <c r="AJ23" s="111"/>
      <c r="AK23" s="111"/>
      <c r="AL23" s="111"/>
      <c r="AM23" s="112"/>
      <c r="AN23" s="110"/>
      <c r="AO23" s="111"/>
      <c r="AP23" s="111"/>
      <c r="AQ23" s="187"/>
      <c r="AR23" s="110"/>
      <c r="AS23" s="111"/>
      <c r="AT23" s="111"/>
      <c r="AU23" s="187"/>
      <c r="AV23" s="110"/>
      <c r="AW23" s="111"/>
      <c r="AX23" s="111"/>
      <c r="AY23" s="111"/>
      <c r="AZ23" s="112"/>
      <c r="BA23" s="110"/>
      <c r="BB23" s="111"/>
      <c r="BC23" s="111"/>
      <c r="BD23" s="112"/>
      <c r="BE23" s="289">
        <f t="shared" si="0"/>
        <v>0</v>
      </c>
    </row>
    <row r="24" spans="2:57" ht="12" customHeight="1" x14ac:dyDescent="0.25">
      <c r="B24" s="6"/>
      <c r="C24" s="375" t="s">
        <v>249</v>
      </c>
      <c r="D24" s="358" t="s">
        <v>189</v>
      </c>
      <c r="E24" s="110"/>
      <c r="F24" s="111"/>
      <c r="G24" s="111"/>
      <c r="H24" s="187"/>
      <c r="I24" s="110"/>
      <c r="J24" s="113"/>
      <c r="K24" s="111"/>
      <c r="L24" s="111"/>
      <c r="M24" s="112"/>
      <c r="N24" s="110"/>
      <c r="O24" s="111"/>
      <c r="P24" s="111"/>
      <c r="Q24" s="112"/>
      <c r="R24" s="110"/>
      <c r="S24" s="111"/>
      <c r="T24" s="111"/>
      <c r="U24" s="187"/>
      <c r="V24" s="110"/>
      <c r="W24" s="111"/>
      <c r="X24" s="111"/>
      <c r="Y24" s="187"/>
      <c r="Z24" s="110"/>
      <c r="AA24" s="111"/>
      <c r="AB24" s="111"/>
      <c r="AC24" s="111"/>
      <c r="AD24" s="112"/>
      <c r="AE24" s="110"/>
      <c r="AF24" s="111"/>
      <c r="AG24" s="111"/>
      <c r="AH24" s="187"/>
      <c r="AI24" s="110"/>
      <c r="AJ24" s="111"/>
      <c r="AK24" s="111"/>
      <c r="AL24" s="111"/>
      <c r="AM24" s="112"/>
      <c r="AN24" s="110"/>
      <c r="AO24" s="111"/>
      <c r="AP24" s="111"/>
      <c r="AQ24" s="187"/>
      <c r="AR24" s="110"/>
      <c r="AS24" s="111"/>
      <c r="AT24" s="111"/>
      <c r="AU24" s="187"/>
      <c r="AV24" s="110"/>
      <c r="AW24" s="111"/>
      <c r="AX24" s="111"/>
      <c r="AY24" s="111"/>
      <c r="AZ24" s="112"/>
      <c r="BA24" s="110"/>
      <c r="BB24" s="111"/>
      <c r="BC24" s="111"/>
      <c r="BD24" s="112"/>
      <c r="BE24" s="289">
        <f t="shared" si="0"/>
        <v>0</v>
      </c>
    </row>
    <row r="25" spans="2:57" ht="12" customHeight="1" x14ac:dyDescent="0.25">
      <c r="B25" s="6"/>
      <c r="C25" s="375" t="s">
        <v>76</v>
      </c>
      <c r="D25" s="358" t="s">
        <v>192</v>
      </c>
      <c r="E25" s="110"/>
      <c r="F25" s="111"/>
      <c r="G25" s="111"/>
      <c r="H25" s="187"/>
      <c r="I25" s="110"/>
      <c r="J25" s="113"/>
      <c r="K25" s="111"/>
      <c r="L25" s="111"/>
      <c r="M25" s="112"/>
      <c r="N25" s="110"/>
      <c r="O25" s="111"/>
      <c r="P25" s="111"/>
      <c r="Q25" s="112"/>
      <c r="R25" s="110"/>
      <c r="S25" s="111"/>
      <c r="T25" s="111"/>
      <c r="U25" s="187"/>
      <c r="V25" s="110"/>
      <c r="W25" s="111"/>
      <c r="X25" s="111"/>
      <c r="Y25" s="187"/>
      <c r="Z25" s="110"/>
      <c r="AA25" s="111"/>
      <c r="AB25" s="111"/>
      <c r="AC25" s="111"/>
      <c r="AD25" s="112"/>
      <c r="AE25" s="110"/>
      <c r="AF25" s="111"/>
      <c r="AG25" s="111"/>
      <c r="AH25" s="187"/>
      <c r="AI25" s="110"/>
      <c r="AJ25" s="111"/>
      <c r="AK25" s="111"/>
      <c r="AL25" s="111"/>
      <c r="AM25" s="112"/>
      <c r="AN25" s="110"/>
      <c r="AO25" s="111"/>
      <c r="AP25" s="111"/>
      <c r="AQ25" s="187"/>
      <c r="AR25" s="110"/>
      <c r="AS25" s="111"/>
      <c r="AT25" s="111"/>
      <c r="AU25" s="187"/>
      <c r="AV25" s="110"/>
      <c r="AW25" s="111"/>
      <c r="AX25" s="111"/>
      <c r="AY25" s="111"/>
      <c r="AZ25" s="112"/>
      <c r="BA25" s="110"/>
      <c r="BB25" s="111"/>
      <c r="BC25" s="111"/>
      <c r="BD25" s="112"/>
      <c r="BE25" s="289">
        <f t="shared" si="0"/>
        <v>0</v>
      </c>
    </row>
    <row r="26" spans="2:57" ht="12" customHeight="1" x14ac:dyDescent="0.25">
      <c r="B26" s="6"/>
      <c r="C26" s="375" t="s">
        <v>75</v>
      </c>
      <c r="D26" s="358" t="s">
        <v>193</v>
      </c>
      <c r="E26" s="110"/>
      <c r="F26" s="111"/>
      <c r="G26" s="111"/>
      <c r="H26" s="187"/>
      <c r="I26" s="110"/>
      <c r="J26" s="113"/>
      <c r="K26" s="111"/>
      <c r="L26" s="224"/>
      <c r="M26" s="112"/>
      <c r="N26" s="110"/>
      <c r="O26" s="111"/>
      <c r="P26" s="111"/>
      <c r="Q26" s="112"/>
      <c r="R26" s="110"/>
      <c r="S26" s="111"/>
      <c r="T26" s="111"/>
      <c r="U26" s="187"/>
      <c r="V26" s="110"/>
      <c r="W26" s="111"/>
      <c r="X26" s="111"/>
      <c r="Y26" s="187"/>
      <c r="Z26" s="110"/>
      <c r="AA26" s="111"/>
      <c r="AB26" s="111"/>
      <c r="AC26" s="111"/>
      <c r="AD26" s="112"/>
      <c r="AE26" s="110"/>
      <c r="AF26" s="111"/>
      <c r="AG26" s="111"/>
      <c r="AH26" s="187"/>
      <c r="AI26" s="110"/>
      <c r="AJ26" s="111"/>
      <c r="AK26" s="111"/>
      <c r="AL26" s="111"/>
      <c r="AM26" s="112"/>
      <c r="AN26" s="110"/>
      <c r="AO26" s="111"/>
      <c r="AP26" s="111"/>
      <c r="AQ26" s="187"/>
      <c r="AR26" s="110"/>
      <c r="AS26" s="111"/>
      <c r="AT26" s="111"/>
      <c r="AU26" s="187"/>
      <c r="AV26" s="110"/>
      <c r="AW26" s="111"/>
      <c r="AX26" s="111"/>
      <c r="AY26" s="111"/>
      <c r="AZ26" s="112"/>
      <c r="BA26" s="110"/>
      <c r="BB26" s="111"/>
      <c r="BC26" s="111"/>
      <c r="BD26" s="112"/>
      <c r="BE26" s="289">
        <f t="shared" si="0"/>
        <v>0</v>
      </c>
    </row>
    <row r="27" spans="2:57" ht="12" hidden="1" customHeight="1" x14ac:dyDescent="0.25">
      <c r="B27" s="41" t="s">
        <v>74</v>
      </c>
      <c r="C27" s="373"/>
      <c r="E27" s="110"/>
      <c r="F27" s="111"/>
      <c r="G27" s="111"/>
      <c r="H27" s="187"/>
      <c r="I27" s="110"/>
      <c r="J27" s="113"/>
      <c r="K27" s="111"/>
      <c r="L27" s="111"/>
      <c r="M27" s="112"/>
      <c r="N27" s="110"/>
      <c r="O27" s="111"/>
      <c r="P27" s="111"/>
      <c r="Q27" s="112"/>
      <c r="R27" s="110"/>
      <c r="S27" s="111"/>
      <c r="T27" s="111"/>
      <c r="U27" s="187"/>
      <c r="V27" s="110"/>
      <c r="W27" s="111"/>
      <c r="X27" s="111"/>
      <c r="Y27" s="187"/>
      <c r="Z27" s="110"/>
      <c r="AA27" s="111"/>
      <c r="AB27" s="111"/>
      <c r="AC27" s="111"/>
      <c r="AD27" s="112"/>
      <c r="AE27" s="110"/>
      <c r="AF27" s="111"/>
      <c r="AG27" s="111"/>
      <c r="AH27" s="187"/>
      <c r="AI27" s="110"/>
      <c r="AJ27" s="111"/>
      <c r="AK27" s="111"/>
      <c r="AL27" s="111"/>
      <c r="AM27" s="112"/>
      <c r="AN27" s="110"/>
      <c r="AO27" s="111"/>
      <c r="AP27" s="111"/>
      <c r="AQ27" s="187"/>
      <c r="AR27" s="110"/>
      <c r="AS27" s="111"/>
      <c r="AT27" s="111"/>
      <c r="AU27" s="187"/>
      <c r="AV27" s="110"/>
      <c r="AW27" s="111"/>
      <c r="AX27" s="111"/>
      <c r="AY27" s="111"/>
      <c r="AZ27" s="112"/>
      <c r="BA27" s="110"/>
      <c r="BB27" s="111"/>
      <c r="BC27" s="111"/>
      <c r="BD27" s="112"/>
      <c r="BE27" s="289">
        <f t="shared" si="0"/>
        <v>0</v>
      </c>
    </row>
    <row r="28" spans="2:57" ht="12" customHeight="1" x14ac:dyDescent="0.25">
      <c r="B28" s="5"/>
      <c r="C28" s="377"/>
      <c r="E28" s="110"/>
      <c r="F28" s="111"/>
      <c r="G28" s="111"/>
      <c r="H28" s="187"/>
      <c r="I28" s="110"/>
      <c r="J28" s="111"/>
      <c r="K28" s="111"/>
      <c r="L28" s="111"/>
      <c r="M28" s="112"/>
      <c r="N28" s="110"/>
      <c r="O28" s="111"/>
      <c r="P28" s="111"/>
      <c r="Q28" s="112"/>
      <c r="R28" s="110"/>
      <c r="S28" s="111"/>
      <c r="T28" s="111"/>
      <c r="U28" s="187"/>
      <c r="V28" s="110"/>
      <c r="W28" s="111"/>
      <c r="X28" s="111"/>
      <c r="Y28" s="187"/>
      <c r="Z28" s="110"/>
      <c r="AA28" s="111"/>
      <c r="AB28" s="111"/>
      <c r="AC28" s="111"/>
      <c r="AD28" s="112"/>
      <c r="AE28" s="110"/>
      <c r="AF28" s="111"/>
      <c r="AG28" s="111"/>
      <c r="AH28" s="187"/>
      <c r="AI28" s="110"/>
      <c r="AJ28" s="111"/>
      <c r="AK28" s="111"/>
      <c r="AL28" s="111"/>
      <c r="AM28" s="112"/>
      <c r="AN28" s="110"/>
      <c r="AO28" s="111"/>
      <c r="AP28" s="111"/>
      <c r="AQ28" s="187"/>
      <c r="AR28" s="110"/>
      <c r="AS28" s="111"/>
      <c r="AT28" s="111"/>
      <c r="AU28" s="187"/>
      <c r="AV28" s="110"/>
      <c r="AW28" s="111"/>
      <c r="AX28" s="111"/>
      <c r="AY28" s="111"/>
      <c r="AZ28" s="112"/>
      <c r="BA28" s="110"/>
      <c r="BB28" s="111"/>
      <c r="BC28" s="111"/>
      <c r="BD28" s="112"/>
      <c r="BE28" s="289">
        <f t="shared" si="0"/>
        <v>0</v>
      </c>
    </row>
    <row r="29" spans="2:57" ht="12" customHeight="1" x14ac:dyDescent="0.25">
      <c r="B29" s="5"/>
      <c r="C29" s="378"/>
      <c r="E29" s="110"/>
      <c r="F29" s="111"/>
      <c r="G29" s="111"/>
      <c r="H29" s="187"/>
      <c r="I29" s="110"/>
      <c r="J29" s="113"/>
      <c r="K29" s="111"/>
      <c r="L29" s="111"/>
      <c r="M29" s="112"/>
      <c r="N29" s="110"/>
      <c r="O29" s="111"/>
      <c r="P29" s="111"/>
      <c r="Q29" s="112"/>
      <c r="R29" s="110"/>
      <c r="S29" s="111"/>
      <c r="T29" s="111"/>
      <c r="U29" s="187"/>
      <c r="V29" s="110"/>
      <c r="W29" s="111"/>
      <c r="X29" s="111"/>
      <c r="Y29" s="187"/>
      <c r="Z29" s="110"/>
      <c r="AA29" s="111"/>
      <c r="AB29" s="111"/>
      <c r="AC29" s="111"/>
      <c r="AD29" s="112"/>
      <c r="AE29" s="110"/>
      <c r="AF29" s="111"/>
      <c r="AG29" s="111"/>
      <c r="AH29" s="187"/>
      <c r="AI29" s="110"/>
      <c r="AJ29" s="111"/>
      <c r="AK29" s="111"/>
      <c r="AL29" s="111"/>
      <c r="AM29" s="112"/>
      <c r="AN29" s="110"/>
      <c r="AO29" s="111"/>
      <c r="AP29" s="111"/>
      <c r="AQ29" s="187"/>
      <c r="AR29" s="110"/>
      <c r="AS29" s="111"/>
      <c r="AT29" s="111"/>
      <c r="AU29" s="187"/>
      <c r="AV29" s="110"/>
      <c r="AW29" s="111"/>
      <c r="AX29" s="111"/>
      <c r="AY29" s="111"/>
      <c r="AZ29" s="112"/>
      <c r="BA29" s="110"/>
      <c r="BB29" s="111"/>
      <c r="BC29" s="111"/>
      <c r="BD29" s="112"/>
      <c r="BE29" s="289">
        <f t="shared" si="0"/>
        <v>0</v>
      </c>
    </row>
    <row r="30" spans="2:57" ht="12" customHeight="1" x14ac:dyDescent="0.25">
      <c r="B30" s="5"/>
      <c r="C30" s="378"/>
      <c r="E30" s="110"/>
      <c r="F30" s="111"/>
      <c r="G30" s="111"/>
      <c r="H30" s="187"/>
      <c r="I30" s="110"/>
      <c r="J30" s="113"/>
      <c r="K30" s="111"/>
      <c r="L30" s="111"/>
      <c r="M30" s="112"/>
      <c r="N30" s="110"/>
      <c r="O30" s="111"/>
      <c r="P30" s="111"/>
      <c r="Q30" s="112"/>
      <c r="R30" s="110"/>
      <c r="S30" s="111"/>
      <c r="T30" s="111"/>
      <c r="U30" s="187"/>
      <c r="V30" s="110"/>
      <c r="W30" s="111"/>
      <c r="X30" s="111"/>
      <c r="Y30" s="187"/>
      <c r="Z30" s="110"/>
      <c r="AA30" s="111"/>
      <c r="AB30" s="111"/>
      <c r="AC30" s="111"/>
      <c r="AD30" s="112"/>
      <c r="AE30" s="110"/>
      <c r="AF30" s="111"/>
      <c r="AG30" s="111"/>
      <c r="AH30" s="187"/>
      <c r="AI30" s="110"/>
      <c r="AJ30" s="111"/>
      <c r="AK30" s="111"/>
      <c r="AL30" s="111"/>
      <c r="AM30" s="112"/>
      <c r="AN30" s="110"/>
      <c r="AO30" s="111"/>
      <c r="AP30" s="111"/>
      <c r="AQ30" s="187"/>
      <c r="AR30" s="110"/>
      <c r="AS30" s="111"/>
      <c r="AT30" s="111"/>
      <c r="AU30" s="187"/>
      <c r="AV30" s="110"/>
      <c r="AW30" s="111"/>
      <c r="AX30" s="111"/>
      <c r="AY30" s="111"/>
      <c r="AZ30" s="112"/>
      <c r="BA30" s="110"/>
      <c r="BB30" s="111"/>
      <c r="BC30" s="111"/>
      <c r="BD30" s="112"/>
      <c r="BE30" s="289">
        <f t="shared" si="0"/>
        <v>0</v>
      </c>
    </row>
    <row r="31" spans="2:57" ht="12" hidden="1" customHeight="1" x14ac:dyDescent="0.25">
      <c r="B31" s="41" t="s">
        <v>72</v>
      </c>
      <c r="C31" s="373"/>
      <c r="E31" s="110"/>
      <c r="F31" s="111"/>
      <c r="G31" s="111"/>
      <c r="H31" s="187"/>
      <c r="I31" s="110"/>
      <c r="J31" s="113"/>
      <c r="K31" s="111"/>
      <c r="L31" s="111"/>
      <c r="M31" s="112"/>
      <c r="N31" s="110"/>
      <c r="O31" s="111"/>
      <c r="P31" s="111"/>
      <c r="Q31" s="112"/>
      <c r="R31" s="110"/>
      <c r="S31" s="111"/>
      <c r="T31" s="111"/>
      <c r="U31" s="187"/>
      <c r="V31" s="110"/>
      <c r="W31" s="111"/>
      <c r="X31" s="111"/>
      <c r="Y31" s="187"/>
      <c r="Z31" s="110"/>
      <c r="AA31" s="111"/>
      <c r="AB31" s="111"/>
      <c r="AC31" s="111"/>
      <c r="AD31" s="112"/>
      <c r="AE31" s="110"/>
      <c r="AF31" s="111"/>
      <c r="AG31" s="111"/>
      <c r="AH31" s="187"/>
      <c r="AI31" s="110"/>
      <c r="AJ31" s="111"/>
      <c r="AK31" s="111"/>
      <c r="AL31" s="111"/>
      <c r="AM31" s="112"/>
      <c r="AN31" s="110"/>
      <c r="AO31" s="111"/>
      <c r="AP31" s="111"/>
      <c r="AQ31" s="187"/>
      <c r="AR31" s="110"/>
      <c r="AS31" s="111"/>
      <c r="AT31" s="111"/>
      <c r="AU31" s="187"/>
      <c r="AV31" s="110"/>
      <c r="AW31" s="111"/>
      <c r="AX31" s="111"/>
      <c r="AY31" s="111"/>
      <c r="AZ31" s="112"/>
      <c r="BA31" s="110"/>
      <c r="BB31" s="111"/>
      <c r="BC31" s="111"/>
      <c r="BD31" s="112"/>
      <c r="BE31" s="289">
        <f t="shared" si="0"/>
        <v>0</v>
      </c>
    </row>
    <row r="32" spans="2:57" ht="12" customHeight="1" x14ac:dyDescent="0.25">
      <c r="B32" s="6"/>
      <c r="C32" s="379"/>
      <c r="E32" s="110"/>
      <c r="F32" s="111"/>
      <c r="G32" s="111"/>
      <c r="H32" s="187"/>
      <c r="I32" s="110"/>
      <c r="J32" s="113"/>
      <c r="K32" s="111"/>
      <c r="L32" s="111"/>
      <c r="M32" s="112"/>
      <c r="N32" s="110"/>
      <c r="O32" s="111"/>
      <c r="P32" s="111"/>
      <c r="Q32" s="112"/>
      <c r="R32" s="110"/>
      <c r="S32" s="111"/>
      <c r="T32" s="111"/>
      <c r="U32" s="187"/>
      <c r="V32" s="110"/>
      <c r="W32" s="111"/>
      <c r="X32" s="111"/>
      <c r="Y32" s="187"/>
      <c r="Z32" s="110"/>
      <c r="AA32" s="111"/>
      <c r="AB32" s="111"/>
      <c r="AC32" s="111"/>
      <c r="AD32" s="112"/>
      <c r="AE32" s="110"/>
      <c r="AF32" s="111"/>
      <c r="AG32" s="111"/>
      <c r="AH32" s="187"/>
      <c r="AI32" s="110"/>
      <c r="AJ32" s="111"/>
      <c r="AK32" s="111"/>
      <c r="AL32" s="111"/>
      <c r="AM32" s="112"/>
      <c r="AN32" s="110"/>
      <c r="AO32" s="111"/>
      <c r="AP32" s="111"/>
      <c r="AQ32" s="187"/>
      <c r="AR32" s="110"/>
      <c r="AS32" s="111"/>
      <c r="AT32" s="111"/>
      <c r="AU32" s="187"/>
      <c r="AV32" s="110"/>
      <c r="AW32" s="111"/>
      <c r="AX32" s="111"/>
      <c r="AY32" s="111"/>
      <c r="AZ32" s="112"/>
      <c r="BA32" s="110"/>
      <c r="BB32" s="111"/>
      <c r="BC32" s="111"/>
      <c r="BD32" s="112"/>
      <c r="BE32" s="289">
        <f t="shared" si="0"/>
        <v>0</v>
      </c>
    </row>
    <row r="33" spans="1:57" ht="12" customHeight="1" x14ac:dyDescent="0.25">
      <c r="B33" s="6"/>
      <c r="C33" s="379"/>
      <c r="E33" s="110"/>
      <c r="F33" s="111"/>
      <c r="G33" s="111"/>
      <c r="H33" s="187"/>
      <c r="I33" s="110"/>
      <c r="J33" s="113"/>
      <c r="K33" s="111"/>
      <c r="L33" s="111"/>
      <c r="M33" s="112"/>
      <c r="N33" s="110"/>
      <c r="O33" s="111"/>
      <c r="P33" s="111"/>
      <c r="Q33" s="112"/>
      <c r="R33" s="110"/>
      <c r="S33" s="111"/>
      <c r="T33" s="111"/>
      <c r="U33" s="187"/>
      <c r="V33" s="110"/>
      <c r="W33" s="111"/>
      <c r="X33" s="111"/>
      <c r="Y33" s="187"/>
      <c r="Z33" s="110"/>
      <c r="AA33" s="111"/>
      <c r="AB33" s="111"/>
      <c r="AC33" s="111"/>
      <c r="AD33" s="112"/>
      <c r="AE33" s="110"/>
      <c r="AF33" s="111"/>
      <c r="AG33" s="111"/>
      <c r="AH33" s="187"/>
      <c r="AI33" s="110"/>
      <c r="AJ33" s="111"/>
      <c r="AK33" s="111"/>
      <c r="AL33" s="111"/>
      <c r="AM33" s="112"/>
      <c r="AN33" s="110"/>
      <c r="AO33" s="111"/>
      <c r="AP33" s="111"/>
      <c r="AQ33" s="187"/>
      <c r="AR33" s="110"/>
      <c r="AS33" s="111"/>
      <c r="AT33" s="111"/>
      <c r="AU33" s="187"/>
      <c r="AV33" s="110"/>
      <c r="AW33" s="111"/>
      <c r="AX33" s="111"/>
      <c r="AY33" s="111"/>
      <c r="AZ33" s="112"/>
      <c r="BA33" s="110"/>
      <c r="BB33" s="111"/>
      <c r="BC33" s="111"/>
      <c r="BD33" s="112"/>
      <c r="BE33" s="289">
        <f t="shared" si="0"/>
        <v>0</v>
      </c>
    </row>
    <row r="34" spans="1:57" ht="12" customHeight="1" thickBot="1" x14ac:dyDescent="0.3">
      <c r="B34" s="3"/>
      <c r="C34" s="380"/>
      <c r="E34" s="125"/>
      <c r="F34" s="126"/>
      <c r="G34" s="126"/>
      <c r="H34" s="189"/>
      <c r="I34" s="125"/>
      <c r="J34" s="128"/>
      <c r="K34" s="126"/>
      <c r="L34" s="126"/>
      <c r="M34" s="127"/>
      <c r="N34" s="125"/>
      <c r="O34" s="126"/>
      <c r="P34" s="126"/>
      <c r="Q34" s="127"/>
      <c r="R34" s="125"/>
      <c r="S34" s="126"/>
      <c r="T34" s="126"/>
      <c r="U34" s="189"/>
      <c r="V34" s="125"/>
      <c r="W34" s="126"/>
      <c r="X34" s="126"/>
      <c r="Y34" s="189"/>
      <c r="Z34" s="125"/>
      <c r="AA34" s="126"/>
      <c r="AB34" s="126"/>
      <c r="AC34" s="148"/>
      <c r="AD34" s="127"/>
      <c r="AE34" s="125"/>
      <c r="AF34" s="126"/>
      <c r="AG34" s="126"/>
      <c r="AH34" s="189"/>
      <c r="AI34" s="125"/>
      <c r="AJ34" s="126"/>
      <c r="AK34" s="126"/>
      <c r="AL34" s="126"/>
      <c r="AM34" s="127"/>
      <c r="AN34" s="125"/>
      <c r="AO34" s="126"/>
      <c r="AP34" s="126"/>
      <c r="AQ34" s="189"/>
      <c r="AR34" s="125"/>
      <c r="AS34" s="126"/>
      <c r="AT34" s="126"/>
      <c r="AU34" s="189"/>
      <c r="AV34" s="125"/>
      <c r="AW34" s="126"/>
      <c r="AX34" s="126"/>
      <c r="AY34" s="126"/>
      <c r="AZ34" s="127"/>
      <c r="BA34" s="125"/>
      <c r="BB34" s="126"/>
      <c r="BC34" s="126"/>
      <c r="BD34" s="127"/>
      <c r="BE34" s="289">
        <f t="shared" si="0"/>
        <v>0</v>
      </c>
    </row>
    <row r="35" spans="1:57" s="7" customFormat="1" ht="16.5" thickBot="1" x14ac:dyDescent="0.3">
      <c r="A35" s="97"/>
      <c r="B35" s="8"/>
      <c r="C35" s="381"/>
      <c r="D35" s="361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289"/>
    </row>
    <row r="36" spans="1:57" ht="33.75" customHeight="1" thickBot="1" x14ac:dyDescent="0.3">
      <c r="B36" s="42"/>
      <c r="C36" s="372" t="s">
        <v>163</v>
      </c>
      <c r="E36" s="80">
        <v>1</v>
      </c>
      <c r="F36" s="81">
        <v>2</v>
      </c>
      <c r="G36" s="81">
        <v>3</v>
      </c>
      <c r="H36" s="81">
        <v>4</v>
      </c>
      <c r="I36" s="81">
        <v>5</v>
      </c>
      <c r="J36" s="81">
        <v>6</v>
      </c>
      <c r="K36" s="81">
        <v>7</v>
      </c>
      <c r="L36" s="81">
        <v>8</v>
      </c>
      <c r="M36" s="81">
        <v>9</v>
      </c>
      <c r="N36" s="81">
        <v>10</v>
      </c>
      <c r="O36" s="81">
        <v>11</v>
      </c>
      <c r="P36" s="81">
        <v>12</v>
      </c>
      <c r="Q36" s="81">
        <v>13</v>
      </c>
      <c r="R36" s="81">
        <v>14</v>
      </c>
      <c r="S36" s="81">
        <v>15</v>
      </c>
      <c r="T36" s="81">
        <v>16</v>
      </c>
      <c r="U36" s="81">
        <v>17</v>
      </c>
      <c r="V36" s="81">
        <v>18</v>
      </c>
      <c r="W36" s="81">
        <v>19</v>
      </c>
      <c r="X36" s="81">
        <v>20</v>
      </c>
      <c r="Y36" s="81">
        <v>21</v>
      </c>
      <c r="Z36" s="81">
        <v>22</v>
      </c>
      <c r="AA36" s="81">
        <v>23</v>
      </c>
      <c r="AB36" s="81">
        <v>24</v>
      </c>
      <c r="AC36" s="81">
        <v>25</v>
      </c>
      <c r="AD36" s="81">
        <v>26</v>
      </c>
      <c r="AE36" s="81">
        <v>27</v>
      </c>
      <c r="AF36" s="81">
        <v>28</v>
      </c>
      <c r="AG36" s="81">
        <v>29</v>
      </c>
      <c r="AH36" s="81">
        <v>30</v>
      </c>
      <c r="AI36" s="81">
        <v>31</v>
      </c>
      <c r="AJ36" s="81">
        <v>32</v>
      </c>
      <c r="AK36" s="81">
        <v>33</v>
      </c>
      <c r="AL36" s="81">
        <v>34</v>
      </c>
      <c r="AM36" s="81">
        <v>35</v>
      </c>
      <c r="AN36" s="81">
        <v>36</v>
      </c>
      <c r="AO36" s="81">
        <v>37</v>
      </c>
      <c r="AP36" s="81">
        <v>38</v>
      </c>
      <c r="AQ36" s="81">
        <v>39</v>
      </c>
      <c r="AR36" s="81">
        <v>40</v>
      </c>
      <c r="AS36" s="81">
        <v>41</v>
      </c>
      <c r="AT36" s="81">
        <v>42</v>
      </c>
      <c r="AU36" s="81">
        <v>43</v>
      </c>
      <c r="AV36" s="81">
        <v>44</v>
      </c>
      <c r="AW36" s="81">
        <v>45</v>
      </c>
      <c r="AX36" s="81">
        <v>46</v>
      </c>
      <c r="AY36" s="81">
        <v>47</v>
      </c>
      <c r="AZ36" s="81">
        <v>48</v>
      </c>
      <c r="BA36" s="81">
        <v>49</v>
      </c>
      <c r="BB36" s="81">
        <v>50</v>
      </c>
      <c r="BC36" s="81">
        <v>51</v>
      </c>
      <c r="BD36" s="81">
        <v>52</v>
      </c>
    </row>
    <row r="37" spans="1:57" ht="19.5" hidden="1" customHeight="1" thickBot="1" x14ac:dyDescent="0.3">
      <c r="B37" s="58" t="s">
        <v>70</v>
      </c>
      <c r="C37" s="382"/>
      <c r="E37" s="60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289">
        <f t="shared" si="0"/>
        <v>0</v>
      </c>
    </row>
    <row r="38" spans="1:57" ht="12" customHeight="1" x14ac:dyDescent="0.25">
      <c r="B38" s="6"/>
      <c r="C38" s="375" t="s">
        <v>215</v>
      </c>
      <c r="D38" s="358" t="s">
        <v>191</v>
      </c>
      <c r="E38" s="110"/>
      <c r="F38" s="111"/>
      <c r="G38" s="111"/>
      <c r="H38" s="187"/>
      <c r="I38" s="154"/>
      <c r="J38" s="107"/>
      <c r="K38" s="107"/>
      <c r="L38" s="107"/>
      <c r="M38" s="108"/>
      <c r="N38" s="113"/>
      <c r="O38" s="111"/>
      <c r="P38" s="111"/>
      <c r="Q38" s="112"/>
      <c r="R38" s="154"/>
      <c r="S38" s="107"/>
      <c r="T38" s="107"/>
      <c r="U38" s="186"/>
      <c r="V38" s="154"/>
      <c r="W38" s="107"/>
      <c r="X38" s="107"/>
      <c r="Y38" s="186"/>
      <c r="Z38" s="154"/>
      <c r="AA38" s="107"/>
      <c r="AB38" s="107"/>
      <c r="AC38" s="107"/>
      <c r="AD38" s="108"/>
      <c r="AE38" s="154"/>
      <c r="AF38" s="107"/>
      <c r="AG38" s="107"/>
      <c r="AH38" s="186"/>
      <c r="AI38" s="154"/>
      <c r="AJ38" s="107"/>
      <c r="AK38" s="107"/>
      <c r="AL38" s="107"/>
      <c r="AM38" s="108"/>
      <c r="AN38" s="154"/>
      <c r="AO38" s="107"/>
      <c r="AP38" s="107"/>
      <c r="AQ38" s="186"/>
      <c r="AR38" s="154"/>
      <c r="AS38" s="107"/>
      <c r="AT38" s="107"/>
      <c r="AU38" s="186"/>
      <c r="AV38" s="154"/>
      <c r="AW38" s="107"/>
      <c r="AX38" s="107"/>
      <c r="AY38" s="107"/>
      <c r="AZ38" s="108"/>
      <c r="BA38" s="154"/>
      <c r="BB38" s="107"/>
      <c r="BC38" s="107"/>
      <c r="BD38" s="108"/>
      <c r="BE38" s="289">
        <f t="shared" ref="BE38" si="1">52-COUNTBLANK(E38:BD38)</f>
        <v>0</v>
      </c>
    </row>
    <row r="39" spans="1:57" ht="28.5" hidden="1" customHeight="1" x14ac:dyDescent="0.25">
      <c r="B39" s="58" t="s">
        <v>69</v>
      </c>
      <c r="C39" s="375"/>
      <c r="E39" s="110"/>
      <c r="F39" s="111"/>
      <c r="G39" s="111"/>
      <c r="H39" s="187"/>
      <c r="I39" s="110"/>
      <c r="J39" s="111"/>
      <c r="K39" s="111"/>
      <c r="L39" s="111"/>
      <c r="M39" s="112"/>
      <c r="N39" s="113"/>
      <c r="O39" s="111"/>
      <c r="P39" s="111"/>
      <c r="Q39" s="112"/>
      <c r="R39" s="110"/>
      <c r="S39" s="111"/>
      <c r="T39" s="111"/>
      <c r="U39" s="187"/>
      <c r="V39" s="110"/>
      <c r="W39" s="111"/>
      <c r="X39" s="111"/>
      <c r="Y39" s="187"/>
      <c r="Z39" s="110"/>
      <c r="AA39" s="111"/>
      <c r="AB39" s="111"/>
      <c r="AC39" s="111"/>
      <c r="AD39" s="112"/>
      <c r="AE39" s="110"/>
      <c r="AF39" s="111"/>
      <c r="AG39" s="111"/>
      <c r="AH39" s="187"/>
      <c r="AI39" s="110"/>
      <c r="AJ39" s="111"/>
      <c r="AK39" s="111"/>
      <c r="AL39" s="111"/>
      <c r="AM39" s="112"/>
      <c r="AN39" s="110"/>
      <c r="AO39" s="111"/>
      <c r="AP39" s="111"/>
      <c r="AQ39" s="187"/>
      <c r="AR39" s="110"/>
      <c r="AS39" s="111"/>
      <c r="AT39" s="111"/>
      <c r="AU39" s="187"/>
      <c r="AV39" s="110"/>
      <c r="AW39" s="111"/>
      <c r="AX39" s="111"/>
      <c r="AY39" s="111"/>
      <c r="AZ39" s="112"/>
      <c r="BA39" s="110"/>
      <c r="BB39" s="111"/>
      <c r="BC39" s="111"/>
      <c r="BD39" s="112"/>
      <c r="BE39" s="289">
        <f t="shared" si="0"/>
        <v>0</v>
      </c>
    </row>
    <row r="40" spans="1:57" ht="12" customHeight="1" x14ac:dyDescent="0.25">
      <c r="B40" s="6"/>
      <c r="C40" s="378" t="s">
        <v>194</v>
      </c>
      <c r="D40" s="358" t="s">
        <v>193</v>
      </c>
      <c r="E40" s="110"/>
      <c r="F40" s="111"/>
      <c r="G40" s="111"/>
      <c r="H40" s="187"/>
      <c r="I40" s="110"/>
      <c r="J40" s="111"/>
      <c r="K40" s="111"/>
      <c r="L40" s="111"/>
      <c r="M40" s="112"/>
      <c r="N40" s="113"/>
      <c r="O40" s="111"/>
      <c r="P40" s="111"/>
      <c r="Q40" s="112"/>
      <c r="R40" s="110"/>
      <c r="S40" s="111"/>
      <c r="T40" s="111"/>
      <c r="U40" s="187"/>
      <c r="V40" s="110"/>
      <c r="W40" s="111"/>
      <c r="X40" s="111"/>
      <c r="Y40" s="187"/>
      <c r="Z40" s="110"/>
      <c r="AA40" s="111"/>
      <c r="AB40" s="111"/>
      <c r="AC40" s="111"/>
      <c r="AD40" s="112"/>
      <c r="AE40" s="110"/>
      <c r="AF40" s="111"/>
      <c r="AG40" s="111"/>
      <c r="AH40" s="187"/>
      <c r="AI40" s="110"/>
      <c r="AJ40" s="111"/>
      <c r="AK40" s="111"/>
      <c r="AL40" s="111"/>
      <c r="AM40" s="112"/>
      <c r="AN40" s="110"/>
      <c r="AO40" s="111"/>
      <c r="AP40" s="111"/>
      <c r="AQ40" s="187"/>
      <c r="AR40" s="110"/>
      <c r="AS40" s="111"/>
      <c r="AT40" s="111"/>
      <c r="AU40" s="187"/>
      <c r="AV40" s="110"/>
      <c r="AW40" s="111"/>
      <c r="AX40" s="111"/>
      <c r="AY40" s="111"/>
      <c r="AZ40" s="112"/>
      <c r="BA40" s="110"/>
      <c r="BB40" s="111"/>
      <c r="BC40" s="111"/>
      <c r="BD40" s="112"/>
      <c r="BE40" s="289">
        <f t="shared" ref="BE40:BE41" si="2">52-COUNTBLANK(E40:BD40)</f>
        <v>0</v>
      </c>
    </row>
    <row r="41" spans="1:57" ht="12" customHeight="1" x14ac:dyDescent="0.25">
      <c r="B41" s="6"/>
      <c r="C41" s="378" t="s">
        <v>216</v>
      </c>
      <c r="D41" s="358" t="s">
        <v>191</v>
      </c>
      <c r="E41" s="110"/>
      <c r="F41" s="111"/>
      <c r="G41" s="111"/>
      <c r="H41" s="187"/>
      <c r="I41" s="110"/>
      <c r="J41" s="111"/>
      <c r="K41" s="111"/>
      <c r="L41" s="111"/>
      <c r="M41" s="112"/>
      <c r="N41" s="113"/>
      <c r="O41" s="111"/>
      <c r="P41" s="111"/>
      <c r="Q41" s="112"/>
      <c r="R41" s="110"/>
      <c r="S41" s="111"/>
      <c r="T41" s="111"/>
      <c r="U41" s="187"/>
      <c r="V41" s="110"/>
      <c r="W41" s="111"/>
      <c r="X41" s="111"/>
      <c r="Y41" s="187"/>
      <c r="Z41" s="110"/>
      <c r="AA41" s="111"/>
      <c r="AB41" s="111"/>
      <c r="AC41" s="111"/>
      <c r="AD41" s="112"/>
      <c r="AE41" s="110"/>
      <c r="AF41" s="111"/>
      <c r="AG41" s="111"/>
      <c r="AH41" s="187"/>
      <c r="AI41" s="110"/>
      <c r="AJ41" s="111"/>
      <c r="AK41" s="111"/>
      <c r="AL41" s="111"/>
      <c r="AM41" s="112"/>
      <c r="AN41" s="110"/>
      <c r="AO41" s="111"/>
      <c r="AP41" s="111"/>
      <c r="AQ41" s="187"/>
      <c r="AR41" s="110"/>
      <c r="AS41" s="111"/>
      <c r="AT41" s="111"/>
      <c r="AU41" s="187"/>
      <c r="AV41" s="110"/>
      <c r="AW41" s="111"/>
      <c r="AX41" s="111"/>
      <c r="AY41" s="111"/>
      <c r="AZ41" s="112"/>
      <c r="BA41" s="110"/>
      <c r="BB41" s="111"/>
      <c r="BC41" s="111"/>
      <c r="BD41" s="112"/>
      <c r="BE41" s="289">
        <f t="shared" si="2"/>
        <v>0</v>
      </c>
    </row>
    <row r="42" spans="1:57" ht="12" customHeight="1" x14ac:dyDescent="0.25">
      <c r="B42" s="6"/>
      <c r="C42" s="378" t="s">
        <v>195</v>
      </c>
      <c r="D42" s="358" t="s">
        <v>193</v>
      </c>
      <c r="E42" s="110"/>
      <c r="F42" s="111"/>
      <c r="G42" s="111"/>
      <c r="H42" s="187"/>
      <c r="I42" s="110"/>
      <c r="J42" s="111"/>
      <c r="K42" s="111"/>
      <c r="L42" s="111"/>
      <c r="M42" s="112"/>
      <c r="N42" s="113"/>
      <c r="O42" s="111"/>
      <c r="P42" s="111"/>
      <c r="Q42" s="112"/>
      <c r="R42" s="110"/>
      <c r="S42" s="111"/>
      <c r="T42" s="111"/>
      <c r="U42" s="187"/>
      <c r="V42" s="110"/>
      <c r="W42" s="111"/>
      <c r="X42" s="111"/>
      <c r="Y42" s="187"/>
      <c r="Z42" s="110"/>
      <c r="AA42" s="111"/>
      <c r="AB42" s="111"/>
      <c r="AC42" s="111"/>
      <c r="AD42" s="112"/>
      <c r="AE42" s="110"/>
      <c r="AF42" s="111"/>
      <c r="AG42" s="111"/>
      <c r="AH42" s="187"/>
      <c r="AI42" s="110"/>
      <c r="AJ42" s="111"/>
      <c r="AK42" s="111"/>
      <c r="AL42" s="111"/>
      <c r="AM42" s="112"/>
      <c r="AN42" s="110"/>
      <c r="AO42" s="111"/>
      <c r="AP42" s="111"/>
      <c r="AQ42" s="187"/>
      <c r="AR42" s="110"/>
      <c r="AS42" s="111"/>
      <c r="AT42" s="111"/>
      <c r="AU42" s="187"/>
      <c r="AV42" s="110"/>
      <c r="AW42" s="111"/>
      <c r="AX42" s="111"/>
      <c r="AY42" s="111"/>
      <c r="AZ42" s="112"/>
      <c r="BA42" s="110"/>
      <c r="BB42" s="111"/>
      <c r="BC42" s="111"/>
      <c r="BD42" s="112"/>
    </row>
    <row r="43" spans="1:57" ht="12" hidden="1" customHeight="1" x14ac:dyDescent="0.25">
      <c r="B43" s="58" t="s">
        <v>68</v>
      </c>
      <c r="C43" s="375"/>
      <c r="E43" s="110"/>
      <c r="F43" s="111"/>
      <c r="G43" s="111"/>
      <c r="H43" s="187"/>
      <c r="I43" s="110"/>
      <c r="J43" s="111"/>
      <c r="K43" s="111"/>
      <c r="L43" s="111"/>
      <c r="M43" s="112"/>
      <c r="N43" s="113"/>
      <c r="O43" s="111"/>
      <c r="P43" s="111"/>
      <c r="Q43" s="112"/>
      <c r="R43" s="110"/>
      <c r="S43" s="111"/>
      <c r="T43" s="111"/>
      <c r="U43" s="187"/>
      <c r="V43" s="110"/>
      <c r="W43" s="111"/>
      <c r="X43" s="111"/>
      <c r="Y43" s="187"/>
      <c r="Z43" s="110"/>
      <c r="AA43" s="111"/>
      <c r="AB43" s="111"/>
      <c r="AC43" s="111"/>
      <c r="AD43" s="112"/>
      <c r="AE43" s="110"/>
      <c r="AF43" s="111"/>
      <c r="AG43" s="111"/>
      <c r="AH43" s="187"/>
      <c r="AI43" s="110"/>
      <c r="AJ43" s="111"/>
      <c r="AK43" s="111"/>
      <c r="AL43" s="111"/>
      <c r="AM43" s="112"/>
      <c r="AN43" s="110"/>
      <c r="AO43" s="111"/>
      <c r="AP43" s="111"/>
      <c r="AQ43" s="187"/>
      <c r="AR43" s="110"/>
      <c r="AS43" s="111"/>
      <c r="AT43" s="111"/>
      <c r="AU43" s="187"/>
      <c r="AV43" s="110"/>
      <c r="AW43" s="111"/>
      <c r="AX43" s="111"/>
      <c r="AY43" s="111"/>
      <c r="AZ43" s="112"/>
      <c r="BA43" s="110"/>
      <c r="BB43" s="111"/>
      <c r="BC43" s="111"/>
      <c r="BD43" s="112"/>
      <c r="BE43" s="289">
        <f t="shared" si="0"/>
        <v>0</v>
      </c>
    </row>
    <row r="44" spans="1:57" ht="12" customHeight="1" x14ac:dyDescent="0.25">
      <c r="B44" s="6"/>
      <c r="C44" s="375" t="s">
        <v>96</v>
      </c>
      <c r="D44" s="358" t="s">
        <v>190</v>
      </c>
      <c r="E44" s="110"/>
      <c r="F44" s="111"/>
      <c r="G44" s="111"/>
      <c r="H44" s="187"/>
      <c r="I44" s="110"/>
      <c r="J44" s="111"/>
      <c r="K44" s="111"/>
      <c r="L44" s="111"/>
      <c r="M44" s="112"/>
      <c r="N44" s="113"/>
      <c r="O44" s="111"/>
      <c r="P44" s="111"/>
      <c r="Q44" s="112"/>
      <c r="R44" s="110"/>
      <c r="S44" s="111"/>
      <c r="T44" s="111"/>
      <c r="U44" s="187"/>
      <c r="V44" s="110"/>
      <c r="W44" s="111"/>
      <c r="X44" s="111"/>
      <c r="Y44" s="187"/>
      <c r="Z44" s="110"/>
      <c r="AA44" s="111"/>
      <c r="AB44" s="111"/>
      <c r="AC44" s="111"/>
      <c r="AD44" s="112"/>
      <c r="AE44" s="110"/>
      <c r="AF44" s="111"/>
      <c r="AG44" s="111"/>
      <c r="AH44" s="187"/>
      <c r="AI44" s="110"/>
      <c r="AJ44" s="111"/>
      <c r="AK44" s="111"/>
      <c r="AL44" s="111"/>
      <c r="AM44" s="112"/>
      <c r="AN44" s="110"/>
      <c r="AO44" s="111"/>
      <c r="AP44" s="111"/>
      <c r="AQ44" s="187"/>
      <c r="AR44" s="110"/>
      <c r="AS44" s="111"/>
      <c r="AT44" s="111"/>
      <c r="AU44" s="187"/>
      <c r="AV44" s="110"/>
      <c r="AW44" s="111"/>
      <c r="AX44" s="111"/>
      <c r="AY44" s="111"/>
      <c r="AZ44" s="112"/>
      <c r="BA44" s="110"/>
      <c r="BB44" s="111"/>
      <c r="BC44" s="111"/>
      <c r="BD44" s="112"/>
      <c r="BE44" s="289">
        <f t="shared" si="0"/>
        <v>0</v>
      </c>
    </row>
    <row r="45" spans="1:57" ht="12" customHeight="1" x14ac:dyDescent="0.25">
      <c r="B45" s="6"/>
      <c r="C45" s="375" t="s">
        <v>196</v>
      </c>
      <c r="D45" s="358" t="s">
        <v>193</v>
      </c>
      <c r="E45" s="110"/>
      <c r="F45" s="111"/>
      <c r="G45" s="111"/>
      <c r="H45" s="187"/>
      <c r="I45" s="110"/>
      <c r="J45" s="111"/>
      <c r="K45" s="111"/>
      <c r="L45" s="111"/>
      <c r="M45" s="112"/>
      <c r="N45" s="113"/>
      <c r="O45" s="111"/>
      <c r="P45" s="111"/>
      <c r="Q45" s="112"/>
      <c r="R45" s="110"/>
      <c r="S45" s="111"/>
      <c r="T45" s="111"/>
      <c r="U45" s="187"/>
      <c r="V45" s="110"/>
      <c r="W45" s="111"/>
      <c r="X45" s="111"/>
      <c r="Y45" s="187"/>
      <c r="Z45" s="110"/>
      <c r="AA45" s="111"/>
      <c r="AB45" s="111"/>
      <c r="AC45" s="111"/>
      <c r="AD45" s="112"/>
      <c r="AE45" s="110"/>
      <c r="AF45" s="111"/>
      <c r="AG45" s="111"/>
      <c r="AH45" s="187"/>
      <c r="AI45" s="110"/>
      <c r="AJ45" s="111"/>
      <c r="AK45" s="111"/>
      <c r="AL45" s="111"/>
      <c r="AM45" s="112"/>
      <c r="AN45" s="110"/>
      <c r="AO45" s="111"/>
      <c r="AP45" s="111"/>
      <c r="AQ45" s="187"/>
      <c r="AR45" s="110"/>
      <c r="AS45" s="111"/>
      <c r="AT45" s="111"/>
      <c r="AU45" s="187"/>
      <c r="AV45" s="110"/>
      <c r="AW45" s="111"/>
      <c r="AX45" s="111"/>
      <c r="AY45" s="111"/>
      <c r="AZ45" s="112"/>
      <c r="BA45" s="110"/>
      <c r="BB45" s="111"/>
      <c r="BC45" s="111"/>
      <c r="BD45" s="112"/>
      <c r="BE45" s="289">
        <f t="shared" si="0"/>
        <v>0</v>
      </c>
    </row>
    <row r="46" spans="1:57" ht="12" hidden="1" customHeight="1" x14ac:dyDescent="0.25">
      <c r="B46" s="58" t="s">
        <v>67</v>
      </c>
      <c r="C46" s="375"/>
      <c r="E46" s="110"/>
      <c r="F46" s="111"/>
      <c r="G46" s="111"/>
      <c r="H46" s="187"/>
      <c r="I46" s="110"/>
      <c r="J46" s="111"/>
      <c r="K46" s="111"/>
      <c r="L46" s="111"/>
      <c r="M46" s="112"/>
      <c r="N46" s="113"/>
      <c r="O46" s="111"/>
      <c r="P46" s="111"/>
      <c r="Q46" s="112"/>
      <c r="R46" s="110"/>
      <c r="S46" s="111"/>
      <c r="T46" s="111"/>
      <c r="U46" s="187"/>
      <c r="V46" s="110"/>
      <c r="W46" s="111"/>
      <c r="X46" s="111"/>
      <c r="Y46" s="187"/>
      <c r="Z46" s="110"/>
      <c r="AA46" s="111"/>
      <c r="AB46" s="111"/>
      <c r="AC46" s="111"/>
      <c r="AD46" s="112"/>
      <c r="AE46" s="110"/>
      <c r="AF46" s="111"/>
      <c r="AG46" s="111"/>
      <c r="AH46" s="187"/>
      <c r="AI46" s="110"/>
      <c r="AJ46" s="111"/>
      <c r="AK46" s="111"/>
      <c r="AL46" s="111"/>
      <c r="AM46" s="112"/>
      <c r="AN46" s="110"/>
      <c r="AO46" s="111"/>
      <c r="AP46" s="111"/>
      <c r="AQ46" s="187"/>
      <c r="AR46" s="110"/>
      <c r="AS46" s="111"/>
      <c r="AT46" s="111"/>
      <c r="AU46" s="187"/>
      <c r="AV46" s="110"/>
      <c r="AW46" s="111"/>
      <c r="AX46" s="111"/>
      <c r="AY46" s="111"/>
      <c r="AZ46" s="112"/>
      <c r="BA46" s="110"/>
      <c r="BB46" s="111"/>
      <c r="BC46" s="111"/>
      <c r="BD46" s="112"/>
      <c r="BE46" s="289">
        <f t="shared" si="0"/>
        <v>0</v>
      </c>
    </row>
    <row r="47" spans="1:57" ht="12" customHeight="1" x14ac:dyDescent="0.25">
      <c r="B47" s="6"/>
      <c r="C47" s="375" t="s">
        <v>197</v>
      </c>
      <c r="D47" s="358" t="s">
        <v>189</v>
      </c>
      <c r="E47" s="110"/>
      <c r="F47" s="111"/>
      <c r="G47" s="111"/>
      <c r="H47" s="187"/>
      <c r="I47" s="110"/>
      <c r="J47" s="111"/>
      <c r="K47" s="111"/>
      <c r="L47" s="111"/>
      <c r="M47" s="112"/>
      <c r="N47" s="113"/>
      <c r="O47" s="111"/>
      <c r="P47" s="111"/>
      <c r="Q47" s="112"/>
      <c r="R47" s="110"/>
      <c r="S47" s="111"/>
      <c r="T47" s="111"/>
      <c r="U47" s="187"/>
      <c r="V47" s="110"/>
      <c r="W47" s="111"/>
      <c r="X47" s="111"/>
      <c r="Y47" s="187"/>
      <c r="Z47" s="110"/>
      <c r="AA47" s="111"/>
      <c r="AB47" s="111"/>
      <c r="AC47" s="111"/>
      <c r="AD47" s="112"/>
      <c r="AE47" s="110"/>
      <c r="AF47" s="111"/>
      <c r="AG47" s="111"/>
      <c r="AH47" s="187"/>
      <c r="AI47" s="110"/>
      <c r="AJ47" s="111"/>
      <c r="AK47" s="111"/>
      <c r="AL47" s="111"/>
      <c r="AM47" s="112"/>
      <c r="AN47" s="110"/>
      <c r="AO47" s="111"/>
      <c r="AP47" s="111"/>
      <c r="AQ47" s="187"/>
      <c r="AR47" s="110"/>
      <c r="AS47" s="111"/>
      <c r="AT47" s="111"/>
      <c r="AU47" s="187"/>
      <c r="AV47" s="110"/>
      <c r="AW47" s="111"/>
      <c r="AX47" s="111"/>
      <c r="AY47" s="111"/>
      <c r="AZ47" s="112"/>
      <c r="BA47" s="110"/>
      <c r="BB47" s="111"/>
      <c r="BC47" s="111"/>
      <c r="BD47" s="112"/>
      <c r="BE47" s="289">
        <f t="shared" si="0"/>
        <v>0</v>
      </c>
    </row>
    <row r="48" spans="1:57" ht="12" customHeight="1" x14ac:dyDescent="0.25">
      <c r="B48" s="6"/>
      <c r="C48" s="375" t="s">
        <v>250</v>
      </c>
      <c r="D48" s="358" t="s">
        <v>193</v>
      </c>
      <c r="E48" s="110"/>
      <c r="F48" s="111"/>
      <c r="G48" s="111"/>
      <c r="H48" s="187"/>
      <c r="I48" s="110"/>
      <c r="J48" s="111"/>
      <c r="K48" s="111"/>
      <c r="L48" s="111"/>
      <c r="M48" s="112"/>
      <c r="N48" s="113"/>
      <c r="O48" s="111"/>
      <c r="P48" s="111"/>
      <c r="Q48" s="112"/>
      <c r="R48" s="110"/>
      <c r="S48" s="111"/>
      <c r="T48" s="111"/>
      <c r="U48" s="187"/>
      <c r="V48" s="110"/>
      <c r="W48" s="111"/>
      <c r="X48" s="111"/>
      <c r="Y48" s="187"/>
      <c r="Z48" s="110"/>
      <c r="AA48" s="111"/>
      <c r="AB48" s="111"/>
      <c r="AC48" s="111"/>
      <c r="AD48" s="112"/>
      <c r="AE48" s="110"/>
      <c r="AF48" s="111"/>
      <c r="AG48" s="111"/>
      <c r="AH48" s="187"/>
      <c r="AI48" s="110"/>
      <c r="AJ48" s="111"/>
      <c r="AK48" s="111"/>
      <c r="AL48" s="111"/>
      <c r="AM48" s="112"/>
      <c r="AN48" s="110"/>
      <c r="AO48" s="111"/>
      <c r="AP48" s="111"/>
      <c r="AQ48" s="187"/>
      <c r="AR48" s="110"/>
      <c r="AS48" s="111"/>
      <c r="AT48" s="111"/>
      <c r="AU48" s="187"/>
      <c r="AV48" s="110"/>
      <c r="AW48" s="111"/>
      <c r="AX48" s="111"/>
      <c r="AY48" s="111"/>
      <c r="AZ48" s="112"/>
      <c r="BA48" s="110"/>
      <c r="BB48" s="111"/>
      <c r="BC48" s="111"/>
      <c r="BD48" s="112"/>
    </row>
    <row r="49" spans="2:58" ht="12" customHeight="1" x14ac:dyDescent="0.25">
      <c r="B49" s="6"/>
      <c r="C49" s="375" t="s">
        <v>198</v>
      </c>
      <c r="D49" s="358" t="s">
        <v>189</v>
      </c>
      <c r="E49" s="110"/>
      <c r="F49" s="111"/>
      <c r="G49" s="111"/>
      <c r="H49" s="187"/>
      <c r="I49" s="110"/>
      <c r="J49" s="111"/>
      <c r="K49" s="111"/>
      <c r="L49" s="111"/>
      <c r="M49" s="112"/>
      <c r="N49" s="113"/>
      <c r="O49" s="111"/>
      <c r="P49" s="111"/>
      <c r="Q49" s="112"/>
      <c r="R49" s="110"/>
      <c r="S49" s="111"/>
      <c r="T49" s="111"/>
      <c r="U49" s="187"/>
      <c r="V49" s="110"/>
      <c r="W49" s="111"/>
      <c r="X49" s="111"/>
      <c r="Y49" s="187"/>
      <c r="Z49" s="110"/>
      <c r="AA49" s="111"/>
      <c r="AB49" s="111"/>
      <c r="AC49" s="111"/>
      <c r="AD49" s="112"/>
      <c r="AE49" s="110"/>
      <c r="AF49" s="111"/>
      <c r="AG49" s="111"/>
      <c r="AH49" s="187"/>
      <c r="AI49" s="110"/>
      <c r="AJ49" s="111"/>
      <c r="AK49" s="111"/>
      <c r="AL49" s="111"/>
      <c r="AM49" s="112"/>
      <c r="AN49" s="110"/>
      <c r="AO49" s="111"/>
      <c r="AP49" s="111"/>
      <c r="AQ49" s="187"/>
      <c r="AR49" s="110"/>
      <c r="AS49" s="111"/>
      <c r="AT49" s="111"/>
      <c r="AU49" s="187"/>
      <c r="AV49" s="110"/>
      <c r="AW49" s="111"/>
      <c r="AX49" s="111"/>
      <c r="AY49" s="111"/>
      <c r="AZ49" s="112"/>
      <c r="BA49" s="110"/>
      <c r="BB49" s="111"/>
      <c r="BC49" s="111"/>
      <c r="BD49" s="112"/>
      <c r="BE49" s="289">
        <f t="shared" si="0"/>
        <v>0</v>
      </c>
    </row>
    <row r="50" spans="2:58" ht="12" hidden="1" customHeight="1" x14ac:dyDescent="0.25">
      <c r="B50" s="58" t="s">
        <v>64</v>
      </c>
      <c r="C50" s="375"/>
      <c r="E50" s="110"/>
      <c r="F50" s="111"/>
      <c r="G50" s="111"/>
      <c r="H50" s="187"/>
      <c r="I50" s="110"/>
      <c r="J50" s="111"/>
      <c r="K50" s="111"/>
      <c r="L50" s="111"/>
      <c r="M50" s="112"/>
      <c r="N50" s="113"/>
      <c r="O50" s="111"/>
      <c r="P50" s="111"/>
      <c r="Q50" s="112"/>
      <c r="R50" s="110"/>
      <c r="S50" s="111"/>
      <c r="T50" s="111"/>
      <c r="U50" s="187"/>
      <c r="V50" s="110"/>
      <c r="W50" s="111"/>
      <c r="X50" s="111"/>
      <c r="Y50" s="187"/>
      <c r="Z50" s="110"/>
      <c r="AA50" s="111"/>
      <c r="AB50" s="111"/>
      <c r="AC50" s="111"/>
      <c r="AD50" s="112"/>
      <c r="AE50" s="110"/>
      <c r="AF50" s="111"/>
      <c r="AG50" s="111"/>
      <c r="AH50" s="187"/>
      <c r="AI50" s="110"/>
      <c r="AJ50" s="111"/>
      <c r="AK50" s="111"/>
      <c r="AL50" s="111"/>
      <c r="AM50" s="112"/>
      <c r="AN50" s="110"/>
      <c r="AO50" s="111"/>
      <c r="AP50" s="111"/>
      <c r="AQ50" s="187"/>
      <c r="AR50" s="110"/>
      <c r="AS50" s="111"/>
      <c r="AT50" s="111"/>
      <c r="AU50" s="187"/>
      <c r="AV50" s="110"/>
      <c r="AW50" s="111"/>
      <c r="AX50" s="111"/>
      <c r="AY50" s="111"/>
      <c r="AZ50" s="112"/>
      <c r="BA50" s="110"/>
      <c r="BB50" s="111"/>
      <c r="BC50" s="111"/>
      <c r="BD50" s="112"/>
      <c r="BE50" s="289">
        <f t="shared" si="0"/>
        <v>0</v>
      </c>
    </row>
    <row r="51" spans="2:58" ht="12" customHeight="1" x14ac:dyDescent="0.25">
      <c r="B51" s="6"/>
      <c r="C51" s="375" t="s">
        <v>199</v>
      </c>
      <c r="D51" s="358" t="s">
        <v>192</v>
      </c>
      <c r="E51" s="110"/>
      <c r="F51" s="111"/>
      <c r="G51" s="111"/>
      <c r="H51" s="187"/>
      <c r="I51" s="110"/>
      <c r="J51" s="111"/>
      <c r="K51" s="111"/>
      <c r="L51" s="111"/>
      <c r="M51" s="112"/>
      <c r="N51" s="113"/>
      <c r="O51" s="111"/>
      <c r="P51" s="111"/>
      <c r="Q51" s="112"/>
      <c r="R51" s="110"/>
      <c r="S51" s="111"/>
      <c r="T51" s="111"/>
      <c r="U51" s="187"/>
      <c r="V51" s="110"/>
      <c r="W51" s="111"/>
      <c r="X51" s="111"/>
      <c r="Y51" s="187"/>
      <c r="Z51" s="110"/>
      <c r="AA51" s="111"/>
      <c r="AB51" s="111"/>
      <c r="AC51" s="111"/>
      <c r="AD51" s="112"/>
      <c r="AE51" s="110"/>
      <c r="AF51" s="111"/>
      <c r="AG51" s="111"/>
      <c r="AH51" s="187"/>
      <c r="AI51" s="110"/>
      <c r="AJ51" s="111"/>
      <c r="AK51" s="111"/>
      <c r="AL51" s="111"/>
      <c r="AM51" s="112"/>
      <c r="AN51" s="110"/>
      <c r="AO51" s="111"/>
      <c r="AP51" s="111"/>
      <c r="AQ51" s="187"/>
      <c r="AR51" s="110"/>
      <c r="AS51" s="111"/>
      <c r="AT51" s="111"/>
      <c r="AU51" s="187"/>
      <c r="AV51" s="110"/>
      <c r="AW51" s="111"/>
      <c r="AX51" s="111"/>
      <c r="AY51" s="111"/>
      <c r="AZ51" s="112"/>
      <c r="BA51" s="110"/>
      <c r="BB51" s="111"/>
      <c r="BC51" s="111"/>
      <c r="BD51" s="112"/>
      <c r="BE51" s="289">
        <f t="shared" si="0"/>
        <v>0</v>
      </c>
    </row>
    <row r="52" spans="2:58" ht="12" customHeight="1" x14ac:dyDescent="0.25">
      <c r="B52" s="6"/>
      <c r="C52" s="375" t="s">
        <v>200</v>
      </c>
      <c r="D52" s="358" t="s">
        <v>189</v>
      </c>
      <c r="E52" s="110"/>
      <c r="F52" s="111"/>
      <c r="G52" s="111"/>
      <c r="H52" s="187"/>
      <c r="I52" s="110"/>
      <c r="J52" s="111"/>
      <c r="K52" s="111"/>
      <c r="L52" s="111"/>
      <c r="M52" s="112"/>
      <c r="N52" s="113"/>
      <c r="O52" s="111"/>
      <c r="P52" s="111"/>
      <c r="Q52" s="112"/>
      <c r="R52" s="110"/>
      <c r="S52" s="111"/>
      <c r="T52" s="111"/>
      <c r="U52" s="187"/>
      <c r="V52" s="110"/>
      <c r="W52" s="111"/>
      <c r="X52" s="111"/>
      <c r="Y52" s="187"/>
      <c r="Z52" s="110"/>
      <c r="AA52" s="111"/>
      <c r="AB52" s="111"/>
      <c r="AC52" s="111"/>
      <c r="AD52" s="112"/>
      <c r="AE52" s="110"/>
      <c r="AF52" s="111"/>
      <c r="AG52" s="111"/>
      <c r="AH52" s="187"/>
      <c r="AI52" s="110"/>
      <c r="AJ52" s="111"/>
      <c r="AK52" s="111"/>
      <c r="AL52" s="111"/>
      <c r="AM52" s="112"/>
      <c r="AN52" s="110"/>
      <c r="AO52" s="111"/>
      <c r="AP52" s="111"/>
      <c r="AQ52" s="187"/>
      <c r="AR52" s="110"/>
      <c r="AS52" s="111"/>
      <c r="AT52" s="111"/>
      <c r="AU52" s="187"/>
      <c r="AV52" s="110"/>
      <c r="AW52" s="111"/>
      <c r="AX52" s="111"/>
      <c r="AY52" s="111"/>
      <c r="AZ52" s="112"/>
      <c r="BA52" s="110"/>
      <c r="BB52" s="111"/>
      <c r="BC52" s="111"/>
      <c r="BD52" s="112"/>
      <c r="BE52" s="289">
        <f t="shared" si="0"/>
        <v>0</v>
      </c>
    </row>
    <row r="53" spans="2:58" ht="12" customHeight="1" x14ac:dyDescent="0.25">
      <c r="B53" s="6"/>
      <c r="C53" s="375" t="s">
        <v>201</v>
      </c>
      <c r="D53" s="358" t="s">
        <v>192</v>
      </c>
      <c r="E53" s="110"/>
      <c r="F53" s="111"/>
      <c r="G53" s="111"/>
      <c r="H53" s="187"/>
      <c r="I53" s="110"/>
      <c r="J53" s="111"/>
      <c r="K53" s="111"/>
      <c r="L53" s="111"/>
      <c r="M53" s="112"/>
      <c r="N53" s="113"/>
      <c r="O53" s="111"/>
      <c r="P53" s="111"/>
      <c r="Q53" s="112"/>
      <c r="R53" s="110"/>
      <c r="S53" s="111"/>
      <c r="T53" s="111"/>
      <c r="U53" s="187"/>
      <c r="V53" s="110"/>
      <c r="W53" s="111"/>
      <c r="X53" s="111"/>
      <c r="Y53" s="187"/>
      <c r="Z53" s="110"/>
      <c r="AA53" s="111"/>
      <c r="AB53" s="111"/>
      <c r="AC53" s="111"/>
      <c r="AD53" s="112"/>
      <c r="AE53" s="110"/>
      <c r="AF53" s="111"/>
      <c r="AG53" s="111"/>
      <c r="AH53" s="187"/>
      <c r="AI53" s="110"/>
      <c r="AJ53" s="111"/>
      <c r="AK53" s="111"/>
      <c r="AL53" s="111"/>
      <c r="AM53" s="112"/>
      <c r="AN53" s="110"/>
      <c r="AO53" s="111"/>
      <c r="AP53" s="111"/>
      <c r="AQ53" s="187"/>
      <c r="AR53" s="110"/>
      <c r="AS53" s="111"/>
      <c r="AT53" s="111"/>
      <c r="AU53" s="187"/>
      <c r="AV53" s="110"/>
      <c r="AW53" s="111"/>
      <c r="AX53" s="111"/>
      <c r="AY53" s="111"/>
      <c r="AZ53" s="112"/>
      <c r="BA53" s="110"/>
      <c r="BB53" s="111"/>
      <c r="BC53" s="111"/>
      <c r="BD53" s="112"/>
      <c r="BE53" s="289">
        <f t="shared" si="0"/>
        <v>0</v>
      </c>
    </row>
    <row r="54" spans="2:58" ht="12" hidden="1" customHeight="1" x14ac:dyDescent="0.25">
      <c r="B54" s="58" t="s">
        <v>63</v>
      </c>
      <c r="C54" s="375"/>
      <c r="E54" s="110"/>
      <c r="F54" s="111"/>
      <c r="G54" s="111"/>
      <c r="H54" s="187"/>
      <c r="I54" s="110"/>
      <c r="J54" s="111"/>
      <c r="K54" s="111"/>
      <c r="L54" s="111"/>
      <c r="M54" s="112"/>
      <c r="N54" s="113"/>
      <c r="O54" s="111"/>
      <c r="P54" s="111"/>
      <c r="Q54" s="112"/>
      <c r="R54" s="110"/>
      <c r="S54" s="111"/>
      <c r="T54" s="111"/>
      <c r="U54" s="187"/>
      <c r="V54" s="110"/>
      <c r="W54" s="111"/>
      <c r="X54" s="111"/>
      <c r="Y54" s="187"/>
      <c r="Z54" s="110"/>
      <c r="AA54" s="111"/>
      <c r="AB54" s="111"/>
      <c r="AC54" s="111"/>
      <c r="AD54" s="112"/>
      <c r="AE54" s="110"/>
      <c r="AF54" s="111"/>
      <c r="AG54" s="111"/>
      <c r="AH54" s="187"/>
      <c r="AI54" s="110"/>
      <c r="AJ54" s="111"/>
      <c r="AK54" s="111"/>
      <c r="AL54" s="111"/>
      <c r="AM54" s="112"/>
      <c r="AN54" s="110"/>
      <c r="AO54" s="111"/>
      <c r="AP54" s="111"/>
      <c r="AQ54" s="187"/>
      <c r="AR54" s="110"/>
      <c r="AS54" s="111"/>
      <c r="AT54" s="111"/>
      <c r="AU54" s="187"/>
      <c r="AV54" s="110"/>
      <c r="AW54" s="111"/>
      <c r="AX54" s="111"/>
      <c r="AY54" s="111"/>
      <c r="AZ54" s="112"/>
      <c r="BA54" s="110"/>
      <c r="BB54" s="111"/>
      <c r="BC54" s="111"/>
      <c r="BD54" s="112"/>
      <c r="BE54" s="289">
        <f t="shared" si="0"/>
        <v>0</v>
      </c>
    </row>
    <row r="55" spans="2:58" ht="12" customHeight="1" x14ac:dyDescent="0.25">
      <c r="B55" s="6"/>
      <c r="C55" s="375"/>
      <c r="E55" s="110"/>
      <c r="F55" s="111"/>
      <c r="G55" s="111"/>
      <c r="H55" s="187"/>
      <c r="I55" s="110"/>
      <c r="J55" s="111"/>
      <c r="K55" s="111"/>
      <c r="L55" s="111"/>
      <c r="M55" s="112"/>
      <c r="N55" s="113"/>
      <c r="O55" s="111"/>
      <c r="P55" s="111"/>
      <c r="Q55" s="112"/>
      <c r="R55" s="110"/>
      <c r="S55" s="111"/>
      <c r="T55" s="111"/>
      <c r="U55" s="187"/>
      <c r="V55" s="110"/>
      <c r="W55" s="111"/>
      <c r="X55" s="111"/>
      <c r="Y55" s="187"/>
      <c r="Z55" s="110"/>
      <c r="AA55" s="111"/>
      <c r="AB55" s="111"/>
      <c r="AC55" s="111"/>
      <c r="AD55" s="112"/>
      <c r="AE55" s="110"/>
      <c r="AF55" s="111"/>
      <c r="AG55" s="111"/>
      <c r="AH55" s="187"/>
      <c r="AI55" s="110"/>
      <c r="AJ55" s="111"/>
      <c r="AK55" s="111"/>
      <c r="AL55" s="111"/>
      <c r="AM55" s="112"/>
      <c r="AN55" s="110"/>
      <c r="AO55" s="111"/>
      <c r="AP55" s="111"/>
      <c r="AQ55" s="187"/>
      <c r="AR55" s="110"/>
      <c r="AS55" s="111"/>
      <c r="AT55" s="111"/>
      <c r="AU55" s="187"/>
      <c r="AV55" s="110"/>
      <c r="AW55" s="111"/>
      <c r="AX55" s="111"/>
      <c r="AY55" s="111"/>
      <c r="AZ55" s="112"/>
      <c r="BA55" s="110"/>
      <c r="BB55" s="111"/>
      <c r="BC55" s="111"/>
      <c r="BD55" s="112"/>
      <c r="BE55" s="289">
        <f t="shared" si="0"/>
        <v>0</v>
      </c>
      <c r="BF55" s="10"/>
    </row>
    <row r="56" spans="2:58" ht="12" customHeight="1" thickBot="1" x14ac:dyDescent="0.3">
      <c r="B56" s="3"/>
      <c r="C56" s="383"/>
      <c r="E56" s="147"/>
      <c r="F56" s="148"/>
      <c r="G56" s="148"/>
      <c r="H56" s="193"/>
      <c r="I56" s="147"/>
      <c r="J56" s="148"/>
      <c r="K56" s="148"/>
      <c r="L56" s="148"/>
      <c r="M56" s="149"/>
      <c r="N56" s="176"/>
      <c r="O56" s="148"/>
      <c r="P56" s="148"/>
      <c r="Q56" s="149"/>
      <c r="R56" s="147"/>
      <c r="S56" s="148"/>
      <c r="T56" s="148"/>
      <c r="U56" s="193"/>
      <c r="V56" s="147"/>
      <c r="W56" s="148"/>
      <c r="X56" s="148"/>
      <c r="Y56" s="193"/>
      <c r="Z56" s="147"/>
      <c r="AA56" s="148"/>
      <c r="AB56" s="148"/>
      <c r="AC56" s="148"/>
      <c r="AD56" s="149"/>
      <c r="AE56" s="147"/>
      <c r="AF56" s="148"/>
      <c r="AG56" s="148"/>
      <c r="AH56" s="193"/>
      <c r="AI56" s="147"/>
      <c r="AJ56" s="148"/>
      <c r="AK56" s="148"/>
      <c r="AL56" s="148"/>
      <c r="AM56" s="149"/>
      <c r="AN56" s="147"/>
      <c r="AO56" s="148"/>
      <c r="AP56" s="148"/>
      <c r="AQ56" s="193"/>
      <c r="AR56" s="147"/>
      <c r="AS56" s="148"/>
      <c r="AT56" s="148"/>
      <c r="AU56" s="193"/>
      <c r="AV56" s="147"/>
      <c r="AW56" s="148"/>
      <c r="AX56" s="148"/>
      <c r="AY56" s="148"/>
      <c r="AZ56" s="149"/>
      <c r="BA56" s="147"/>
      <c r="BB56" s="148"/>
      <c r="BC56" s="148"/>
      <c r="BD56" s="149"/>
      <c r="BE56" s="289">
        <f t="shared" si="0"/>
        <v>0</v>
      </c>
    </row>
    <row r="57" spans="2:58" ht="12" customHeight="1" thickBot="1" x14ac:dyDescent="0.3">
      <c r="B57" s="36"/>
      <c r="C57" s="368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</row>
    <row r="58" spans="2:58" ht="12" customHeight="1" thickBot="1" x14ac:dyDescent="0.3">
      <c r="B58" s="4"/>
      <c r="C58" s="372" t="s">
        <v>243</v>
      </c>
      <c r="E58" s="89">
        <v>1</v>
      </c>
      <c r="F58" s="90">
        <v>2</v>
      </c>
      <c r="G58" s="90">
        <v>3</v>
      </c>
      <c r="H58" s="90">
        <v>4</v>
      </c>
      <c r="I58" s="90">
        <v>5</v>
      </c>
      <c r="J58" s="90">
        <v>6</v>
      </c>
      <c r="K58" s="90">
        <v>7</v>
      </c>
      <c r="L58" s="90">
        <v>8</v>
      </c>
      <c r="M58" s="90">
        <v>9</v>
      </c>
      <c r="N58" s="90">
        <v>10</v>
      </c>
      <c r="O58" s="90">
        <v>11</v>
      </c>
      <c r="P58" s="90">
        <v>12</v>
      </c>
      <c r="Q58" s="90">
        <v>13</v>
      </c>
      <c r="R58" s="90">
        <v>14</v>
      </c>
      <c r="S58" s="90">
        <v>15</v>
      </c>
      <c r="T58" s="90">
        <v>16</v>
      </c>
      <c r="U58" s="90">
        <v>17</v>
      </c>
      <c r="V58" s="90">
        <v>18</v>
      </c>
      <c r="W58" s="90">
        <v>19</v>
      </c>
      <c r="X58" s="90">
        <v>20</v>
      </c>
      <c r="Y58" s="90">
        <v>21</v>
      </c>
      <c r="Z58" s="90">
        <v>22</v>
      </c>
      <c r="AA58" s="90">
        <v>23</v>
      </c>
      <c r="AB58" s="90">
        <v>24</v>
      </c>
      <c r="AC58" s="90">
        <v>25</v>
      </c>
      <c r="AD58" s="90">
        <v>26</v>
      </c>
      <c r="AE58" s="90">
        <v>27</v>
      </c>
      <c r="AF58" s="90">
        <v>28</v>
      </c>
      <c r="AG58" s="90">
        <v>29</v>
      </c>
      <c r="AH58" s="90">
        <v>30</v>
      </c>
      <c r="AI58" s="90">
        <v>31</v>
      </c>
      <c r="AJ58" s="90">
        <v>32</v>
      </c>
      <c r="AK58" s="90">
        <v>33</v>
      </c>
      <c r="AL58" s="90">
        <v>34</v>
      </c>
      <c r="AM58" s="90">
        <v>35</v>
      </c>
      <c r="AN58" s="90">
        <v>36</v>
      </c>
      <c r="AO58" s="90">
        <v>37</v>
      </c>
      <c r="AP58" s="90">
        <v>38</v>
      </c>
      <c r="AQ58" s="90">
        <v>39</v>
      </c>
      <c r="AR58" s="90">
        <v>40</v>
      </c>
      <c r="AS58" s="90">
        <v>41</v>
      </c>
      <c r="AT58" s="90">
        <v>42</v>
      </c>
      <c r="AU58" s="90">
        <v>43</v>
      </c>
      <c r="AV58" s="90">
        <v>44</v>
      </c>
      <c r="AW58" s="90">
        <v>45</v>
      </c>
      <c r="AX58" s="90">
        <v>46</v>
      </c>
      <c r="AY58" s="90">
        <v>47</v>
      </c>
      <c r="AZ58" s="90">
        <v>48</v>
      </c>
      <c r="BA58" s="90">
        <v>49</v>
      </c>
      <c r="BB58" s="90">
        <v>50</v>
      </c>
      <c r="BC58" s="90">
        <v>51</v>
      </c>
      <c r="BD58" s="90">
        <v>52</v>
      </c>
    </row>
    <row r="59" spans="2:58" ht="27" customHeight="1" x14ac:dyDescent="0.25">
      <c r="B59" s="6"/>
      <c r="C59" s="375" t="s">
        <v>251</v>
      </c>
      <c r="D59" s="358" t="s">
        <v>192</v>
      </c>
      <c r="E59" s="154"/>
      <c r="F59" s="107"/>
      <c r="G59" s="107"/>
      <c r="H59" s="186"/>
      <c r="I59" s="154"/>
      <c r="J59" s="107"/>
      <c r="K59" s="107"/>
      <c r="L59" s="107"/>
      <c r="M59" s="108"/>
      <c r="N59" s="177"/>
      <c r="O59" s="107"/>
      <c r="P59" s="107"/>
      <c r="Q59" s="108"/>
      <c r="R59" s="154"/>
      <c r="S59" s="107"/>
      <c r="T59" s="107"/>
      <c r="U59" s="108"/>
      <c r="V59" s="154"/>
      <c r="W59" s="107"/>
      <c r="X59" s="107"/>
      <c r="Y59" s="186"/>
      <c r="Z59" s="154"/>
      <c r="AA59" s="107"/>
      <c r="AB59" s="107"/>
      <c r="AC59" s="107"/>
      <c r="AD59" s="186"/>
      <c r="AE59" s="154"/>
      <c r="AF59" s="107"/>
      <c r="AG59" s="107"/>
      <c r="AH59" s="186"/>
      <c r="AI59" s="154"/>
      <c r="AJ59" s="107"/>
      <c r="AK59" s="107"/>
      <c r="AL59" s="107"/>
      <c r="AM59" s="108"/>
      <c r="AN59" s="177"/>
      <c r="AO59" s="107"/>
      <c r="AP59" s="107"/>
      <c r="AQ59" s="186"/>
      <c r="AR59" s="154"/>
      <c r="AS59" s="107"/>
      <c r="AT59" s="107"/>
      <c r="AU59" s="108"/>
      <c r="AV59" s="177"/>
      <c r="AW59" s="107"/>
      <c r="AX59" s="107"/>
      <c r="AY59" s="107"/>
      <c r="AZ59" s="108"/>
      <c r="BA59" s="177"/>
      <c r="BB59" s="107"/>
      <c r="BC59" s="107"/>
      <c r="BD59" s="107"/>
      <c r="BE59" s="289">
        <f t="shared" ref="BE59:BE60" si="3">52-COUNTBLANK(E59:BD59)</f>
        <v>0</v>
      </c>
    </row>
    <row r="60" spans="2:58" ht="12" customHeight="1" thickBot="1" x14ac:dyDescent="0.3">
      <c r="B60" s="9"/>
      <c r="C60" s="384"/>
      <c r="E60" s="147"/>
      <c r="F60" s="148"/>
      <c r="G60" s="148"/>
      <c r="H60" s="193"/>
      <c r="I60" s="147"/>
      <c r="J60" s="148"/>
      <c r="K60" s="148"/>
      <c r="L60" s="148"/>
      <c r="M60" s="149"/>
      <c r="N60" s="176"/>
      <c r="O60" s="148"/>
      <c r="P60" s="148"/>
      <c r="Q60" s="149"/>
      <c r="R60" s="147"/>
      <c r="S60" s="148"/>
      <c r="T60" s="148"/>
      <c r="U60" s="149"/>
      <c r="V60" s="147"/>
      <c r="W60" s="148"/>
      <c r="X60" s="148"/>
      <c r="Y60" s="193"/>
      <c r="Z60" s="147"/>
      <c r="AA60" s="148"/>
      <c r="AB60" s="148"/>
      <c r="AC60" s="148"/>
      <c r="AD60" s="193"/>
      <c r="AE60" s="147"/>
      <c r="AF60" s="148"/>
      <c r="AG60" s="148"/>
      <c r="AH60" s="193"/>
      <c r="AI60" s="147"/>
      <c r="AJ60" s="148"/>
      <c r="AK60" s="148"/>
      <c r="AL60" s="148"/>
      <c r="AM60" s="149"/>
      <c r="AN60" s="176"/>
      <c r="AO60" s="148"/>
      <c r="AP60" s="148"/>
      <c r="AQ60" s="193"/>
      <c r="AR60" s="147"/>
      <c r="AS60" s="148"/>
      <c r="AT60" s="148"/>
      <c r="AU60" s="149"/>
      <c r="AV60" s="176"/>
      <c r="AW60" s="148"/>
      <c r="AX60" s="148"/>
      <c r="AY60" s="148"/>
      <c r="AZ60" s="149"/>
      <c r="BA60" s="176"/>
      <c r="BB60" s="148"/>
      <c r="BC60" s="148"/>
      <c r="BD60" s="148"/>
      <c r="BE60" s="289">
        <f t="shared" si="3"/>
        <v>0</v>
      </c>
    </row>
    <row r="61" spans="2:58" ht="12" customHeight="1" thickBot="1" x14ac:dyDescent="0.3">
      <c r="B61" s="8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</row>
    <row r="62" spans="2:58" ht="12" customHeight="1" thickBot="1" x14ac:dyDescent="0.3">
      <c r="B62" s="4"/>
      <c r="C62" s="372" t="s">
        <v>61</v>
      </c>
      <c r="E62" s="89">
        <v>1</v>
      </c>
      <c r="F62" s="90">
        <v>2</v>
      </c>
      <c r="G62" s="90">
        <v>3</v>
      </c>
      <c r="H62" s="90">
        <v>4</v>
      </c>
      <c r="I62" s="90">
        <v>5</v>
      </c>
      <c r="J62" s="90">
        <v>6</v>
      </c>
      <c r="K62" s="90">
        <v>7</v>
      </c>
      <c r="L62" s="90">
        <v>8</v>
      </c>
      <c r="M62" s="90">
        <v>9</v>
      </c>
      <c r="N62" s="90">
        <v>10</v>
      </c>
      <c r="O62" s="90">
        <v>11</v>
      </c>
      <c r="P62" s="90">
        <v>12</v>
      </c>
      <c r="Q62" s="90">
        <v>13</v>
      </c>
      <c r="R62" s="90">
        <v>14</v>
      </c>
      <c r="S62" s="90">
        <v>15</v>
      </c>
      <c r="T62" s="90">
        <v>16</v>
      </c>
      <c r="U62" s="90">
        <v>17</v>
      </c>
      <c r="V62" s="90">
        <v>18</v>
      </c>
      <c r="W62" s="90">
        <v>19</v>
      </c>
      <c r="X62" s="90">
        <v>20</v>
      </c>
      <c r="Y62" s="90">
        <v>21</v>
      </c>
      <c r="Z62" s="90">
        <v>22</v>
      </c>
      <c r="AA62" s="90">
        <v>23</v>
      </c>
      <c r="AB62" s="90">
        <v>24</v>
      </c>
      <c r="AC62" s="90">
        <v>25</v>
      </c>
      <c r="AD62" s="90">
        <v>26</v>
      </c>
      <c r="AE62" s="90">
        <v>27</v>
      </c>
      <c r="AF62" s="90">
        <v>28</v>
      </c>
      <c r="AG62" s="90">
        <v>29</v>
      </c>
      <c r="AH62" s="90">
        <v>30</v>
      </c>
      <c r="AI62" s="90">
        <v>31</v>
      </c>
      <c r="AJ62" s="90">
        <v>32</v>
      </c>
      <c r="AK62" s="90">
        <v>33</v>
      </c>
      <c r="AL62" s="90">
        <v>34</v>
      </c>
      <c r="AM62" s="90">
        <v>35</v>
      </c>
      <c r="AN62" s="90">
        <v>36</v>
      </c>
      <c r="AO62" s="90">
        <v>37</v>
      </c>
      <c r="AP62" s="90">
        <v>38</v>
      </c>
      <c r="AQ62" s="90">
        <v>39</v>
      </c>
      <c r="AR62" s="90">
        <v>40</v>
      </c>
      <c r="AS62" s="90">
        <v>41</v>
      </c>
      <c r="AT62" s="90">
        <v>42</v>
      </c>
      <c r="AU62" s="90">
        <v>43</v>
      </c>
      <c r="AV62" s="90">
        <v>44</v>
      </c>
      <c r="AW62" s="90">
        <v>45</v>
      </c>
      <c r="AX62" s="90">
        <v>46</v>
      </c>
      <c r="AY62" s="90">
        <v>47</v>
      </c>
      <c r="AZ62" s="90">
        <v>48</v>
      </c>
      <c r="BA62" s="90">
        <v>49</v>
      </c>
      <c r="BB62" s="90">
        <v>50</v>
      </c>
      <c r="BC62" s="90">
        <v>51</v>
      </c>
      <c r="BD62" s="90">
        <v>52</v>
      </c>
    </row>
    <row r="63" spans="2:58" ht="12" customHeight="1" x14ac:dyDescent="0.25">
      <c r="B63" s="6"/>
      <c r="C63" s="386" t="s">
        <v>97</v>
      </c>
      <c r="D63" s="358" t="s">
        <v>190</v>
      </c>
      <c r="E63" s="154"/>
      <c r="F63" s="107"/>
      <c r="G63" s="107"/>
      <c r="H63" s="186"/>
      <c r="I63" s="154"/>
      <c r="J63" s="107"/>
      <c r="K63" s="107"/>
      <c r="L63" s="107"/>
      <c r="M63" s="108"/>
      <c r="N63" s="177"/>
      <c r="O63" s="107"/>
      <c r="P63" s="107"/>
      <c r="Q63" s="108"/>
      <c r="R63" s="154"/>
      <c r="S63" s="107"/>
      <c r="T63" s="107"/>
      <c r="U63" s="108"/>
      <c r="V63" s="154"/>
      <c r="W63" s="107"/>
      <c r="X63" s="107"/>
      <c r="Y63" s="186"/>
      <c r="Z63" s="154"/>
      <c r="AA63" s="107"/>
      <c r="AB63" s="107"/>
      <c r="AC63" s="107"/>
      <c r="AD63" s="186"/>
      <c r="AE63" s="154"/>
      <c r="AF63" s="107"/>
      <c r="AG63" s="107"/>
      <c r="AH63" s="186"/>
      <c r="AI63" s="154"/>
      <c r="AJ63" s="107"/>
      <c r="AK63" s="107"/>
      <c r="AL63" s="107"/>
      <c r="AM63" s="108"/>
      <c r="AN63" s="177"/>
      <c r="AO63" s="107"/>
      <c r="AP63" s="107"/>
      <c r="AQ63" s="186"/>
      <c r="AR63" s="154"/>
      <c r="AS63" s="107"/>
      <c r="AT63" s="107"/>
      <c r="AU63" s="108"/>
      <c r="AV63" s="177"/>
      <c r="AW63" s="107"/>
      <c r="AX63" s="107"/>
      <c r="AY63" s="107"/>
      <c r="AZ63" s="108"/>
      <c r="BA63" s="177"/>
      <c r="BB63" s="107"/>
      <c r="BC63" s="107"/>
      <c r="BD63" s="107"/>
      <c r="BE63" s="289">
        <f t="shared" si="0"/>
        <v>0</v>
      </c>
    </row>
    <row r="64" spans="2:58" ht="12" customHeight="1" x14ac:dyDescent="0.25">
      <c r="B64" s="6"/>
      <c r="C64" s="386" t="s">
        <v>202</v>
      </c>
      <c r="D64" s="358" t="s">
        <v>189</v>
      </c>
      <c r="E64" s="365"/>
      <c r="F64" s="224"/>
      <c r="G64" s="224"/>
      <c r="H64" s="366"/>
      <c r="I64" s="365"/>
      <c r="J64" s="224"/>
      <c r="K64" s="224"/>
      <c r="L64" s="224"/>
      <c r="M64" s="367"/>
      <c r="N64" s="357"/>
      <c r="O64" s="224"/>
      <c r="P64" s="224"/>
      <c r="Q64" s="367"/>
      <c r="R64" s="365"/>
      <c r="S64" s="224"/>
      <c r="T64" s="224"/>
      <c r="U64" s="367"/>
      <c r="V64" s="365"/>
      <c r="W64" s="224"/>
      <c r="X64" s="224"/>
      <c r="Y64" s="366"/>
      <c r="Z64" s="365"/>
      <c r="AA64" s="224"/>
      <c r="AB64" s="224"/>
      <c r="AC64" s="224"/>
      <c r="AD64" s="366"/>
      <c r="AE64" s="365"/>
      <c r="AF64" s="224"/>
      <c r="AG64" s="224"/>
      <c r="AH64" s="366"/>
      <c r="AI64" s="365"/>
      <c r="AJ64" s="224"/>
      <c r="AK64" s="224"/>
      <c r="AL64" s="224"/>
      <c r="AM64" s="367"/>
      <c r="AN64" s="357"/>
      <c r="AO64" s="224"/>
      <c r="AP64" s="224"/>
      <c r="AQ64" s="366"/>
      <c r="AR64" s="365"/>
      <c r="AS64" s="224"/>
      <c r="AT64" s="224"/>
      <c r="AU64" s="367"/>
      <c r="AV64" s="357"/>
      <c r="AW64" s="224"/>
      <c r="AX64" s="224"/>
      <c r="AY64" s="224"/>
      <c r="AZ64" s="367"/>
      <c r="BA64" s="357"/>
      <c r="BB64" s="224"/>
      <c r="BC64" s="224"/>
      <c r="BD64" s="224"/>
    </row>
    <row r="65" spans="2:57" ht="12" customHeight="1" x14ac:dyDescent="0.25">
      <c r="B65" s="6"/>
      <c r="C65" s="378" t="s">
        <v>205</v>
      </c>
      <c r="D65" s="358" t="s">
        <v>192</v>
      </c>
      <c r="E65" s="110"/>
      <c r="F65" s="111"/>
      <c r="G65" s="111"/>
      <c r="H65" s="187"/>
      <c r="I65" s="110"/>
      <c r="J65" s="111"/>
      <c r="K65" s="111"/>
      <c r="L65" s="111"/>
      <c r="M65" s="112"/>
      <c r="N65" s="113"/>
      <c r="O65" s="111"/>
      <c r="P65" s="111"/>
      <c r="Q65" s="112"/>
      <c r="R65" s="110"/>
      <c r="S65" s="111"/>
      <c r="T65" s="111"/>
      <c r="U65" s="112"/>
      <c r="V65" s="110"/>
      <c r="W65" s="111"/>
      <c r="X65" s="111"/>
      <c r="Y65" s="187"/>
      <c r="Z65" s="110"/>
      <c r="AA65" s="111"/>
      <c r="AB65" s="111"/>
      <c r="AC65" s="111"/>
      <c r="AD65" s="187"/>
      <c r="AE65" s="110"/>
      <c r="AF65" s="111"/>
      <c r="AG65" s="111"/>
      <c r="AH65" s="187"/>
      <c r="AI65" s="110"/>
      <c r="AJ65" s="111"/>
      <c r="AK65" s="111"/>
      <c r="AL65" s="111"/>
      <c r="AM65" s="112"/>
      <c r="AN65" s="113"/>
      <c r="AO65" s="111"/>
      <c r="AP65" s="111"/>
      <c r="AQ65" s="187"/>
      <c r="AR65" s="110"/>
      <c r="AS65" s="111"/>
      <c r="AT65" s="111"/>
      <c r="AU65" s="112"/>
      <c r="AV65" s="113"/>
      <c r="AW65" s="111"/>
      <c r="AX65" s="111"/>
      <c r="AY65" s="111"/>
      <c r="AZ65" s="112"/>
      <c r="BA65" s="113"/>
      <c r="BB65" s="111"/>
      <c r="BC65" s="111"/>
      <c r="BD65" s="111"/>
      <c r="BE65" s="289">
        <f t="shared" si="0"/>
        <v>0</v>
      </c>
    </row>
    <row r="66" spans="2:57" ht="12" hidden="1" customHeight="1" x14ac:dyDescent="0.25">
      <c r="B66" s="57" t="s">
        <v>60</v>
      </c>
      <c r="C66" s="387"/>
      <c r="E66" s="110"/>
      <c r="F66" s="111"/>
      <c r="G66" s="111"/>
      <c r="H66" s="187"/>
      <c r="I66" s="110"/>
      <c r="J66" s="111"/>
      <c r="K66" s="111"/>
      <c r="L66" s="111"/>
      <c r="M66" s="112"/>
      <c r="N66" s="113"/>
      <c r="O66" s="111"/>
      <c r="P66" s="111"/>
      <c r="Q66" s="112"/>
      <c r="R66" s="110"/>
      <c r="S66" s="111"/>
      <c r="T66" s="111"/>
      <c r="U66" s="112"/>
      <c r="V66" s="110"/>
      <c r="W66" s="111"/>
      <c r="X66" s="111"/>
      <c r="Y66" s="187"/>
      <c r="Z66" s="110"/>
      <c r="AA66" s="111"/>
      <c r="AB66" s="111"/>
      <c r="AC66" s="111"/>
      <c r="AD66" s="187"/>
      <c r="AE66" s="110"/>
      <c r="AF66" s="111"/>
      <c r="AG66" s="111"/>
      <c r="AH66" s="187"/>
      <c r="AI66" s="110"/>
      <c r="AJ66" s="111"/>
      <c r="AK66" s="111"/>
      <c r="AL66" s="111"/>
      <c r="AM66" s="112"/>
      <c r="AN66" s="113"/>
      <c r="AO66" s="111"/>
      <c r="AP66" s="111"/>
      <c r="AQ66" s="187"/>
      <c r="AR66" s="110"/>
      <c r="AS66" s="111"/>
      <c r="AT66" s="111"/>
      <c r="AU66" s="112"/>
      <c r="AV66" s="113"/>
      <c r="AW66" s="111"/>
      <c r="AX66" s="111"/>
      <c r="AY66" s="111"/>
      <c r="AZ66" s="112"/>
      <c r="BA66" s="113"/>
      <c r="BB66" s="111"/>
      <c r="BC66" s="111"/>
      <c r="BD66" s="111"/>
      <c r="BE66" s="289">
        <f t="shared" si="0"/>
        <v>0</v>
      </c>
    </row>
    <row r="67" spans="2:57" ht="12" hidden="1" customHeight="1" x14ac:dyDescent="0.25">
      <c r="B67" s="57" t="s">
        <v>59</v>
      </c>
      <c r="C67" s="387"/>
      <c r="E67" s="110"/>
      <c r="F67" s="111"/>
      <c r="G67" s="111"/>
      <c r="H67" s="187"/>
      <c r="I67" s="110"/>
      <c r="J67" s="111"/>
      <c r="K67" s="111"/>
      <c r="L67" s="111"/>
      <c r="M67" s="112"/>
      <c r="N67" s="113"/>
      <c r="O67" s="111"/>
      <c r="P67" s="111"/>
      <c r="Q67" s="112"/>
      <c r="R67" s="110"/>
      <c r="S67" s="111"/>
      <c r="T67" s="111"/>
      <c r="U67" s="112"/>
      <c r="V67" s="110"/>
      <c r="W67" s="111"/>
      <c r="X67" s="111"/>
      <c r="Y67" s="187"/>
      <c r="Z67" s="110"/>
      <c r="AA67" s="111"/>
      <c r="AB67" s="111"/>
      <c r="AC67" s="111"/>
      <c r="AD67" s="187"/>
      <c r="AE67" s="110"/>
      <c r="AF67" s="111"/>
      <c r="AG67" s="111"/>
      <c r="AH67" s="187"/>
      <c r="AI67" s="110"/>
      <c r="AJ67" s="111"/>
      <c r="AK67" s="111"/>
      <c r="AL67" s="111"/>
      <c r="AM67" s="112"/>
      <c r="AN67" s="113"/>
      <c r="AO67" s="111"/>
      <c r="AP67" s="111"/>
      <c r="AQ67" s="187"/>
      <c r="AR67" s="110"/>
      <c r="AS67" s="111"/>
      <c r="AT67" s="111"/>
      <c r="AU67" s="112"/>
      <c r="AV67" s="113"/>
      <c r="AW67" s="111"/>
      <c r="AX67" s="111"/>
      <c r="AY67" s="111"/>
      <c r="AZ67" s="112"/>
      <c r="BA67" s="113"/>
      <c r="BB67" s="111"/>
      <c r="BC67" s="111"/>
      <c r="BD67" s="111"/>
      <c r="BE67" s="289">
        <f t="shared" si="0"/>
        <v>0</v>
      </c>
    </row>
    <row r="68" spans="2:57" ht="12" customHeight="1" x14ac:dyDescent="0.25">
      <c r="B68" s="6"/>
      <c r="C68" s="379" t="s">
        <v>98</v>
      </c>
      <c r="D68" s="358" t="s">
        <v>190</v>
      </c>
      <c r="E68" s="110"/>
      <c r="F68" s="111"/>
      <c r="G68" s="111"/>
      <c r="H68" s="187"/>
      <c r="I68" s="110"/>
      <c r="J68" s="111"/>
      <c r="K68" s="111"/>
      <c r="L68" s="111"/>
      <c r="M68" s="112"/>
      <c r="N68" s="113"/>
      <c r="O68" s="111"/>
      <c r="P68" s="111"/>
      <c r="Q68" s="112"/>
      <c r="R68" s="110"/>
      <c r="S68" s="111"/>
      <c r="T68" s="111"/>
      <c r="U68" s="112"/>
      <c r="V68" s="110"/>
      <c r="W68" s="111"/>
      <c r="X68" s="111"/>
      <c r="Y68" s="187"/>
      <c r="Z68" s="110"/>
      <c r="AA68" s="111"/>
      <c r="AB68" s="111"/>
      <c r="AC68" s="111"/>
      <c r="AD68" s="187"/>
      <c r="AE68" s="110"/>
      <c r="AF68" s="111"/>
      <c r="AG68" s="111"/>
      <c r="AH68" s="187"/>
      <c r="AI68" s="110"/>
      <c r="AJ68" s="111"/>
      <c r="AK68" s="111"/>
      <c r="AL68" s="111"/>
      <c r="AM68" s="112"/>
      <c r="AN68" s="113"/>
      <c r="AO68" s="111"/>
      <c r="AP68" s="111"/>
      <c r="AQ68" s="187"/>
      <c r="AR68" s="110"/>
      <c r="AS68" s="111"/>
      <c r="AT68" s="111"/>
      <c r="AU68" s="112"/>
      <c r="AV68" s="113"/>
      <c r="AW68" s="111"/>
      <c r="AX68" s="111"/>
      <c r="AY68" s="111"/>
      <c r="AZ68" s="112"/>
      <c r="BA68" s="113"/>
      <c r="BB68" s="111"/>
      <c r="BC68" s="111"/>
      <c r="BD68" s="111"/>
      <c r="BE68" s="289">
        <f t="shared" si="0"/>
        <v>0</v>
      </c>
    </row>
    <row r="69" spans="2:57" ht="12" customHeight="1" x14ac:dyDescent="0.25">
      <c r="B69" s="6"/>
      <c r="C69" s="379" t="s">
        <v>203</v>
      </c>
      <c r="D69" s="358" t="s">
        <v>189</v>
      </c>
      <c r="E69" s="110"/>
      <c r="F69" s="111"/>
      <c r="G69" s="111"/>
      <c r="H69" s="187"/>
      <c r="I69" s="110"/>
      <c r="J69" s="111"/>
      <c r="K69" s="111"/>
      <c r="L69" s="111"/>
      <c r="M69" s="112"/>
      <c r="N69" s="113"/>
      <c r="O69" s="111"/>
      <c r="P69" s="111"/>
      <c r="Q69" s="112"/>
      <c r="R69" s="110"/>
      <c r="S69" s="111"/>
      <c r="T69" s="111"/>
      <c r="U69" s="112"/>
      <c r="V69" s="110"/>
      <c r="W69" s="111"/>
      <c r="X69" s="111"/>
      <c r="Y69" s="187"/>
      <c r="Z69" s="110"/>
      <c r="AA69" s="111"/>
      <c r="AB69" s="111"/>
      <c r="AC69" s="111"/>
      <c r="AD69" s="187"/>
      <c r="AE69" s="110"/>
      <c r="AF69" s="111"/>
      <c r="AG69" s="111"/>
      <c r="AH69" s="187"/>
      <c r="AI69" s="110"/>
      <c r="AJ69" s="111"/>
      <c r="AK69" s="111"/>
      <c r="AL69" s="111"/>
      <c r="AM69" s="112"/>
      <c r="AN69" s="113"/>
      <c r="AO69" s="111"/>
      <c r="AP69" s="111"/>
      <c r="AQ69" s="187"/>
      <c r="AR69" s="110"/>
      <c r="AS69" s="111"/>
      <c r="AT69" s="111"/>
      <c r="AU69" s="112"/>
      <c r="AV69" s="113"/>
      <c r="AW69" s="111"/>
      <c r="AX69" s="111"/>
      <c r="AY69" s="111"/>
      <c r="AZ69" s="112"/>
      <c r="BA69" s="113"/>
      <c r="BB69" s="111"/>
      <c r="BC69" s="111"/>
      <c r="BD69" s="111"/>
    </row>
    <row r="70" spans="2:57" ht="12" customHeight="1" x14ac:dyDescent="0.25">
      <c r="B70" s="6"/>
      <c r="C70" s="378" t="s">
        <v>204</v>
      </c>
      <c r="D70" s="358" t="s">
        <v>192</v>
      </c>
      <c r="E70" s="110"/>
      <c r="F70" s="111"/>
      <c r="G70" s="111"/>
      <c r="H70" s="187"/>
      <c r="I70" s="110"/>
      <c r="J70" s="111"/>
      <c r="K70" s="111"/>
      <c r="L70" s="111"/>
      <c r="M70" s="112"/>
      <c r="N70" s="113"/>
      <c r="O70" s="111"/>
      <c r="P70" s="111"/>
      <c r="Q70" s="112"/>
      <c r="R70" s="110"/>
      <c r="S70" s="111"/>
      <c r="T70" s="111"/>
      <c r="U70" s="112"/>
      <c r="V70" s="110"/>
      <c r="W70" s="111"/>
      <c r="X70" s="111"/>
      <c r="Y70" s="187"/>
      <c r="Z70" s="110"/>
      <c r="AA70" s="111"/>
      <c r="AB70" s="111"/>
      <c r="AC70" s="111"/>
      <c r="AD70" s="187"/>
      <c r="AE70" s="110"/>
      <c r="AF70" s="111"/>
      <c r="AG70" s="111"/>
      <c r="AH70" s="187"/>
      <c r="AI70" s="110"/>
      <c r="AJ70" s="111"/>
      <c r="AK70" s="111"/>
      <c r="AL70" s="111"/>
      <c r="AM70" s="112"/>
      <c r="AN70" s="113"/>
      <c r="AO70" s="111"/>
      <c r="AP70" s="111"/>
      <c r="AQ70" s="187"/>
      <c r="AR70" s="110"/>
      <c r="AS70" s="111"/>
      <c r="AT70" s="111"/>
      <c r="AU70" s="112"/>
      <c r="AV70" s="113"/>
      <c r="AW70" s="111"/>
      <c r="AX70" s="111"/>
      <c r="AY70" s="111"/>
      <c r="AZ70" s="112"/>
      <c r="BA70" s="113"/>
      <c r="BB70" s="111"/>
      <c r="BC70" s="111"/>
      <c r="BD70" s="111"/>
    </row>
    <row r="71" spans="2:57" ht="12" customHeight="1" x14ac:dyDescent="0.25">
      <c r="B71" s="6"/>
      <c r="C71" s="379" t="s">
        <v>99</v>
      </c>
      <c r="D71" s="358" t="s">
        <v>190</v>
      </c>
      <c r="E71" s="110"/>
      <c r="F71" s="111"/>
      <c r="G71" s="111"/>
      <c r="H71" s="187"/>
      <c r="I71" s="110"/>
      <c r="J71" s="111"/>
      <c r="K71" s="111"/>
      <c r="L71" s="111"/>
      <c r="M71" s="112"/>
      <c r="N71" s="113"/>
      <c r="O71" s="111"/>
      <c r="P71" s="111"/>
      <c r="Q71" s="112"/>
      <c r="R71" s="110"/>
      <c r="S71" s="111"/>
      <c r="T71" s="111"/>
      <c r="U71" s="112"/>
      <c r="V71" s="110"/>
      <c r="W71" s="111"/>
      <c r="X71" s="111"/>
      <c r="Y71" s="187"/>
      <c r="Z71" s="110"/>
      <c r="AA71" s="111"/>
      <c r="AB71" s="111"/>
      <c r="AC71" s="111"/>
      <c r="AD71" s="187"/>
      <c r="AE71" s="110"/>
      <c r="AF71" s="111"/>
      <c r="AG71" s="111"/>
      <c r="AH71" s="187"/>
      <c r="AI71" s="110"/>
      <c r="AJ71" s="111"/>
      <c r="AK71" s="111"/>
      <c r="AL71" s="111"/>
      <c r="AM71" s="112"/>
      <c r="AN71" s="113"/>
      <c r="AO71" s="111"/>
      <c r="AP71" s="111"/>
      <c r="AQ71" s="187"/>
      <c r="AR71" s="110"/>
      <c r="AS71" s="111"/>
      <c r="AT71" s="111"/>
      <c r="AU71" s="112"/>
      <c r="AV71" s="113"/>
      <c r="AW71" s="111"/>
      <c r="AX71" s="111"/>
      <c r="AY71" s="111"/>
      <c r="AZ71" s="112"/>
      <c r="BA71" s="113"/>
      <c r="BB71" s="111"/>
      <c r="BC71" s="111"/>
      <c r="BD71" s="111"/>
      <c r="BE71" s="289">
        <f t="shared" si="0"/>
        <v>0</v>
      </c>
    </row>
    <row r="72" spans="2:57" ht="12" hidden="1" customHeight="1" x14ac:dyDescent="0.25">
      <c r="B72" s="57" t="s">
        <v>58</v>
      </c>
      <c r="C72" s="387"/>
      <c r="E72" s="110"/>
      <c r="F72" s="111"/>
      <c r="G72" s="111"/>
      <c r="H72" s="187"/>
      <c r="I72" s="110"/>
      <c r="J72" s="111"/>
      <c r="K72" s="111"/>
      <c r="L72" s="111"/>
      <c r="M72" s="112"/>
      <c r="N72" s="113"/>
      <c r="O72" s="111"/>
      <c r="P72" s="111"/>
      <c r="Q72" s="112"/>
      <c r="R72" s="110"/>
      <c r="S72" s="111"/>
      <c r="T72" s="111"/>
      <c r="U72" s="112"/>
      <c r="V72" s="110"/>
      <c r="W72" s="111"/>
      <c r="X72" s="111"/>
      <c r="Y72" s="187"/>
      <c r="Z72" s="110"/>
      <c r="AA72" s="111"/>
      <c r="AB72" s="111"/>
      <c r="AC72" s="111"/>
      <c r="AD72" s="187"/>
      <c r="AE72" s="110"/>
      <c r="AF72" s="111"/>
      <c r="AG72" s="111"/>
      <c r="AH72" s="187"/>
      <c r="AI72" s="110"/>
      <c r="AJ72" s="111"/>
      <c r="AK72" s="111"/>
      <c r="AL72" s="111"/>
      <c r="AM72" s="112"/>
      <c r="AN72" s="113"/>
      <c r="AO72" s="111"/>
      <c r="AP72" s="111"/>
      <c r="AQ72" s="187"/>
      <c r="AR72" s="110"/>
      <c r="AS72" s="111"/>
      <c r="AT72" s="111"/>
      <c r="AU72" s="112"/>
      <c r="AV72" s="113"/>
      <c r="AW72" s="111"/>
      <c r="AX72" s="111"/>
      <c r="AY72" s="111"/>
      <c r="AZ72" s="112"/>
      <c r="BA72" s="113"/>
      <c r="BB72" s="111"/>
      <c r="BC72" s="111"/>
      <c r="BD72" s="111"/>
      <c r="BE72" s="289">
        <f t="shared" si="0"/>
        <v>0</v>
      </c>
    </row>
    <row r="73" spans="2:57" ht="12" customHeight="1" x14ac:dyDescent="0.25">
      <c r="B73" s="6"/>
      <c r="C73" s="379" t="s">
        <v>57</v>
      </c>
      <c r="D73" s="358" t="s">
        <v>189</v>
      </c>
      <c r="E73" s="110"/>
      <c r="F73" s="111"/>
      <c r="G73" s="111"/>
      <c r="H73" s="187"/>
      <c r="I73" s="110"/>
      <c r="J73" s="111"/>
      <c r="K73" s="111"/>
      <c r="L73" s="111"/>
      <c r="M73" s="112"/>
      <c r="N73" s="113"/>
      <c r="O73" s="111"/>
      <c r="P73" s="111"/>
      <c r="Q73" s="112"/>
      <c r="R73" s="110"/>
      <c r="S73" s="111"/>
      <c r="T73" s="111"/>
      <c r="U73" s="112"/>
      <c r="V73" s="110"/>
      <c r="W73" s="111"/>
      <c r="X73" s="111"/>
      <c r="Y73" s="187"/>
      <c r="Z73" s="110"/>
      <c r="AA73" s="111"/>
      <c r="AB73" s="111"/>
      <c r="AC73" s="111"/>
      <c r="AD73" s="187"/>
      <c r="AE73" s="110"/>
      <c r="AF73" s="111"/>
      <c r="AG73" s="111"/>
      <c r="AH73" s="187"/>
      <c r="AI73" s="110"/>
      <c r="AJ73" s="111"/>
      <c r="AK73" s="111"/>
      <c r="AL73" s="111"/>
      <c r="AM73" s="112"/>
      <c r="AN73" s="113"/>
      <c r="AO73" s="111"/>
      <c r="AP73" s="111"/>
      <c r="AQ73" s="187"/>
      <c r="AR73" s="110"/>
      <c r="AS73" s="111"/>
      <c r="AT73" s="111"/>
      <c r="AU73" s="112"/>
      <c r="AV73" s="113"/>
      <c r="AW73" s="111"/>
      <c r="AX73" s="111"/>
      <c r="AY73" s="111"/>
      <c r="AZ73" s="112"/>
      <c r="BA73" s="113"/>
      <c r="BB73" s="111"/>
      <c r="BC73" s="111"/>
      <c r="BD73" s="111"/>
      <c r="BE73" s="289">
        <f t="shared" si="0"/>
        <v>0</v>
      </c>
    </row>
    <row r="74" spans="2:57" ht="12" customHeight="1" x14ac:dyDescent="0.25">
      <c r="B74" s="6"/>
      <c r="C74" s="378" t="s">
        <v>206</v>
      </c>
      <c r="D74" s="358" t="s">
        <v>192</v>
      </c>
      <c r="E74" s="110"/>
      <c r="F74" s="111"/>
      <c r="G74" s="111"/>
      <c r="H74" s="187"/>
      <c r="I74" s="110"/>
      <c r="J74" s="111"/>
      <c r="K74" s="111"/>
      <c r="L74" s="111"/>
      <c r="M74" s="112"/>
      <c r="N74" s="113"/>
      <c r="O74" s="111"/>
      <c r="P74" s="111"/>
      <c r="Q74" s="112"/>
      <c r="R74" s="110"/>
      <c r="S74" s="111"/>
      <c r="T74" s="111"/>
      <c r="U74" s="112"/>
      <c r="V74" s="110"/>
      <c r="W74" s="111"/>
      <c r="X74" s="111"/>
      <c r="Y74" s="187"/>
      <c r="Z74" s="110"/>
      <c r="AA74" s="111"/>
      <c r="AB74" s="111"/>
      <c r="AC74" s="111"/>
      <c r="AD74" s="187"/>
      <c r="AE74" s="110"/>
      <c r="AF74" s="111"/>
      <c r="AG74" s="111"/>
      <c r="AH74" s="187"/>
      <c r="AI74" s="110"/>
      <c r="AJ74" s="111"/>
      <c r="AK74" s="111"/>
      <c r="AL74" s="111"/>
      <c r="AM74" s="112"/>
      <c r="AN74" s="113"/>
      <c r="AO74" s="111"/>
      <c r="AP74" s="111"/>
      <c r="AQ74" s="187"/>
      <c r="AR74" s="110"/>
      <c r="AS74" s="111"/>
      <c r="AT74" s="111"/>
      <c r="AU74" s="112"/>
      <c r="AV74" s="113"/>
      <c r="AW74" s="111"/>
      <c r="AX74" s="111"/>
      <c r="AY74" s="111"/>
      <c r="AZ74" s="112"/>
      <c r="BA74" s="113"/>
      <c r="BB74" s="111"/>
      <c r="BC74" s="111"/>
      <c r="BD74" s="111"/>
      <c r="BE74" s="289">
        <f t="shared" si="0"/>
        <v>0</v>
      </c>
    </row>
    <row r="75" spans="2:57" ht="12" hidden="1" customHeight="1" x14ac:dyDescent="0.25">
      <c r="B75" s="57" t="s">
        <v>56</v>
      </c>
      <c r="C75" s="387"/>
      <c r="E75" s="110"/>
      <c r="F75" s="111"/>
      <c r="G75" s="111"/>
      <c r="H75" s="187"/>
      <c r="I75" s="110"/>
      <c r="J75" s="111"/>
      <c r="K75" s="111"/>
      <c r="L75" s="111"/>
      <c r="M75" s="112"/>
      <c r="N75" s="113"/>
      <c r="O75" s="111"/>
      <c r="P75" s="111"/>
      <c r="Q75" s="112"/>
      <c r="R75" s="110"/>
      <c r="S75" s="111"/>
      <c r="T75" s="111"/>
      <c r="U75" s="112"/>
      <c r="V75" s="110"/>
      <c r="W75" s="111"/>
      <c r="X75" s="111"/>
      <c r="Y75" s="187"/>
      <c r="Z75" s="110"/>
      <c r="AA75" s="111"/>
      <c r="AB75" s="111"/>
      <c r="AC75" s="111"/>
      <c r="AD75" s="187"/>
      <c r="AE75" s="110"/>
      <c r="AF75" s="111"/>
      <c r="AG75" s="111"/>
      <c r="AH75" s="187"/>
      <c r="AI75" s="110"/>
      <c r="AJ75" s="111"/>
      <c r="AK75" s="111"/>
      <c r="AL75" s="111"/>
      <c r="AM75" s="112"/>
      <c r="AN75" s="113"/>
      <c r="AO75" s="111"/>
      <c r="AP75" s="111"/>
      <c r="AQ75" s="187"/>
      <c r="AR75" s="110"/>
      <c r="AS75" s="111"/>
      <c r="AT75" s="111"/>
      <c r="AU75" s="112"/>
      <c r="AV75" s="113"/>
      <c r="AW75" s="111"/>
      <c r="AX75" s="111"/>
      <c r="AY75" s="111"/>
      <c r="AZ75" s="112"/>
      <c r="BA75" s="113"/>
      <c r="BB75" s="111"/>
      <c r="BC75" s="111"/>
      <c r="BD75" s="111"/>
      <c r="BE75" s="289">
        <f t="shared" si="0"/>
        <v>0</v>
      </c>
    </row>
    <row r="76" spans="2:57" ht="12" customHeight="1" x14ac:dyDescent="0.25">
      <c r="B76" s="6"/>
      <c r="C76" s="375" t="s">
        <v>207</v>
      </c>
      <c r="D76" s="358" t="s">
        <v>189</v>
      </c>
      <c r="E76" s="110"/>
      <c r="F76" s="111"/>
      <c r="G76" s="111"/>
      <c r="H76" s="187"/>
      <c r="I76" s="110"/>
      <c r="J76" s="111"/>
      <c r="K76" s="111"/>
      <c r="L76" s="111"/>
      <c r="M76" s="112"/>
      <c r="N76" s="113"/>
      <c r="O76" s="111"/>
      <c r="P76" s="111"/>
      <c r="Q76" s="112"/>
      <c r="R76" s="110"/>
      <c r="S76" s="111"/>
      <c r="T76" s="111"/>
      <c r="U76" s="112"/>
      <c r="V76" s="110"/>
      <c r="W76" s="111"/>
      <c r="X76" s="111"/>
      <c r="Y76" s="187"/>
      <c r="Z76" s="110"/>
      <c r="AA76" s="111"/>
      <c r="AB76" s="111"/>
      <c r="AC76" s="111"/>
      <c r="AD76" s="187"/>
      <c r="AE76" s="110"/>
      <c r="AF76" s="111"/>
      <c r="AG76" s="111"/>
      <c r="AH76" s="187"/>
      <c r="AI76" s="110"/>
      <c r="AJ76" s="111"/>
      <c r="AK76" s="111"/>
      <c r="AL76" s="111"/>
      <c r="AM76" s="112"/>
      <c r="AN76" s="113"/>
      <c r="AO76" s="111"/>
      <c r="AP76" s="111"/>
      <c r="AQ76" s="187"/>
      <c r="AR76" s="110"/>
      <c r="AS76" s="111"/>
      <c r="AT76" s="111"/>
      <c r="AU76" s="112"/>
      <c r="AV76" s="113"/>
      <c r="AW76" s="111"/>
      <c r="AX76" s="111"/>
      <c r="AY76" s="111"/>
      <c r="AZ76" s="112"/>
      <c r="BA76" s="113"/>
      <c r="BB76" s="111"/>
      <c r="BC76" s="111"/>
      <c r="BD76" s="111"/>
      <c r="BE76" s="289">
        <f t="shared" ref="BE76" si="4">52-COUNTBLANK(E76:BD76)</f>
        <v>0</v>
      </c>
    </row>
    <row r="77" spans="2:57" ht="12" customHeight="1" x14ac:dyDescent="0.25">
      <c r="B77" s="6"/>
      <c r="C77" s="375" t="s">
        <v>208</v>
      </c>
      <c r="D77" s="358" t="s">
        <v>193</v>
      </c>
      <c r="E77" s="110"/>
      <c r="F77" s="111"/>
      <c r="G77" s="111"/>
      <c r="H77" s="187"/>
      <c r="I77" s="110"/>
      <c r="J77" s="111"/>
      <c r="K77" s="111"/>
      <c r="L77" s="111"/>
      <c r="M77" s="112"/>
      <c r="N77" s="113"/>
      <c r="O77" s="111"/>
      <c r="P77" s="111"/>
      <c r="Q77" s="112"/>
      <c r="R77" s="110"/>
      <c r="S77" s="111"/>
      <c r="T77" s="111"/>
      <c r="U77" s="112"/>
      <c r="V77" s="110"/>
      <c r="W77" s="111"/>
      <c r="X77" s="111"/>
      <c r="Y77" s="187"/>
      <c r="Z77" s="110"/>
      <c r="AA77" s="111"/>
      <c r="AB77" s="111"/>
      <c r="AC77" s="111"/>
      <c r="AD77" s="187"/>
      <c r="AE77" s="110"/>
      <c r="AF77" s="111"/>
      <c r="AG77" s="111"/>
      <c r="AH77" s="187"/>
      <c r="AI77" s="110"/>
      <c r="AJ77" s="111"/>
      <c r="AK77" s="111"/>
      <c r="AL77" s="111"/>
      <c r="AM77" s="112"/>
      <c r="AN77" s="113"/>
      <c r="AO77" s="111"/>
      <c r="AP77" s="111"/>
      <c r="AQ77" s="187"/>
      <c r="AR77" s="110"/>
      <c r="AS77" s="111"/>
      <c r="AT77" s="111"/>
      <c r="AU77" s="112"/>
      <c r="AV77" s="113"/>
      <c r="AW77" s="111"/>
      <c r="AX77" s="111"/>
      <c r="AY77" s="111"/>
      <c r="AZ77" s="112"/>
      <c r="BA77" s="113"/>
      <c r="BB77" s="111"/>
      <c r="BC77" s="111"/>
      <c r="BD77" s="111"/>
      <c r="BE77" s="289">
        <f t="shared" si="0"/>
        <v>0</v>
      </c>
    </row>
    <row r="78" spans="2:57" ht="12" hidden="1" customHeight="1" x14ac:dyDescent="0.25">
      <c r="B78" s="57" t="s">
        <v>55</v>
      </c>
      <c r="C78" s="387"/>
      <c r="E78" s="110"/>
      <c r="F78" s="111"/>
      <c r="G78" s="111"/>
      <c r="H78" s="187"/>
      <c r="I78" s="110"/>
      <c r="J78" s="111"/>
      <c r="K78" s="111"/>
      <c r="L78" s="111"/>
      <c r="M78" s="112"/>
      <c r="N78" s="113"/>
      <c r="O78" s="111"/>
      <c r="P78" s="111"/>
      <c r="Q78" s="112"/>
      <c r="R78" s="110"/>
      <c r="S78" s="111"/>
      <c r="T78" s="111"/>
      <c r="U78" s="112"/>
      <c r="V78" s="110"/>
      <c r="W78" s="111"/>
      <c r="X78" s="111"/>
      <c r="Y78" s="187"/>
      <c r="Z78" s="110"/>
      <c r="AA78" s="111"/>
      <c r="AB78" s="111"/>
      <c r="AC78" s="111"/>
      <c r="AD78" s="187"/>
      <c r="AE78" s="110"/>
      <c r="AF78" s="111"/>
      <c r="AG78" s="111"/>
      <c r="AH78" s="187"/>
      <c r="AI78" s="110"/>
      <c r="AJ78" s="111"/>
      <c r="AK78" s="111"/>
      <c r="AL78" s="111"/>
      <c r="AM78" s="112"/>
      <c r="AN78" s="113"/>
      <c r="AO78" s="111"/>
      <c r="AP78" s="111"/>
      <c r="AQ78" s="187"/>
      <c r="AR78" s="110"/>
      <c r="AS78" s="111"/>
      <c r="AT78" s="111"/>
      <c r="AU78" s="112"/>
      <c r="AV78" s="113"/>
      <c r="AW78" s="111"/>
      <c r="AX78" s="111"/>
      <c r="AY78" s="111"/>
      <c r="AZ78" s="112"/>
      <c r="BA78" s="113"/>
      <c r="BB78" s="111"/>
      <c r="BC78" s="111"/>
      <c r="BD78" s="111"/>
      <c r="BE78" s="289">
        <f t="shared" si="0"/>
        <v>0</v>
      </c>
    </row>
    <row r="79" spans="2:57" ht="12" customHeight="1" x14ac:dyDescent="0.25">
      <c r="B79" s="6"/>
      <c r="C79" s="379"/>
      <c r="E79" s="110"/>
      <c r="F79" s="111"/>
      <c r="G79" s="111"/>
      <c r="H79" s="187"/>
      <c r="I79" s="110"/>
      <c r="J79" s="111"/>
      <c r="K79" s="111"/>
      <c r="L79" s="111"/>
      <c r="M79" s="112"/>
      <c r="N79" s="113"/>
      <c r="O79" s="111"/>
      <c r="P79" s="111"/>
      <c r="Q79" s="112"/>
      <c r="R79" s="110"/>
      <c r="S79" s="111"/>
      <c r="T79" s="111"/>
      <c r="U79" s="112"/>
      <c r="V79" s="110"/>
      <c r="W79" s="111"/>
      <c r="X79" s="111"/>
      <c r="Y79" s="187"/>
      <c r="Z79" s="110"/>
      <c r="AA79" s="111"/>
      <c r="AB79" s="111"/>
      <c r="AC79" s="111"/>
      <c r="AD79" s="187"/>
      <c r="AE79" s="110"/>
      <c r="AF79" s="111"/>
      <c r="AG79" s="111"/>
      <c r="AH79" s="187"/>
      <c r="AI79" s="110"/>
      <c r="AJ79" s="111"/>
      <c r="AK79" s="111"/>
      <c r="AL79" s="111"/>
      <c r="AM79" s="112"/>
      <c r="AN79" s="113"/>
      <c r="AO79" s="111"/>
      <c r="AP79" s="111"/>
      <c r="AQ79" s="187"/>
      <c r="AR79" s="110"/>
      <c r="AS79" s="111"/>
      <c r="AT79" s="111"/>
      <c r="AU79" s="112"/>
      <c r="AV79" s="113"/>
      <c r="AW79" s="111"/>
      <c r="AX79" s="111"/>
      <c r="AY79" s="111"/>
      <c r="AZ79" s="112"/>
      <c r="BA79" s="113"/>
      <c r="BB79" s="111"/>
      <c r="BC79" s="111"/>
      <c r="BD79" s="111"/>
      <c r="BE79" s="289">
        <f t="shared" si="0"/>
        <v>0</v>
      </c>
    </row>
    <row r="80" spans="2:57" ht="12" customHeight="1" thickBot="1" x14ac:dyDescent="0.3">
      <c r="B80" s="9"/>
      <c r="C80" s="384"/>
      <c r="E80" s="147"/>
      <c r="F80" s="148"/>
      <c r="G80" s="148"/>
      <c r="H80" s="193"/>
      <c r="I80" s="147"/>
      <c r="J80" s="148"/>
      <c r="K80" s="148"/>
      <c r="L80" s="148"/>
      <c r="M80" s="149"/>
      <c r="N80" s="176"/>
      <c r="O80" s="148"/>
      <c r="P80" s="148"/>
      <c r="Q80" s="149"/>
      <c r="R80" s="147"/>
      <c r="S80" s="148"/>
      <c r="T80" s="148"/>
      <c r="U80" s="149"/>
      <c r="V80" s="147"/>
      <c r="W80" s="148"/>
      <c r="X80" s="148"/>
      <c r="Y80" s="193"/>
      <c r="Z80" s="147"/>
      <c r="AA80" s="148"/>
      <c r="AB80" s="148"/>
      <c r="AC80" s="148"/>
      <c r="AD80" s="193"/>
      <c r="AE80" s="147"/>
      <c r="AF80" s="148"/>
      <c r="AG80" s="148"/>
      <c r="AH80" s="193"/>
      <c r="AI80" s="147"/>
      <c r="AJ80" s="148"/>
      <c r="AK80" s="148"/>
      <c r="AL80" s="148"/>
      <c r="AM80" s="149"/>
      <c r="AN80" s="176"/>
      <c r="AO80" s="148"/>
      <c r="AP80" s="148"/>
      <c r="AQ80" s="193"/>
      <c r="AR80" s="147"/>
      <c r="AS80" s="148"/>
      <c r="AT80" s="148"/>
      <c r="AU80" s="149"/>
      <c r="AV80" s="176"/>
      <c r="AW80" s="148"/>
      <c r="AX80" s="148"/>
      <c r="AY80" s="148"/>
      <c r="AZ80" s="149"/>
      <c r="BA80" s="176"/>
      <c r="BB80" s="148"/>
      <c r="BC80" s="148"/>
      <c r="BD80" s="148"/>
      <c r="BE80" s="289">
        <f t="shared" si="0"/>
        <v>0</v>
      </c>
    </row>
    <row r="81" spans="2:57" ht="12" customHeight="1" thickBot="1" x14ac:dyDescent="0.3">
      <c r="B81" s="36"/>
      <c r="C81" s="368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/>
      <c r="S81" s="19"/>
      <c r="T81" s="19"/>
      <c r="U81" s="19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</row>
    <row r="82" spans="2:57" ht="16.5" thickBot="1" x14ac:dyDescent="0.3">
      <c r="B82" s="4"/>
      <c r="C82" s="372" t="s">
        <v>53</v>
      </c>
      <c r="E82" s="89">
        <v>1</v>
      </c>
      <c r="F82" s="90">
        <v>2</v>
      </c>
      <c r="G82" s="90">
        <v>3</v>
      </c>
      <c r="H82" s="225">
        <v>4</v>
      </c>
      <c r="I82" s="89">
        <v>5</v>
      </c>
      <c r="J82" s="90">
        <v>6</v>
      </c>
      <c r="K82" s="90">
        <v>7</v>
      </c>
      <c r="L82" s="90">
        <v>8</v>
      </c>
      <c r="M82" s="230">
        <v>9</v>
      </c>
      <c r="N82" s="89">
        <v>10</v>
      </c>
      <c r="O82" s="90">
        <v>11</v>
      </c>
      <c r="P82" s="90">
        <v>12</v>
      </c>
      <c r="Q82" s="230">
        <v>13</v>
      </c>
      <c r="R82" s="89">
        <v>14</v>
      </c>
      <c r="S82" s="90">
        <v>15</v>
      </c>
      <c r="T82" s="90">
        <v>16</v>
      </c>
      <c r="U82" s="230">
        <v>17</v>
      </c>
      <c r="V82" s="89">
        <v>18</v>
      </c>
      <c r="W82" s="90">
        <v>19</v>
      </c>
      <c r="X82" s="90">
        <v>20</v>
      </c>
      <c r="Y82" s="230">
        <v>21</v>
      </c>
      <c r="Z82" s="89">
        <v>22</v>
      </c>
      <c r="AA82" s="90">
        <v>23</v>
      </c>
      <c r="AB82" s="90">
        <v>24</v>
      </c>
      <c r="AC82" s="90">
        <v>25</v>
      </c>
      <c r="AD82" s="230">
        <v>26</v>
      </c>
      <c r="AE82" s="89">
        <v>27</v>
      </c>
      <c r="AF82" s="90">
        <v>28</v>
      </c>
      <c r="AG82" s="90">
        <v>29</v>
      </c>
      <c r="AH82" s="230">
        <v>30</v>
      </c>
      <c r="AI82" s="89">
        <v>31</v>
      </c>
      <c r="AJ82" s="90">
        <v>32</v>
      </c>
      <c r="AK82" s="90">
        <v>33</v>
      </c>
      <c r="AL82" s="90">
        <v>34</v>
      </c>
      <c r="AM82" s="230">
        <v>35</v>
      </c>
      <c r="AN82" s="89">
        <v>36</v>
      </c>
      <c r="AO82" s="90">
        <v>37</v>
      </c>
      <c r="AP82" s="90">
        <v>38</v>
      </c>
      <c r="AQ82" s="230">
        <v>39</v>
      </c>
      <c r="AR82" s="89">
        <v>40</v>
      </c>
      <c r="AS82" s="90">
        <v>41</v>
      </c>
      <c r="AT82" s="90">
        <v>42</v>
      </c>
      <c r="AU82" s="90">
        <v>43</v>
      </c>
      <c r="AV82" s="90">
        <v>44</v>
      </c>
      <c r="AW82" s="90">
        <v>45</v>
      </c>
      <c r="AX82" s="90">
        <v>46</v>
      </c>
      <c r="AY82" s="90">
        <v>47</v>
      </c>
      <c r="AZ82" s="230">
        <v>48</v>
      </c>
      <c r="BA82" s="89">
        <v>49</v>
      </c>
      <c r="BB82" s="90">
        <v>50</v>
      </c>
      <c r="BC82" s="90">
        <v>51</v>
      </c>
      <c r="BD82" s="230">
        <v>52</v>
      </c>
    </row>
    <row r="83" spans="2:57" x14ac:dyDescent="0.25">
      <c r="B83" s="6"/>
      <c r="C83" s="378" t="s">
        <v>209</v>
      </c>
      <c r="D83" s="358" t="s">
        <v>189</v>
      </c>
      <c r="E83" s="154"/>
      <c r="F83" s="107"/>
      <c r="G83" s="107"/>
      <c r="H83" s="186"/>
      <c r="I83" s="154"/>
      <c r="J83" s="107"/>
      <c r="K83" s="107"/>
      <c r="L83" s="107"/>
      <c r="M83" s="108"/>
      <c r="N83" s="154"/>
      <c r="O83" s="107"/>
      <c r="P83" s="107"/>
      <c r="Q83" s="108"/>
      <c r="R83" s="154"/>
      <c r="S83" s="107"/>
      <c r="T83" s="107"/>
      <c r="U83" s="108"/>
      <c r="V83" s="154"/>
      <c r="W83" s="107"/>
      <c r="X83" s="107"/>
      <c r="Y83" s="108"/>
      <c r="Z83" s="154"/>
      <c r="AA83" s="107"/>
      <c r="AB83" s="107"/>
      <c r="AC83" s="107"/>
      <c r="AD83" s="108"/>
      <c r="AE83" s="154"/>
      <c r="AF83" s="107"/>
      <c r="AG83" s="107"/>
      <c r="AH83" s="108"/>
      <c r="AI83" s="154"/>
      <c r="AJ83" s="107"/>
      <c r="AK83" s="107"/>
      <c r="AL83" s="107"/>
      <c r="AM83" s="108"/>
      <c r="AN83" s="154"/>
      <c r="AO83" s="107"/>
      <c r="AP83" s="107"/>
      <c r="AQ83" s="108"/>
      <c r="AR83" s="154"/>
      <c r="AS83" s="107"/>
      <c r="AT83" s="107"/>
      <c r="AU83" s="107"/>
      <c r="AV83" s="107"/>
      <c r="AW83" s="107"/>
      <c r="AX83" s="107"/>
      <c r="AY83" s="107"/>
      <c r="AZ83" s="108"/>
      <c r="BA83" s="154"/>
      <c r="BB83" s="107"/>
      <c r="BC83" s="107"/>
      <c r="BD83" s="108"/>
      <c r="BE83" s="289">
        <f t="shared" ref="BE83:BE151" si="5">52-COUNTBLANK(E83:BD83)</f>
        <v>0</v>
      </c>
    </row>
    <row r="84" spans="2:57" ht="12" customHeight="1" x14ac:dyDescent="0.25">
      <c r="B84" s="6"/>
      <c r="C84" s="378" t="s">
        <v>101</v>
      </c>
      <c r="D84" s="358" t="s">
        <v>189</v>
      </c>
      <c r="E84" s="110"/>
      <c r="F84" s="111"/>
      <c r="G84" s="111"/>
      <c r="H84" s="187"/>
      <c r="I84" s="110"/>
      <c r="J84" s="111"/>
      <c r="K84" s="111"/>
      <c r="L84" s="111"/>
      <c r="M84" s="112"/>
      <c r="N84" s="110"/>
      <c r="O84" s="111"/>
      <c r="P84" s="111"/>
      <c r="Q84" s="112"/>
      <c r="R84" s="110"/>
      <c r="S84" s="111"/>
      <c r="T84" s="111"/>
      <c r="U84" s="112"/>
      <c r="V84" s="110"/>
      <c r="W84" s="111"/>
      <c r="X84" s="111"/>
      <c r="Y84" s="112"/>
      <c r="Z84" s="110"/>
      <c r="AA84" s="111"/>
      <c r="AB84" s="111"/>
      <c r="AC84" s="111"/>
      <c r="AD84" s="112"/>
      <c r="AE84" s="110"/>
      <c r="AF84" s="111"/>
      <c r="AG84" s="111"/>
      <c r="AH84" s="112"/>
      <c r="AI84" s="110"/>
      <c r="AJ84" s="111"/>
      <c r="AK84" s="111"/>
      <c r="AL84" s="111"/>
      <c r="AM84" s="112"/>
      <c r="AN84" s="110"/>
      <c r="AO84" s="111"/>
      <c r="AP84" s="111"/>
      <c r="AQ84" s="112"/>
      <c r="AR84" s="110"/>
      <c r="AS84" s="111"/>
      <c r="AT84" s="111"/>
      <c r="AU84" s="111"/>
      <c r="AV84" s="111"/>
      <c r="AW84" s="111"/>
      <c r="AX84" s="111"/>
      <c r="AY84" s="111"/>
      <c r="AZ84" s="112"/>
      <c r="BA84" s="110"/>
      <c r="BB84" s="111"/>
      <c r="BC84" s="111"/>
      <c r="BD84" s="112"/>
      <c r="BE84" s="289">
        <f t="shared" si="5"/>
        <v>0</v>
      </c>
    </row>
    <row r="85" spans="2:57" ht="12" customHeight="1" thickBot="1" x14ac:dyDescent="0.3">
      <c r="B85" s="3"/>
      <c r="C85" s="383" t="s">
        <v>210</v>
      </c>
      <c r="D85" s="358" t="s">
        <v>192</v>
      </c>
      <c r="E85" s="147"/>
      <c r="F85" s="148"/>
      <c r="G85" s="148"/>
      <c r="H85" s="193"/>
      <c r="I85" s="147"/>
      <c r="J85" s="148"/>
      <c r="K85" s="148"/>
      <c r="L85" s="148"/>
      <c r="M85" s="149"/>
      <c r="N85" s="147"/>
      <c r="O85" s="148"/>
      <c r="P85" s="148"/>
      <c r="Q85" s="149"/>
      <c r="R85" s="147"/>
      <c r="S85" s="148"/>
      <c r="T85" s="148"/>
      <c r="U85" s="149"/>
      <c r="V85" s="147"/>
      <c r="W85" s="148"/>
      <c r="X85" s="148"/>
      <c r="Y85" s="149"/>
      <c r="Z85" s="147"/>
      <c r="AA85" s="148"/>
      <c r="AB85" s="148"/>
      <c r="AC85" s="148"/>
      <c r="AD85" s="149"/>
      <c r="AE85" s="147"/>
      <c r="AF85" s="148"/>
      <c r="AG85" s="148"/>
      <c r="AH85" s="149"/>
      <c r="AI85" s="147"/>
      <c r="AJ85" s="148"/>
      <c r="AK85" s="148"/>
      <c r="AL85" s="148"/>
      <c r="AM85" s="149"/>
      <c r="AN85" s="147"/>
      <c r="AO85" s="148"/>
      <c r="AP85" s="148"/>
      <c r="AQ85" s="149"/>
      <c r="AR85" s="147"/>
      <c r="AS85" s="148"/>
      <c r="AT85" s="148"/>
      <c r="AU85" s="148"/>
      <c r="AV85" s="148"/>
      <c r="AW85" s="148"/>
      <c r="AX85" s="148"/>
      <c r="AY85" s="148"/>
      <c r="AZ85" s="149"/>
      <c r="BA85" s="147"/>
      <c r="BB85" s="148"/>
      <c r="BC85" s="148"/>
      <c r="BD85" s="149"/>
      <c r="BE85" s="289">
        <f t="shared" si="5"/>
        <v>0</v>
      </c>
    </row>
    <row r="86" spans="2:57" ht="12" customHeight="1" thickBot="1" x14ac:dyDescent="0.3">
      <c r="B86" s="8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</row>
    <row r="87" spans="2:57" ht="16.5" thickBot="1" x14ac:dyDescent="0.3">
      <c r="B87" s="4"/>
      <c r="C87" s="372" t="s">
        <v>51</v>
      </c>
      <c r="E87" s="80">
        <v>1</v>
      </c>
      <c r="F87" s="81">
        <v>2</v>
      </c>
      <c r="G87" s="81">
        <v>3</v>
      </c>
      <c r="H87" s="228">
        <v>4</v>
      </c>
      <c r="I87" s="80">
        <v>5</v>
      </c>
      <c r="J87" s="81">
        <v>6</v>
      </c>
      <c r="K87" s="81">
        <v>7</v>
      </c>
      <c r="L87" s="81">
        <v>8</v>
      </c>
      <c r="M87" s="228">
        <v>9</v>
      </c>
      <c r="N87" s="80">
        <v>10</v>
      </c>
      <c r="O87" s="81">
        <v>11</v>
      </c>
      <c r="P87" s="81">
        <v>12</v>
      </c>
      <c r="Q87" s="228">
        <v>13</v>
      </c>
      <c r="R87" s="80">
        <v>14</v>
      </c>
      <c r="S87" s="81">
        <v>15</v>
      </c>
      <c r="T87" s="81">
        <v>16</v>
      </c>
      <c r="U87" s="228">
        <v>17</v>
      </c>
      <c r="V87" s="80">
        <v>18</v>
      </c>
      <c r="W87" s="81">
        <v>19</v>
      </c>
      <c r="X87" s="81">
        <v>20</v>
      </c>
      <c r="Y87" s="228">
        <v>21</v>
      </c>
      <c r="Z87" s="80">
        <v>22</v>
      </c>
      <c r="AA87" s="81">
        <v>23</v>
      </c>
      <c r="AB87" s="81">
        <v>24</v>
      </c>
      <c r="AC87" s="81">
        <v>25</v>
      </c>
      <c r="AD87" s="228">
        <v>26</v>
      </c>
      <c r="AE87" s="80">
        <v>27</v>
      </c>
      <c r="AF87" s="81">
        <v>28</v>
      </c>
      <c r="AG87" s="81">
        <v>29</v>
      </c>
      <c r="AH87" s="228">
        <v>30</v>
      </c>
      <c r="AI87" s="80">
        <v>31</v>
      </c>
      <c r="AJ87" s="81">
        <v>32</v>
      </c>
      <c r="AK87" s="81">
        <v>33</v>
      </c>
      <c r="AL87" s="81">
        <v>34</v>
      </c>
      <c r="AM87" s="228">
        <v>35</v>
      </c>
      <c r="AN87" s="80">
        <v>36</v>
      </c>
      <c r="AO87" s="81">
        <v>37</v>
      </c>
      <c r="AP87" s="81">
        <v>38</v>
      </c>
      <c r="AQ87" s="208">
        <v>39</v>
      </c>
      <c r="AR87" s="80">
        <v>40</v>
      </c>
      <c r="AS87" s="81">
        <v>41</v>
      </c>
      <c r="AT87" s="81">
        <v>42</v>
      </c>
      <c r="AU87" s="228">
        <v>43</v>
      </c>
      <c r="AV87" s="290">
        <v>44</v>
      </c>
      <c r="AW87" s="81">
        <v>45</v>
      </c>
      <c r="AX87" s="81">
        <v>46</v>
      </c>
      <c r="AY87" s="81">
        <v>47</v>
      </c>
      <c r="AZ87" s="228">
        <v>48</v>
      </c>
      <c r="BA87" s="94">
        <v>49</v>
      </c>
      <c r="BB87" s="95">
        <v>50</v>
      </c>
      <c r="BC87" s="95">
        <v>51</v>
      </c>
      <c r="BD87" s="231">
        <v>52</v>
      </c>
    </row>
    <row r="88" spans="2:57" ht="8.25" hidden="1" customHeight="1" thickBot="1" x14ac:dyDescent="0.3">
      <c r="B88" s="56" t="s">
        <v>50</v>
      </c>
      <c r="C88" s="388"/>
      <c r="E88" s="66"/>
      <c r="F88" s="67"/>
      <c r="G88" s="67"/>
      <c r="H88" s="291"/>
      <c r="I88" s="66"/>
      <c r="J88" s="67"/>
      <c r="K88" s="67"/>
      <c r="L88" s="67"/>
      <c r="M88" s="291"/>
      <c r="N88" s="66"/>
      <c r="O88" s="67"/>
      <c r="P88" s="67"/>
      <c r="Q88" s="291"/>
      <c r="R88" s="66"/>
      <c r="S88" s="67"/>
      <c r="T88" s="67"/>
      <c r="U88" s="291"/>
      <c r="V88" s="66"/>
      <c r="W88" s="67"/>
      <c r="X88" s="67"/>
      <c r="Y88" s="291"/>
      <c r="Z88" s="66"/>
      <c r="AA88" s="67"/>
      <c r="AB88" s="67"/>
      <c r="AC88" s="67"/>
      <c r="AD88" s="291"/>
      <c r="AE88" s="66"/>
      <c r="AF88" s="67"/>
      <c r="AG88" s="67"/>
      <c r="AH88" s="291"/>
      <c r="AI88" s="66"/>
      <c r="AJ88" s="67"/>
      <c r="AK88" s="67"/>
      <c r="AL88" s="67"/>
      <c r="AM88" s="291"/>
      <c r="AN88" s="66"/>
      <c r="AO88" s="67"/>
      <c r="AP88" s="67"/>
      <c r="AQ88" s="67"/>
      <c r="AR88" s="66"/>
      <c r="AS88" s="67"/>
      <c r="AT88" s="67"/>
      <c r="AU88" s="291"/>
      <c r="AV88" s="67"/>
      <c r="AW88" s="67"/>
      <c r="AX88" s="67"/>
      <c r="AY88" s="67"/>
      <c r="AZ88" s="291"/>
      <c r="BA88" s="292"/>
      <c r="BB88" s="209"/>
      <c r="BC88" s="209"/>
      <c r="BD88" s="293"/>
      <c r="BE88" s="289">
        <f t="shared" si="5"/>
        <v>0</v>
      </c>
    </row>
    <row r="89" spans="2:57" ht="12.75" customHeight="1" x14ac:dyDescent="0.25">
      <c r="B89" s="294"/>
      <c r="C89" s="389" t="s">
        <v>211</v>
      </c>
      <c r="D89" s="358" t="s">
        <v>212</v>
      </c>
      <c r="E89" s="341"/>
      <c r="F89" s="342"/>
      <c r="G89" s="342"/>
      <c r="H89" s="343"/>
      <c r="I89" s="341"/>
      <c r="J89" s="342"/>
      <c r="K89" s="342"/>
      <c r="L89" s="342"/>
      <c r="M89" s="343"/>
      <c r="N89" s="341"/>
      <c r="O89" s="342"/>
      <c r="P89" s="342"/>
      <c r="Q89" s="343"/>
      <c r="R89" s="341"/>
      <c r="S89" s="342"/>
      <c r="T89" s="342"/>
      <c r="U89" s="343"/>
      <c r="V89" s="341"/>
      <c r="W89" s="342"/>
      <c r="X89" s="342"/>
      <c r="Y89" s="343"/>
      <c r="Z89" s="341"/>
      <c r="AA89" s="342"/>
      <c r="AB89" s="342"/>
      <c r="AC89" s="342"/>
      <c r="AD89" s="343"/>
      <c r="AE89" s="341"/>
      <c r="AF89" s="342"/>
      <c r="AG89" s="342"/>
      <c r="AH89" s="343"/>
      <c r="AI89" s="341"/>
      <c r="AJ89" s="342"/>
      <c r="AK89" s="342"/>
      <c r="AL89" s="342"/>
      <c r="AM89" s="343"/>
      <c r="AN89" s="341"/>
      <c r="AO89" s="342"/>
      <c r="AP89" s="342"/>
      <c r="AQ89" s="344"/>
      <c r="AR89" s="341"/>
      <c r="AS89" s="342"/>
      <c r="AT89" s="342"/>
      <c r="AU89" s="343"/>
      <c r="AV89" s="345"/>
      <c r="AW89" s="342"/>
      <c r="AX89" s="342"/>
      <c r="AY89" s="342"/>
      <c r="AZ89" s="343"/>
      <c r="BA89" s="341"/>
      <c r="BB89" s="342"/>
      <c r="BC89" s="342"/>
      <c r="BD89" s="343"/>
      <c r="BE89" s="289">
        <f t="shared" si="5"/>
        <v>0</v>
      </c>
    </row>
    <row r="90" spans="2:57" ht="12" customHeight="1" x14ac:dyDescent="0.25">
      <c r="B90" s="6"/>
      <c r="C90" s="379" t="s">
        <v>48</v>
      </c>
      <c r="D90" s="358" t="s">
        <v>189</v>
      </c>
      <c r="E90" s="346"/>
      <c r="F90" s="111"/>
      <c r="G90" s="111"/>
      <c r="H90" s="112"/>
      <c r="I90" s="110"/>
      <c r="J90" s="347"/>
      <c r="K90" s="111"/>
      <c r="L90" s="111"/>
      <c r="M90" s="112"/>
      <c r="N90" s="346"/>
      <c r="O90" s="111"/>
      <c r="P90" s="111"/>
      <c r="Q90" s="112"/>
      <c r="R90" s="346"/>
      <c r="S90" s="111"/>
      <c r="T90" s="111"/>
      <c r="U90" s="112"/>
      <c r="V90" s="110"/>
      <c r="W90" s="347"/>
      <c r="X90" s="111"/>
      <c r="Y90" s="112"/>
      <c r="Z90" s="110"/>
      <c r="AA90" s="347"/>
      <c r="AB90" s="111"/>
      <c r="AC90" s="111"/>
      <c r="AD90" s="112"/>
      <c r="AE90" s="346"/>
      <c r="AF90" s="111"/>
      <c r="AG90" s="111"/>
      <c r="AH90" s="112"/>
      <c r="AI90" s="110"/>
      <c r="AJ90" s="347"/>
      <c r="AK90" s="111"/>
      <c r="AL90" s="111"/>
      <c r="AM90" s="112"/>
      <c r="AN90" s="346"/>
      <c r="AO90" s="111"/>
      <c r="AP90" s="111"/>
      <c r="AQ90" s="187"/>
      <c r="AR90" s="110"/>
      <c r="AS90" s="347"/>
      <c r="AT90" s="111"/>
      <c r="AU90" s="112"/>
      <c r="AV90" s="113"/>
      <c r="AW90" s="347"/>
      <c r="AX90" s="111"/>
      <c r="AY90" s="111"/>
      <c r="AZ90" s="112"/>
      <c r="BA90" s="346"/>
      <c r="BB90" s="111"/>
      <c r="BC90" s="111"/>
      <c r="BD90" s="112"/>
      <c r="BE90" s="289">
        <f t="shared" si="5"/>
        <v>0</v>
      </c>
    </row>
    <row r="91" spans="2:57" ht="12" customHeight="1" x14ac:dyDescent="0.25">
      <c r="B91" s="6"/>
      <c r="C91" s="379" t="s">
        <v>213</v>
      </c>
      <c r="D91" s="358" t="s">
        <v>192</v>
      </c>
      <c r="E91" s="110"/>
      <c r="F91" s="111"/>
      <c r="G91" s="111"/>
      <c r="H91" s="112"/>
      <c r="I91" s="110"/>
      <c r="J91" s="111"/>
      <c r="K91" s="111"/>
      <c r="L91" s="111"/>
      <c r="M91" s="112"/>
      <c r="N91" s="110"/>
      <c r="O91" s="111"/>
      <c r="P91" s="111"/>
      <c r="Q91" s="112"/>
      <c r="R91" s="110"/>
      <c r="S91" s="111"/>
      <c r="T91" s="111"/>
      <c r="U91" s="112"/>
      <c r="V91" s="110"/>
      <c r="W91" s="111"/>
      <c r="X91" s="111"/>
      <c r="Y91" s="112"/>
      <c r="Z91" s="110"/>
      <c r="AA91" s="111"/>
      <c r="AB91" s="111"/>
      <c r="AC91" s="347"/>
      <c r="AD91" s="112"/>
      <c r="AE91" s="110"/>
      <c r="AF91" s="111"/>
      <c r="AG91" s="111"/>
      <c r="AH91" s="112"/>
      <c r="AI91" s="110"/>
      <c r="AJ91" s="111"/>
      <c r="AK91" s="111"/>
      <c r="AL91" s="111"/>
      <c r="AM91" s="112"/>
      <c r="AN91" s="110"/>
      <c r="AO91" s="111"/>
      <c r="AP91" s="111"/>
      <c r="AQ91" s="187"/>
      <c r="AR91" s="110"/>
      <c r="AS91" s="111"/>
      <c r="AT91" s="111"/>
      <c r="AU91" s="112"/>
      <c r="AV91" s="113"/>
      <c r="AW91" s="111"/>
      <c r="AX91" s="111"/>
      <c r="AY91" s="111"/>
      <c r="AZ91" s="112"/>
      <c r="BA91" s="110"/>
      <c r="BB91" s="111"/>
      <c r="BC91" s="347"/>
      <c r="BD91" s="112"/>
      <c r="BE91" s="289">
        <f t="shared" si="5"/>
        <v>0</v>
      </c>
    </row>
    <row r="92" spans="2:57" ht="12" hidden="1" customHeight="1" x14ac:dyDescent="0.25">
      <c r="B92" s="6" t="s">
        <v>46</v>
      </c>
      <c r="C92" s="388"/>
      <c r="E92" s="110"/>
      <c r="F92" s="111"/>
      <c r="G92" s="111"/>
      <c r="H92" s="112"/>
      <c r="I92" s="110"/>
      <c r="J92" s="111"/>
      <c r="K92" s="111"/>
      <c r="L92" s="111"/>
      <c r="M92" s="112"/>
      <c r="N92" s="110"/>
      <c r="O92" s="111"/>
      <c r="P92" s="111"/>
      <c r="Q92" s="112"/>
      <c r="R92" s="110"/>
      <c r="S92" s="111"/>
      <c r="T92" s="111"/>
      <c r="U92" s="112"/>
      <c r="V92" s="110"/>
      <c r="W92" s="111"/>
      <c r="X92" s="111"/>
      <c r="Y92" s="112"/>
      <c r="Z92" s="110"/>
      <c r="AA92" s="111"/>
      <c r="AB92" s="111"/>
      <c r="AC92" s="111"/>
      <c r="AD92" s="112"/>
      <c r="AE92" s="110"/>
      <c r="AF92" s="111"/>
      <c r="AG92" s="111"/>
      <c r="AH92" s="112"/>
      <c r="AI92" s="110"/>
      <c r="AJ92" s="111"/>
      <c r="AK92" s="111"/>
      <c r="AL92" s="111"/>
      <c r="AM92" s="112"/>
      <c r="AN92" s="110"/>
      <c r="AO92" s="111"/>
      <c r="AP92" s="111"/>
      <c r="AQ92" s="187"/>
      <c r="AR92" s="110"/>
      <c r="AS92" s="111"/>
      <c r="AT92" s="111"/>
      <c r="AU92" s="112"/>
      <c r="AV92" s="113"/>
      <c r="AW92" s="111"/>
      <c r="AX92" s="111"/>
      <c r="AY92" s="111"/>
      <c r="AZ92" s="112"/>
      <c r="BA92" s="110"/>
      <c r="BB92" s="111"/>
      <c r="BC92" s="111"/>
      <c r="BD92" s="112"/>
      <c r="BE92" s="289">
        <f t="shared" si="5"/>
        <v>0</v>
      </c>
    </row>
    <row r="93" spans="2:57" ht="12" customHeight="1" thickBot="1" x14ac:dyDescent="0.3">
      <c r="B93" s="6"/>
      <c r="C93" s="378" t="s">
        <v>217</v>
      </c>
      <c r="D93" s="358" t="s">
        <v>191</v>
      </c>
      <c r="E93" s="318"/>
      <c r="F93" s="348"/>
      <c r="G93" s="348"/>
      <c r="H93" s="349"/>
      <c r="I93" s="318"/>
      <c r="J93" s="348"/>
      <c r="K93" s="348"/>
      <c r="L93" s="348"/>
      <c r="M93" s="349"/>
      <c r="N93" s="318"/>
      <c r="O93" s="148"/>
      <c r="P93" s="348"/>
      <c r="Q93" s="349"/>
      <c r="R93" s="318"/>
      <c r="S93" s="348"/>
      <c r="T93" s="348"/>
      <c r="U93" s="349"/>
      <c r="V93" s="318"/>
      <c r="W93" s="348"/>
      <c r="X93" s="348"/>
      <c r="Y93" s="349"/>
      <c r="Z93" s="318"/>
      <c r="AA93" s="348"/>
      <c r="AB93" s="348"/>
      <c r="AC93" s="348"/>
      <c r="AD93" s="349"/>
      <c r="AE93" s="318"/>
      <c r="AF93" s="348"/>
      <c r="AG93" s="348"/>
      <c r="AH93" s="349"/>
      <c r="AI93" s="318"/>
      <c r="AJ93" s="348"/>
      <c r="AK93" s="348"/>
      <c r="AL93" s="348"/>
      <c r="AM93" s="349"/>
      <c r="AN93" s="318"/>
      <c r="AO93" s="348"/>
      <c r="AP93" s="348"/>
      <c r="AQ93" s="350"/>
      <c r="AR93" s="318"/>
      <c r="AS93" s="348"/>
      <c r="AT93" s="348"/>
      <c r="AU93" s="349"/>
      <c r="AV93" s="351"/>
      <c r="AW93" s="348"/>
      <c r="AX93" s="348"/>
      <c r="AY93" s="348"/>
      <c r="AZ93" s="349"/>
      <c r="BA93" s="318"/>
      <c r="BB93" s="348"/>
      <c r="BC93" s="348"/>
      <c r="BD93" s="349"/>
      <c r="BE93" s="289">
        <f t="shared" si="5"/>
        <v>0</v>
      </c>
    </row>
    <row r="94" spans="2:57" s="2" customFormat="1" ht="12" customHeight="1" x14ac:dyDescent="0.25">
      <c r="B94" s="6"/>
      <c r="C94" s="378" t="s">
        <v>214</v>
      </c>
      <c r="D94" s="358" t="s">
        <v>192</v>
      </c>
      <c r="E94" s="110"/>
      <c r="F94" s="111"/>
      <c r="G94" s="111"/>
      <c r="H94" s="112"/>
      <c r="I94" s="110"/>
      <c r="J94" s="111"/>
      <c r="K94" s="111"/>
      <c r="L94" s="111"/>
      <c r="M94" s="112"/>
      <c r="N94" s="110"/>
      <c r="O94" s="111"/>
      <c r="P94" s="111"/>
      <c r="Q94" s="112"/>
      <c r="R94" s="110"/>
      <c r="S94" s="111"/>
      <c r="T94" s="111"/>
      <c r="U94" s="112"/>
      <c r="V94" s="110"/>
      <c r="W94" s="111"/>
      <c r="X94" s="111"/>
      <c r="Y94" s="112"/>
      <c r="Z94" s="110"/>
      <c r="AA94" s="111"/>
      <c r="AB94" s="111"/>
      <c r="AC94" s="111"/>
      <c r="AD94" s="112"/>
      <c r="AE94" s="110"/>
      <c r="AF94" s="111"/>
      <c r="AG94" s="111"/>
      <c r="AH94" s="112"/>
      <c r="AI94" s="110"/>
      <c r="AJ94" s="111"/>
      <c r="AK94" s="111"/>
      <c r="AL94" s="111"/>
      <c r="AM94" s="112"/>
      <c r="AN94" s="110"/>
      <c r="AO94" s="111"/>
      <c r="AP94" s="111"/>
      <c r="AQ94" s="187"/>
      <c r="AR94" s="110"/>
      <c r="AS94" s="111"/>
      <c r="AT94" s="111"/>
      <c r="AU94" s="112"/>
      <c r="AV94" s="113"/>
      <c r="AW94" s="111"/>
      <c r="AX94" s="111"/>
      <c r="AY94" s="111"/>
      <c r="AZ94" s="112"/>
      <c r="BA94" s="110"/>
      <c r="BB94" s="111"/>
      <c r="BC94" s="111"/>
      <c r="BD94" s="112"/>
      <c r="BE94" s="289">
        <f t="shared" si="5"/>
        <v>0</v>
      </c>
    </row>
    <row r="95" spans="2:57" s="2" customFormat="1" ht="12" customHeight="1" x14ac:dyDescent="0.25">
      <c r="B95" s="6"/>
      <c r="C95" s="378" t="s">
        <v>218</v>
      </c>
      <c r="D95" s="358" t="s">
        <v>189</v>
      </c>
      <c r="E95" s="110"/>
      <c r="F95" s="111"/>
      <c r="G95" s="111"/>
      <c r="H95" s="112"/>
      <c r="I95" s="110"/>
      <c r="J95" s="111"/>
      <c r="K95" s="111"/>
      <c r="L95" s="111"/>
      <c r="M95" s="112"/>
      <c r="N95" s="110"/>
      <c r="O95" s="111"/>
      <c r="P95" s="111"/>
      <c r="Q95" s="112"/>
      <c r="R95" s="110"/>
      <c r="S95" s="111"/>
      <c r="T95" s="111"/>
      <c r="U95" s="112"/>
      <c r="V95" s="110"/>
      <c r="W95" s="111"/>
      <c r="X95" s="111"/>
      <c r="Y95" s="112"/>
      <c r="Z95" s="110"/>
      <c r="AA95" s="111"/>
      <c r="AB95" s="111"/>
      <c r="AC95" s="111"/>
      <c r="AD95" s="112"/>
      <c r="AE95" s="110"/>
      <c r="AF95" s="111"/>
      <c r="AG95" s="111"/>
      <c r="AH95" s="112"/>
      <c r="AI95" s="110"/>
      <c r="AJ95" s="111"/>
      <c r="AK95" s="111"/>
      <c r="AL95" s="111"/>
      <c r="AM95" s="112"/>
      <c r="AN95" s="110"/>
      <c r="AO95" s="111"/>
      <c r="AP95" s="111"/>
      <c r="AQ95" s="187"/>
      <c r="AR95" s="110"/>
      <c r="AS95" s="111"/>
      <c r="AT95" s="111"/>
      <c r="AU95" s="112"/>
      <c r="AV95" s="113"/>
      <c r="AW95" s="111"/>
      <c r="AX95" s="111"/>
      <c r="AY95" s="111"/>
      <c r="AZ95" s="112"/>
      <c r="BA95" s="110"/>
      <c r="BB95" s="111"/>
      <c r="BC95" s="111"/>
      <c r="BD95" s="112"/>
      <c r="BE95" s="289">
        <f t="shared" si="5"/>
        <v>0</v>
      </c>
    </row>
    <row r="96" spans="2:57" s="2" customFormat="1" ht="12" customHeight="1" x14ac:dyDescent="0.25">
      <c r="B96" s="6"/>
      <c r="C96" s="378"/>
      <c r="D96" s="358"/>
      <c r="E96" s="110"/>
      <c r="F96" s="111"/>
      <c r="G96" s="111"/>
      <c r="H96" s="112"/>
      <c r="I96" s="110"/>
      <c r="J96" s="111"/>
      <c r="K96" s="111"/>
      <c r="L96" s="111"/>
      <c r="M96" s="112"/>
      <c r="N96" s="110"/>
      <c r="O96" s="111"/>
      <c r="P96" s="111"/>
      <c r="Q96" s="112"/>
      <c r="R96" s="110"/>
      <c r="S96" s="111"/>
      <c r="T96" s="111"/>
      <c r="U96" s="112"/>
      <c r="V96" s="110"/>
      <c r="W96" s="111"/>
      <c r="X96" s="111"/>
      <c r="Y96" s="112"/>
      <c r="Z96" s="110"/>
      <c r="AA96" s="111"/>
      <c r="AB96" s="111"/>
      <c r="AC96" s="111"/>
      <c r="AD96" s="112"/>
      <c r="AE96" s="110"/>
      <c r="AF96" s="111"/>
      <c r="AG96" s="111"/>
      <c r="AH96" s="112"/>
      <c r="AI96" s="110"/>
      <c r="AJ96" s="111"/>
      <c r="AK96" s="111"/>
      <c r="AL96" s="111"/>
      <c r="AM96" s="112"/>
      <c r="AN96" s="110"/>
      <c r="AO96" s="111"/>
      <c r="AP96" s="111"/>
      <c r="AQ96" s="187"/>
      <c r="AR96" s="110"/>
      <c r="AS96" s="111"/>
      <c r="AT96" s="111"/>
      <c r="AU96" s="112"/>
      <c r="AV96" s="113"/>
      <c r="AW96" s="111"/>
      <c r="AX96" s="111"/>
      <c r="AY96" s="111"/>
      <c r="AZ96" s="112"/>
      <c r="BA96" s="110"/>
      <c r="BB96" s="111"/>
      <c r="BC96" s="111"/>
      <c r="BD96" s="112"/>
      <c r="BE96" s="289">
        <f t="shared" si="5"/>
        <v>0</v>
      </c>
    </row>
    <row r="97" spans="2:57" s="2" customFormat="1" ht="12" customHeight="1" x14ac:dyDescent="0.25">
      <c r="B97" s="6"/>
      <c r="C97" s="378"/>
      <c r="D97" s="358"/>
      <c r="E97" s="110"/>
      <c r="F97" s="111"/>
      <c r="G97" s="111"/>
      <c r="H97" s="112"/>
      <c r="I97" s="110"/>
      <c r="J97" s="111"/>
      <c r="K97" s="111"/>
      <c r="L97" s="111"/>
      <c r="M97" s="112"/>
      <c r="N97" s="110"/>
      <c r="O97" s="111"/>
      <c r="P97" s="111"/>
      <c r="Q97" s="112"/>
      <c r="R97" s="110"/>
      <c r="S97" s="111"/>
      <c r="T97" s="111"/>
      <c r="U97" s="112"/>
      <c r="V97" s="110"/>
      <c r="W97" s="111"/>
      <c r="X97" s="111"/>
      <c r="Y97" s="112"/>
      <c r="Z97" s="110"/>
      <c r="AA97" s="111"/>
      <c r="AB97" s="111"/>
      <c r="AC97" s="111"/>
      <c r="AD97" s="112"/>
      <c r="AE97" s="110"/>
      <c r="AF97" s="111"/>
      <c r="AG97" s="111"/>
      <c r="AH97" s="112"/>
      <c r="AI97" s="110"/>
      <c r="AJ97" s="111"/>
      <c r="AK97" s="111"/>
      <c r="AL97" s="111"/>
      <c r="AM97" s="112"/>
      <c r="AN97" s="110"/>
      <c r="AO97" s="111"/>
      <c r="AP97" s="111"/>
      <c r="AQ97" s="187"/>
      <c r="AR97" s="110"/>
      <c r="AS97" s="111"/>
      <c r="AT97" s="111"/>
      <c r="AU97" s="112"/>
      <c r="AV97" s="113"/>
      <c r="AW97" s="111"/>
      <c r="AX97" s="111"/>
      <c r="AY97" s="111"/>
      <c r="AZ97" s="112"/>
      <c r="BA97" s="110"/>
      <c r="BB97" s="111"/>
      <c r="BC97" s="111"/>
      <c r="BD97" s="112"/>
      <c r="BE97" s="289">
        <f t="shared" si="5"/>
        <v>0</v>
      </c>
    </row>
    <row r="98" spans="2:57" s="2" customFormat="1" ht="12" customHeight="1" thickBot="1" x14ac:dyDescent="0.3">
      <c r="B98" s="3"/>
      <c r="C98" s="390"/>
      <c r="D98" s="358"/>
      <c r="E98" s="147"/>
      <c r="F98" s="148"/>
      <c r="G98" s="148"/>
      <c r="H98" s="149"/>
      <c r="I98" s="147"/>
      <c r="J98" s="148"/>
      <c r="K98" s="148"/>
      <c r="L98" s="148"/>
      <c r="M98" s="149"/>
      <c r="N98" s="147"/>
      <c r="O98" s="148"/>
      <c r="P98" s="148"/>
      <c r="Q98" s="149"/>
      <c r="R98" s="147"/>
      <c r="S98" s="148"/>
      <c r="T98" s="148"/>
      <c r="U98" s="149"/>
      <c r="V98" s="147"/>
      <c r="W98" s="148"/>
      <c r="X98" s="148"/>
      <c r="Y98" s="149"/>
      <c r="Z98" s="147"/>
      <c r="AA98" s="148"/>
      <c r="AB98" s="148"/>
      <c r="AC98" s="148"/>
      <c r="AD98" s="149"/>
      <c r="AE98" s="147"/>
      <c r="AF98" s="148"/>
      <c r="AG98" s="148"/>
      <c r="AH98" s="149"/>
      <c r="AI98" s="147"/>
      <c r="AJ98" s="148"/>
      <c r="AK98" s="148"/>
      <c r="AL98" s="148"/>
      <c r="AM98" s="149"/>
      <c r="AN98" s="147"/>
      <c r="AO98" s="148"/>
      <c r="AP98" s="148"/>
      <c r="AQ98" s="193"/>
      <c r="AR98" s="147"/>
      <c r="AS98" s="148"/>
      <c r="AT98" s="148"/>
      <c r="AU98" s="149"/>
      <c r="AV98" s="176"/>
      <c r="AW98" s="148"/>
      <c r="AX98" s="148"/>
      <c r="AY98" s="148"/>
      <c r="AZ98" s="149"/>
      <c r="BA98" s="147"/>
      <c r="BB98" s="148"/>
      <c r="BC98" s="148"/>
      <c r="BD98" s="149"/>
      <c r="BE98" s="289">
        <f t="shared" si="5"/>
        <v>0</v>
      </c>
    </row>
    <row r="99" spans="2:57" ht="12" customHeight="1" thickBot="1" x14ac:dyDescent="0.3">
      <c r="B99" s="8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 spans="2:57" ht="12" customHeight="1" thickBot="1" x14ac:dyDescent="0.3">
      <c r="B100" s="4"/>
      <c r="C100" s="372" t="s">
        <v>174</v>
      </c>
      <c r="E100" s="80">
        <v>1</v>
      </c>
      <c r="F100" s="81">
        <v>2</v>
      </c>
      <c r="G100" s="81">
        <v>3</v>
      </c>
      <c r="H100" s="228">
        <v>4</v>
      </c>
      <c r="I100" s="290">
        <v>5</v>
      </c>
      <c r="J100" s="81">
        <v>6</v>
      </c>
      <c r="K100" s="81">
        <v>7</v>
      </c>
      <c r="L100" s="81">
        <v>8</v>
      </c>
      <c r="M100" s="81">
        <v>9</v>
      </c>
      <c r="N100" s="81">
        <v>10</v>
      </c>
      <c r="O100" s="81">
        <v>11</v>
      </c>
      <c r="P100" s="81">
        <v>12</v>
      </c>
      <c r="Q100" s="81">
        <v>13</v>
      </c>
      <c r="R100" s="81">
        <v>14</v>
      </c>
      <c r="S100" s="81">
        <v>15</v>
      </c>
      <c r="T100" s="81">
        <v>16</v>
      </c>
      <c r="U100" s="81">
        <v>17</v>
      </c>
      <c r="V100" s="81">
        <v>18</v>
      </c>
      <c r="W100" s="81">
        <v>19</v>
      </c>
      <c r="X100" s="81">
        <v>20</v>
      </c>
      <c r="Y100" s="81">
        <v>21</v>
      </c>
      <c r="Z100" s="81">
        <v>22</v>
      </c>
      <c r="AA100" s="81">
        <v>23</v>
      </c>
      <c r="AB100" s="81">
        <v>24</v>
      </c>
      <c r="AC100" s="81">
        <v>25</v>
      </c>
      <c r="AD100" s="81">
        <v>26</v>
      </c>
      <c r="AE100" s="81">
        <v>27</v>
      </c>
      <c r="AF100" s="81">
        <v>28</v>
      </c>
      <c r="AG100" s="81">
        <v>29</v>
      </c>
      <c r="AH100" s="81">
        <v>30</v>
      </c>
      <c r="AI100" s="81">
        <v>31</v>
      </c>
      <c r="AJ100" s="81">
        <v>32</v>
      </c>
      <c r="AK100" s="81">
        <v>33</v>
      </c>
      <c r="AL100" s="81">
        <v>34</v>
      </c>
      <c r="AM100" s="81">
        <v>35</v>
      </c>
      <c r="AN100" s="81">
        <v>36</v>
      </c>
      <c r="AO100" s="81">
        <v>37</v>
      </c>
      <c r="AP100" s="81">
        <v>38</v>
      </c>
      <c r="AQ100" s="81">
        <v>39</v>
      </c>
      <c r="AR100" s="81">
        <v>40</v>
      </c>
      <c r="AS100" s="81">
        <v>41</v>
      </c>
      <c r="AT100" s="81">
        <v>42</v>
      </c>
      <c r="AU100" s="81">
        <v>43</v>
      </c>
      <c r="AV100" s="81">
        <v>44</v>
      </c>
      <c r="AW100" s="81">
        <v>45</v>
      </c>
      <c r="AX100" s="81">
        <v>46</v>
      </c>
      <c r="AY100" s="81">
        <v>47</v>
      </c>
      <c r="AZ100" s="81">
        <v>48</v>
      </c>
      <c r="BA100" s="81">
        <v>49</v>
      </c>
      <c r="BB100" s="81">
        <v>50</v>
      </c>
      <c r="BC100" s="81">
        <v>51</v>
      </c>
      <c r="BD100" s="81">
        <v>52</v>
      </c>
    </row>
    <row r="101" spans="2:57" ht="12" hidden="1" customHeight="1" x14ac:dyDescent="0.25">
      <c r="B101" s="16" t="s">
        <v>44</v>
      </c>
      <c r="C101" s="391"/>
      <c r="E101" s="68"/>
      <c r="F101" s="69"/>
      <c r="G101" s="69"/>
      <c r="H101" s="232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289">
        <f t="shared" si="5"/>
        <v>0</v>
      </c>
    </row>
    <row r="102" spans="2:57" ht="12" customHeight="1" x14ac:dyDescent="0.25">
      <c r="B102" s="6"/>
      <c r="C102" s="379" t="s">
        <v>219</v>
      </c>
      <c r="D102" s="358" t="s">
        <v>191</v>
      </c>
      <c r="E102" s="154"/>
      <c r="F102" s="107"/>
      <c r="G102" s="107"/>
      <c r="H102" s="186"/>
      <c r="I102" s="154"/>
      <c r="J102" s="107"/>
      <c r="K102" s="107"/>
      <c r="L102" s="107"/>
      <c r="M102" s="186"/>
      <c r="N102" s="154"/>
      <c r="O102" s="107"/>
      <c r="P102" s="107"/>
      <c r="Q102" s="186"/>
      <c r="R102" s="154"/>
      <c r="S102" s="107"/>
      <c r="T102" s="107"/>
      <c r="U102" s="186"/>
      <c r="V102" s="154"/>
      <c r="W102" s="107"/>
      <c r="X102" s="107"/>
      <c r="Y102" s="186"/>
      <c r="Z102" s="154"/>
      <c r="AA102" s="107"/>
      <c r="AB102" s="107"/>
      <c r="AC102" s="107"/>
      <c r="AD102" s="186"/>
      <c r="AE102" s="154"/>
      <c r="AF102" s="107"/>
      <c r="AG102" s="107"/>
      <c r="AH102" s="186"/>
      <c r="AI102" s="154"/>
      <c r="AJ102" s="107"/>
      <c r="AK102" s="107"/>
      <c r="AL102" s="107"/>
      <c r="AM102" s="186"/>
      <c r="AN102" s="154"/>
      <c r="AO102" s="107"/>
      <c r="AP102" s="107"/>
      <c r="AQ102" s="186"/>
      <c r="AR102" s="154"/>
      <c r="AS102" s="107"/>
      <c r="AT102" s="107"/>
      <c r="AU102" s="186"/>
      <c r="AV102" s="154"/>
      <c r="AW102" s="107"/>
      <c r="AX102" s="107"/>
      <c r="AY102" s="107"/>
      <c r="AZ102" s="186"/>
      <c r="BA102" s="154"/>
      <c r="BB102" s="107"/>
      <c r="BC102" s="107"/>
      <c r="BD102" s="108"/>
      <c r="BE102" s="289">
        <f t="shared" si="5"/>
        <v>0</v>
      </c>
    </row>
    <row r="103" spans="2:57" ht="12" customHeight="1" x14ac:dyDescent="0.25">
      <c r="B103" s="6"/>
      <c r="C103" s="379" t="s">
        <v>220</v>
      </c>
      <c r="D103" s="358" t="s">
        <v>191</v>
      </c>
      <c r="E103" s="365"/>
      <c r="F103" s="224"/>
      <c r="G103" s="224"/>
      <c r="H103" s="366"/>
      <c r="I103" s="365"/>
      <c r="J103" s="224"/>
      <c r="K103" s="224"/>
      <c r="L103" s="224"/>
      <c r="M103" s="366"/>
      <c r="N103" s="365"/>
      <c r="O103" s="224"/>
      <c r="P103" s="224"/>
      <c r="Q103" s="366"/>
      <c r="R103" s="365"/>
      <c r="S103" s="224"/>
      <c r="T103" s="224"/>
      <c r="U103" s="366"/>
      <c r="V103" s="365"/>
      <c r="W103" s="224"/>
      <c r="X103" s="224"/>
      <c r="Y103" s="366"/>
      <c r="Z103" s="365"/>
      <c r="AA103" s="224"/>
      <c r="AB103" s="224"/>
      <c r="AC103" s="224"/>
      <c r="AD103" s="366"/>
      <c r="AE103" s="365"/>
      <c r="AF103" s="224"/>
      <c r="AG103" s="224"/>
      <c r="AH103" s="366"/>
      <c r="AI103" s="365"/>
      <c r="AJ103" s="224"/>
      <c r="AK103" s="224"/>
      <c r="AL103" s="224"/>
      <c r="AM103" s="366"/>
      <c r="AN103" s="365"/>
      <c r="AO103" s="224"/>
      <c r="AP103" s="224"/>
      <c r="AQ103" s="366"/>
      <c r="AR103" s="365"/>
      <c r="AS103" s="224"/>
      <c r="AT103" s="224"/>
      <c r="AU103" s="366"/>
      <c r="AV103" s="365"/>
      <c r="AW103" s="224"/>
      <c r="AX103" s="224"/>
      <c r="AY103" s="224"/>
      <c r="AZ103" s="366"/>
      <c r="BA103" s="365"/>
      <c r="BB103" s="224"/>
      <c r="BC103" s="224"/>
      <c r="BD103" s="367"/>
    </row>
    <row r="104" spans="2:57" ht="12" customHeight="1" x14ac:dyDescent="0.25">
      <c r="B104" s="6"/>
      <c r="C104" s="379" t="s">
        <v>221</v>
      </c>
      <c r="D104" s="358" t="s">
        <v>191</v>
      </c>
      <c r="E104" s="365"/>
      <c r="F104" s="224"/>
      <c r="G104" s="224"/>
      <c r="H104" s="366"/>
      <c r="I104" s="365"/>
      <c r="J104" s="224"/>
      <c r="K104" s="224"/>
      <c r="L104" s="224"/>
      <c r="M104" s="366"/>
      <c r="N104" s="365"/>
      <c r="O104" s="224"/>
      <c r="P104" s="224"/>
      <c r="Q104" s="366"/>
      <c r="R104" s="365"/>
      <c r="S104" s="224"/>
      <c r="T104" s="224"/>
      <c r="U104" s="366"/>
      <c r="V104" s="365"/>
      <c r="W104" s="224"/>
      <c r="X104" s="224"/>
      <c r="Y104" s="366"/>
      <c r="Z104" s="365"/>
      <c r="AA104" s="224"/>
      <c r="AB104" s="224"/>
      <c r="AC104" s="224"/>
      <c r="AD104" s="366"/>
      <c r="AE104" s="365"/>
      <c r="AF104" s="224"/>
      <c r="AG104" s="224"/>
      <c r="AH104" s="366"/>
      <c r="AI104" s="365"/>
      <c r="AJ104" s="224"/>
      <c r="AK104" s="224"/>
      <c r="AL104" s="224"/>
      <c r="AM104" s="366"/>
      <c r="AN104" s="365"/>
      <c r="AO104" s="224"/>
      <c r="AP104" s="224"/>
      <c r="AQ104" s="366"/>
      <c r="AR104" s="365"/>
      <c r="AS104" s="224"/>
      <c r="AT104" s="224"/>
      <c r="AU104" s="366"/>
      <c r="AV104" s="365"/>
      <c r="AW104" s="224"/>
      <c r="AX104" s="224"/>
      <c r="AY104" s="224"/>
      <c r="AZ104" s="366"/>
      <c r="BA104" s="365"/>
      <c r="BB104" s="224"/>
      <c r="BC104" s="224"/>
      <c r="BD104" s="367"/>
    </row>
    <row r="105" spans="2:57" ht="12" customHeight="1" x14ac:dyDescent="0.25">
      <c r="B105" s="6"/>
      <c r="C105" s="379" t="s">
        <v>252</v>
      </c>
      <c r="D105" s="358" t="s">
        <v>192</v>
      </c>
      <c r="E105" s="365"/>
      <c r="F105" s="224"/>
      <c r="G105" s="224"/>
      <c r="H105" s="366"/>
      <c r="I105" s="365"/>
      <c r="J105" s="224"/>
      <c r="K105" s="224"/>
      <c r="L105" s="224"/>
      <c r="M105" s="366"/>
      <c r="N105" s="365"/>
      <c r="O105" s="224"/>
      <c r="P105" s="224"/>
      <c r="Q105" s="366"/>
      <c r="R105" s="365"/>
      <c r="S105" s="224"/>
      <c r="T105" s="224"/>
      <c r="U105" s="366"/>
      <c r="V105" s="365"/>
      <c r="W105" s="224"/>
      <c r="X105" s="224"/>
      <c r="Y105" s="366"/>
      <c r="Z105" s="365"/>
      <c r="AA105" s="224"/>
      <c r="AB105" s="224"/>
      <c r="AC105" s="224"/>
      <c r="AD105" s="366"/>
      <c r="AE105" s="365"/>
      <c r="AF105" s="224"/>
      <c r="AG105" s="224"/>
      <c r="AH105" s="366"/>
      <c r="AI105" s="365"/>
      <c r="AJ105" s="224"/>
      <c r="AK105" s="224"/>
      <c r="AL105" s="224"/>
      <c r="AM105" s="366"/>
      <c r="AN105" s="365"/>
      <c r="AO105" s="224"/>
      <c r="AP105" s="224"/>
      <c r="AQ105" s="366"/>
      <c r="AR105" s="365"/>
      <c r="AS105" s="224"/>
      <c r="AT105" s="224"/>
      <c r="AU105" s="366"/>
      <c r="AV105" s="365"/>
      <c r="AW105" s="224"/>
      <c r="AX105" s="224"/>
      <c r="AY105" s="224"/>
      <c r="AZ105" s="366"/>
      <c r="BA105" s="365"/>
      <c r="BB105" s="224"/>
      <c r="BC105" s="224"/>
      <c r="BD105" s="367"/>
    </row>
    <row r="106" spans="2:57" ht="12" customHeight="1" x14ac:dyDescent="0.25">
      <c r="B106" s="6"/>
      <c r="C106" s="379" t="s">
        <v>253</v>
      </c>
      <c r="D106" s="358" t="s">
        <v>192</v>
      </c>
      <c r="E106" s="365"/>
      <c r="F106" s="224"/>
      <c r="G106" s="224"/>
      <c r="H106" s="366"/>
      <c r="I106" s="365"/>
      <c r="J106" s="224"/>
      <c r="K106" s="224"/>
      <c r="L106" s="224"/>
      <c r="M106" s="366"/>
      <c r="N106" s="365"/>
      <c r="O106" s="224"/>
      <c r="P106" s="224"/>
      <c r="Q106" s="366"/>
      <c r="R106" s="365"/>
      <c r="S106" s="224"/>
      <c r="T106" s="224"/>
      <c r="U106" s="366"/>
      <c r="V106" s="365"/>
      <c r="W106" s="224"/>
      <c r="X106" s="224"/>
      <c r="Y106" s="366"/>
      <c r="Z106" s="365"/>
      <c r="AA106" s="224"/>
      <c r="AB106" s="224"/>
      <c r="AC106" s="224"/>
      <c r="AD106" s="366"/>
      <c r="AE106" s="365"/>
      <c r="AF106" s="224"/>
      <c r="AG106" s="224"/>
      <c r="AH106" s="366"/>
      <c r="AI106" s="365"/>
      <c r="AJ106" s="224"/>
      <c r="AK106" s="224"/>
      <c r="AL106" s="224"/>
      <c r="AM106" s="366"/>
      <c r="AN106" s="365"/>
      <c r="AO106" s="224"/>
      <c r="AP106" s="224"/>
      <c r="AQ106" s="366"/>
      <c r="AR106" s="365"/>
      <c r="AS106" s="224"/>
      <c r="AT106" s="224"/>
      <c r="AU106" s="366"/>
      <c r="AV106" s="365"/>
      <c r="AW106" s="224"/>
      <c r="AX106" s="224"/>
      <c r="AY106" s="224"/>
      <c r="AZ106" s="366"/>
      <c r="BA106" s="365"/>
      <c r="BB106" s="224"/>
      <c r="BC106" s="224"/>
      <c r="BD106" s="367"/>
    </row>
    <row r="107" spans="2:57" ht="12" customHeight="1" x14ac:dyDescent="0.25">
      <c r="B107" s="6"/>
      <c r="C107" s="379" t="s">
        <v>222</v>
      </c>
      <c r="D107" s="358" t="s">
        <v>192</v>
      </c>
      <c r="E107" s="365"/>
      <c r="F107" s="224"/>
      <c r="G107" s="224"/>
      <c r="H107" s="366"/>
      <c r="I107" s="365"/>
      <c r="J107" s="224"/>
      <c r="K107" s="224"/>
      <c r="L107" s="224"/>
      <c r="M107" s="366"/>
      <c r="N107" s="365"/>
      <c r="O107" s="224"/>
      <c r="P107" s="224"/>
      <c r="Q107" s="366"/>
      <c r="R107" s="365"/>
      <c r="S107" s="224"/>
      <c r="T107" s="224"/>
      <c r="U107" s="366"/>
      <c r="V107" s="365"/>
      <c r="W107" s="224"/>
      <c r="X107" s="224"/>
      <c r="Y107" s="366"/>
      <c r="Z107" s="365"/>
      <c r="AA107" s="224"/>
      <c r="AB107" s="224"/>
      <c r="AC107" s="224"/>
      <c r="AD107" s="366"/>
      <c r="AE107" s="365"/>
      <c r="AF107" s="224"/>
      <c r="AG107" s="224"/>
      <c r="AH107" s="366"/>
      <c r="AI107" s="365"/>
      <c r="AJ107" s="224"/>
      <c r="AK107" s="224"/>
      <c r="AL107" s="224"/>
      <c r="AM107" s="366"/>
      <c r="AN107" s="365"/>
      <c r="AO107" s="224"/>
      <c r="AP107" s="224"/>
      <c r="AQ107" s="366"/>
      <c r="AR107" s="365"/>
      <c r="AS107" s="224"/>
      <c r="AT107" s="224"/>
      <c r="AU107" s="366"/>
      <c r="AV107" s="365"/>
      <c r="AW107" s="224"/>
      <c r="AX107" s="224"/>
      <c r="AY107" s="224"/>
      <c r="AZ107" s="366"/>
      <c r="BA107" s="365"/>
      <c r="BB107" s="224"/>
      <c r="BC107" s="224"/>
      <c r="BD107" s="367"/>
    </row>
    <row r="108" spans="2:57" ht="12" customHeight="1" x14ac:dyDescent="0.25">
      <c r="B108" s="6"/>
      <c r="C108" s="375" t="s">
        <v>223</v>
      </c>
      <c r="D108" s="358" t="s">
        <v>189</v>
      </c>
      <c r="E108" s="110"/>
      <c r="F108" s="111"/>
      <c r="G108" s="111"/>
      <c r="H108" s="187"/>
      <c r="I108" s="110"/>
      <c r="J108" s="111"/>
      <c r="K108" s="111"/>
      <c r="L108" s="111"/>
      <c r="M108" s="187"/>
      <c r="N108" s="110"/>
      <c r="O108" s="111"/>
      <c r="P108" s="111"/>
      <c r="Q108" s="187"/>
      <c r="R108" s="110"/>
      <c r="S108" s="111"/>
      <c r="T108" s="111"/>
      <c r="U108" s="187"/>
      <c r="V108" s="110"/>
      <c r="W108" s="111"/>
      <c r="X108" s="111"/>
      <c r="Y108" s="187"/>
      <c r="Z108" s="110"/>
      <c r="AA108" s="111"/>
      <c r="AB108" s="111"/>
      <c r="AC108" s="111"/>
      <c r="AD108" s="187"/>
      <c r="AE108" s="110"/>
      <c r="AF108" s="111"/>
      <c r="AG108" s="111"/>
      <c r="AH108" s="187"/>
      <c r="AI108" s="110"/>
      <c r="AJ108" s="111"/>
      <c r="AK108" s="111"/>
      <c r="AL108" s="111"/>
      <c r="AM108" s="187"/>
      <c r="AN108" s="110"/>
      <c r="AO108" s="111"/>
      <c r="AP108" s="111"/>
      <c r="AQ108" s="187"/>
      <c r="AR108" s="110"/>
      <c r="AS108" s="111"/>
      <c r="AT108" s="111"/>
      <c r="AU108" s="187"/>
      <c r="AV108" s="110"/>
      <c r="AW108" s="111"/>
      <c r="AX108" s="111"/>
      <c r="AY108" s="111"/>
      <c r="AZ108" s="187"/>
      <c r="BA108" s="110"/>
      <c r="BB108" s="111"/>
      <c r="BC108" s="111"/>
      <c r="BD108" s="112"/>
      <c r="BE108" s="289">
        <f t="shared" si="5"/>
        <v>0</v>
      </c>
    </row>
    <row r="109" spans="2:57" ht="12" customHeight="1" x14ac:dyDescent="0.25">
      <c r="B109" s="6"/>
      <c r="C109" s="379" t="s">
        <v>224</v>
      </c>
      <c r="D109" s="358" t="s">
        <v>192</v>
      </c>
      <c r="E109" s="110"/>
      <c r="F109" s="111"/>
      <c r="G109" s="111"/>
      <c r="H109" s="187"/>
      <c r="I109" s="110"/>
      <c r="J109" s="111"/>
      <c r="K109" s="111"/>
      <c r="L109" s="111"/>
      <c r="M109" s="187"/>
      <c r="N109" s="110"/>
      <c r="O109" s="111"/>
      <c r="P109" s="111"/>
      <c r="Q109" s="187"/>
      <c r="R109" s="110"/>
      <c r="S109" s="111"/>
      <c r="T109" s="111"/>
      <c r="U109" s="187"/>
      <c r="V109" s="110"/>
      <c r="W109" s="111"/>
      <c r="X109" s="111"/>
      <c r="Y109" s="187"/>
      <c r="Z109" s="110"/>
      <c r="AA109" s="111"/>
      <c r="AB109" s="111"/>
      <c r="AC109" s="111"/>
      <c r="AD109" s="187"/>
      <c r="AE109" s="110"/>
      <c r="AF109" s="111"/>
      <c r="AG109" s="111"/>
      <c r="AH109" s="187"/>
      <c r="AI109" s="110"/>
      <c r="AJ109" s="111"/>
      <c r="AK109" s="111"/>
      <c r="AL109" s="111"/>
      <c r="AM109" s="187"/>
      <c r="AN109" s="110"/>
      <c r="AO109" s="111"/>
      <c r="AP109" s="111"/>
      <c r="AQ109" s="187"/>
      <c r="AR109" s="110"/>
      <c r="AS109" s="111"/>
      <c r="AT109" s="111"/>
      <c r="AU109" s="187"/>
      <c r="AV109" s="110"/>
      <c r="AW109" s="111"/>
      <c r="AX109" s="111"/>
      <c r="AY109" s="111"/>
      <c r="AZ109" s="187"/>
      <c r="BA109" s="110"/>
      <c r="BB109" s="111"/>
      <c r="BC109" s="111"/>
      <c r="BD109" s="112"/>
      <c r="BE109" s="289">
        <f t="shared" si="5"/>
        <v>0</v>
      </c>
    </row>
    <row r="110" spans="2:57" ht="12" customHeight="1" x14ac:dyDescent="0.25">
      <c r="B110" s="6"/>
      <c r="C110" s="375"/>
      <c r="E110" s="110"/>
      <c r="F110" s="111"/>
      <c r="G110" s="111"/>
      <c r="H110" s="187"/>
      <c r="I110" s="110"/>
      <c r="J110" s="111"/>
      <c r="K110" s="111"/>
      <c r="L110" s="111"/>
      <c r="M110" s="187"/>
      <c r="N110" s="110"/>
      <c r="O110" s="111"/>
      <c r="P110" s="111"/>
      <c r="Q110" s="187"/>
      <c r="R110" s="110"/>
      <c r="S110" s="111"/>
      <c r="T110" s="111"/>
      <c r="U110" s="187"/>
      <c r="V110" s="110"/>
      <c r="W110" s="111"/>
      <c r="X110" s="111"/>
      <c r="Y110" s="187"/>
      <c r="Z110" s="110"/>
      <c r="AA110" s="111"/>
      <c r="AB110" s="111"/>
      <c r="AC110" s="111"/>
      <c r="AD110" s="187"/>
      <c r="AE110" s="110"/>
      <c r="AF110" s="111"/>
      <c r="AG110" s="111"/>
      <c r="AH110" s="187"/>
      <c r="AI110" s="110"/>
      <c r="AJ110" s="111"/>
      <c r="AK110" s="111"/>
      <c r="AL110" s="111"/>
      <c r="AM110" s="187"/>
      <c r="AN110" s="110"/>
      <c r="AO110" s="111"/>
      <c r="AP110" s="111"/>
      <c r="AQ110" s="187"/>
      <c r="AR110" s="110"/>
      <c r="AS110" s="111"/>
      <c r="AT110" s="111"/>
      <c r="AU110" s="187"/>
      <c r="AV110" s="110"/>
      <c r="AW110" s="111"/>
      <c r="AX110" s="111"/>
      <c r="AY110" s="111"/>
      <c r="AZ110" s="187"/>
      <c r="BA110" s="110"/>
      <c r="BB110" s="111"/>
      <c r="BC110" s="111"/>
      <c r="BD110" s="112"/>
      <c r="BE110" s="289">
        <f t="shared" si="5"/>
        <v>0</v>
      </c>
    </row>
    <row r="111" spans="2:57" ht="15" hidden="1" customHeight="1" x14ac:dyDescent="0.25">
      <c r="B111" s="16" t="s">
        <v>43</v>
      </c>
      <c r="C111" s="392"/>
      <c r="E111" s="110"/>
      <c r="F111" s="111"/>
      <c r="G111" s="111"/>
      <c r="H111" s="187"/>
      <c r="I111" s="110"/>
      <c r="J111" s="111"/>
      <c r="K111" s="111"/>
      <c r="L111" s="111"/>
      <c r="M111" s="187"/>
      <c r="N111" s="110"/>
      <c r="O111" s="111"/>
      <c r="P111" s="111"/>
      <c r="Q111" s="187"/>
      <c r="R111" s="110"/>
      <c r="S111" s="111"/>
      <c r="T111" s="111"/>
      <c r="U111" s="187"/>
      <c r="V111" s="110"/>
      <c r="W111" s="111"/>
      <c r="X111" s="111"/>
      <c r="Y111" s="187"/>
      <c r="Z111" s="110"/>
      <c r="AA111" s="111"/>
      <c r="AB111" s="111"/>
      <c r="AC111" s="111"/>
      <c r="AD111" s="187"/>
      <c r="AE111" s="110"/>
      <c r="AF111" s="111"/>
      <c r="AG111" s="111"/>
      <c r="AH111" s="187"/>
      <c r="AI111" s="110"/>
      <c r="AJ111" s="111"/>
      <c r="AK111" s="111"/>
      <c r="AL111" s="111"/>
      <c r="AM111" s="187"/>
      <c r="AN111" s="110"/>
      <c r="AO111" s="111"/>
      <c r="AP111" s="111"/>
      <c r="AQ111" s="187"/>
      <c r="AR111" s="110"/>
      <c r="AS111" s="111"/>
      <c r="AT111" s="111"/>
      <c r="AU111" s="187"/>
      <c r="AV111" s="110"/>
      <c r="AW111" s="111"/>
      <c r="AX111" s="111"/>
      <c r="AY111" s="111"/>
      <c r="AZ111" s="187"/>
      <c r="BA111" s="110"/>
      <c r="BB111" s="111"/>
      <c r="BC111" s="111"/>
      <c r="BD111" s="112"/>
      <c r="BE111" s="289">
        <f t="shared" si="5"/>
        <v>0</v>
      </c>
    </row>
    <row r="112" spans="2:57" ht="12" customHeight="1" x14ac:dyDescent="0.25">
      <c r="B112" s="6"/>
      <c r="C112" s="378"/>
      <c r="E112" s="110"/>
      <c r="F112" s="111"/>
      <c r="G112" s="111"/>
      <c r="H112" s="187"/>
      <c r="I112" s="110"/>
      <c r="J112" s="111"/>
      <c r="K112" s="111"/>
      <c r="L112" s="111"/>
      <c r="M112" s="187"/>
      <c r="N112" s="110"/>
      <c r="O112" s="111"/>
      <c r="P112" s="111"/>
      <c r="Q112" s="187"/>
      <c r="R112" s="110"/>
      <c r="S112" s="111"/>
      <c r="T112" s="111"/>
      <c r="U112" s="187"/>
      <c r="V112" s="110"/>
      <c r="W112" s="111"/>
      <c r="X112" s="111"/>
      <c r="Y112" s="187"/>
      <c r="Z112" s="110"/>
      <c r="AA112" s="111"/>
      <c r="AB112" s="111"/>
      <c r="AC112" s="111"/>
      <c r="AD112" s="187"/>
      <c r="AE112" s="110"/>
      <c r="AF112" s="111"/>
      <c r="AG112" s="111"/>
      <c r="AH112" s="187"/>
      <c r="AI112" s="110"/>
      <c r="AJ112" s="111"/>
      <c r="AK112" s="111"/>
      <c r="AL112" s="111"/>
      <c r="AM112" s="187"/>
      <c r="AN112" s="110"/>
      <c r="AO112" s="111"/>
      <c r="AP112" s="111"/>
      <c r="AQ112" s="187"/>
      <c r="AR112" s="110"/>
      <c r="AS112" s="111"/>
      <c r="AT112" s="111"/>
      <c r="AU112" s="187"/>
      <c r="AV112" s="110"/>
      <c r="AW112" s="111"/>
      <c r="AX112" s="111"/>
      <c r="AY112" s="111"/>
      <c r="AZ112" s="187"/>
      <c r="BA112" s="110"/>
      <c r="BB112" s="111"/>
      <c r="BC112" s="111"/>
      <c r="BD112" s="112"/>
      <c r="BE112" s="289">
        <f t="shared" si="5"/>
        <v>0</v>
      </c>
    </row>
    <row r="113" spans="2:57" ht="12" hidden="1" customHeight="1" x14ac:dyDescent="0.25">
      <c r="B113" s="16" t="s">
        <v>42</v>
      </c>
      <c r="C113" s="392"/>
      <c r="E113" s="110"/>
      <c r="F113" s="111"/>
      <c r="G113" s="111"/>
      <c r="H113" s="187"/>
      <c r="I113" s="110"/>
      <c r="J113" s="111"/>
      <c r="K113" s="111"/>
      <c r="L113" s="111"/>
      <c r="M113" s="187"/>
      <c r="N113" s="110"/>
      <c r="O113" s="111"/>
      <c r="P113" s="111"/>
      <c r="Q113" s="187"/>
      <c r="R113" s="110"/>
      <c r="S113" s="111"/>
      <c r="T113" s="111"/>
      <c r="U113" s="187"/>
      <c r="V113" s="110"/>
      <c r="W113" s="111"/>
      <c r="X113" s="111"/>
      <c r="Y113" s="187"/>
      <c r="Z113" s="110"/>
      <c r="AA113" s="111"/>
      <c r="AB113" s="111"/>
      <c r="AC113" s="111"/>
      <c r="AD113" s="187"/>
      <c r="AE113" s="110"/>
      <c r="AF113" s="111"/>
      <c r="AG113" s="111"/>
      <c r="AH113" s="187"/>
      <c r="AI113" s="110"/>
      <c r="AJ113" s="111"/>
      <c r="AK113" s="111"/>
      <c r="AL113" s="111"/>
      <c r="AM113" s="187"/>
      <c r="AN113" s="110"/>
      <c r="AO113" s="111"/>
      <c r="AP113" s="111"/>
      <c r="AQ113" s="187"/>
      <c r="AR113" s="110"/>
      <c r="AS113" s="111"/>
      <c r="AT113" s="111"/>
      <c r="AU113" s="187"/>
      <c r="AV113" s="110"/>
      <c r="AW113" s="111"/>
      <c r="AX113" s="111"/>
      <c r="AY113" s="111"/>
      <c r="AZ113" s="187"/>
      <c r="BA113" s="110"/>
      <c r="BB113" s="111"/>
      <c r="BC113" s="111"/>
      <c r="BD113" s="112"/>
      <c r="BE113" s="289">
        <f t="shared" si="5"/>
        <v>0</v>
      </c>
    </row>
    <row r="114" spans="2:57" ht="12" customHeight="1" x14ac:dyDescent="0.25">
      <c r="B114" s="6"/>
      <c r="C114" s="379"/>
      <c r="E114" s="110"/>
      <c r="F114" s="111"/>
      <c r="G114" s="111"/>
      <c r="H114" s="187"/>
      <c r="I114" s="110"/>
      <c r="J114" s="111"/>
      <c r="K114" s="111"/>
      <c r="L114" s="111"/>
      <c r="M114" s="187"/>
      <c r="N114" s="110"/>
      <c r="O114" s="111"/>
      <c r="P114" s="111"/>
      <c r="Q114" s="187"/>
      <c r="R114" s="110"/>
      <c r="S114" s="111"/>
      <c r="T114" s="111"/>
      <c r="U114" s="187"/>
      <c r="V114" s="110"/>
      <c r="W114" s="111"/>
      <c r="X114" s="111"/>
      <c r="Y114" s="187"/>
      <c r="Z114" s="110"/>
      <c r="AA114" s="111"/>
      <c r="AB114" s="111"/>
      <c r="AC114" s="111"/>
      <c r="AD114" s="187"/>
      <c r="AE114" s="110"/>
      <c r="AF114" s="111"/>
      <c r="AG114" s="111"/>
      <c r="AH114" s="187"/>
      <c r="AI114" s="110"/>
      <c r="AJ114" s="111"/>
      <c r="AK114" s="111"/>
      <c r="AL114" s="111"/>
      <c r="AM114" s="187"/>
      <c r="AN114" s="110"/>
      <c r="AO114" s="111"/>
      <c r="AP114" s="111"/>
      <c r="AQ114" s="187"/>
      <c r="AR114" s="110"/>
      <c r="AS114" s="111"/>
      <c r="AT114" s="111"/>
      <c r="AU114" s="187"/>
      <c r="AV114" s="110"/>
      <c r="AW114" s="111"/>
      <c r="AX114" s="111"/>
      <c r="AY114" s="111"/>
      <c r="AZ114" s="187"/>
      <c r="BA114" s="110"/>
      <c r="BB114" s="111"/>
      <c r="BC114" s="111"/>
      <c r="BD114" s="112"/>
      <c r="BE114" s="289">
        <f t="shared" si="5"/>
        <v>0</v>
      </c>
    </row>
    <row r="115" spans="2:57" ht="12" customHeight="1" thickBot="1" x14ac:dyDescent="0.3">
      <c r="B115" s="3"/>
      <c r="C115" s="390"/>
      <c r="E115" s="147"/>
      <c r="F115" s="148"/>
      <c r="G115" s="148"/>
      <c r="H115" s="193"/>
      <c r="I115" s="147"/>
      <c r="J115" s="148"/>
      <c r="K115" s="148"/>
      <c r="L115" s="148"/>
      <c r="M115" s="193"/>
      <c r="N115" s="147"/>
      <c r="O115" s="148"/>
      <c r="P115" s="148"/>
      <c r="Q115" s="193"/>
      <c r="R115" s="147"/>
      <c r="S115" s="148"/>
      <c r="T115" s="148"/>
      <c r="U115" s="193"/>
      <c r="V115" s="147"/>
      <c r="W115" s="148"/>
      <c r="X115" s="148"/>
      <c r="Y115" s="193"/>
      <c r="Z115" s="147"/>
      <c r="AA115" s="148"/>
      <c r="AB115" s="148"/>
      <c r="AC115" s="148"/>
      <c r="AD115" s="193"/>
      <c r="AE115" s="147"/>
      <c r="AF115" s="148"/>
      <c r="AG115" s="148"/>
      <c r="AH115" s="193"/>
      <c r="AI115" s="147"/>
      <c r="AJ115" s="148"/>
      <c r="AK115" s="148"/>
      <c r="AL115" s="148"/>
      <c r="AM115" s="193"/>
      <c r="AN115" s="147"/>
      <c r="AO115" s="148"/>
      <c r="AP115" s="148"/>
      <c r="AQ115" s="193"/>
      <c r="AR115" s="147"/>
      <c r="AS115" s="148"/>
      <c r="AT115" s="148"/>
      <c r="AU115" s="193"/>
      <c r="AV115" s="147"/>
      <c r="AW115" s="148"/>
      <c r="AX115" s="148"/>
      <c r="AY115" s="148"/>
      <c r="AZ115" s="193"/>
      <c r="BA115" s="147"/>
      <c r="BB115" s="148"/>
      <c r="BC115" s="148"/>
      <c r="BD115" s="149"/>
      <c r="BE115" s="289">
        <f t="shared" si="5"/>
        <v>0</v>
      </c>
    </row>
    <row r="116" spans="2:57" ht="16.5" thickBot="1" x14ac:dyDescent="0.3">
      <c r="B116" s="8"/>
      <c r="C116" s="393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</row>
    <row r="117" spans="2:57" ht="12" hidden="1" customHeight="1" thickBot="1" x14ac:dyDescent="0.3">
      <c r="B117" s="8"/>
      <c r="E117" s="428" t="s">
        <v>15</v>
      </c>
      <c r="F117" s="429"/>
      <c r="G117" s="429"/>
      <c r="H117" s="429"/>
      <c r="I117" s="430"/>
      <c r="J117" s="428" t="s">
        <v>14</v>
      </c>
      <c r="K117" s="429"/>
      <c r="L117" s="429"/>
      <c r="M117" s="430"/>
      <c r="N117" s="425" t="s">
        <v>13</v>
      </c>
      <c r="O117" s="426"/>
      <c r="P117" s="426"/>
      <c r="Q117" s="427"/>
      <c r="R117" s="425" t="s">
        <v>12</v>
      </c>
      <c r="S117" s="426"/>
      <c r="T117" s="426"/>
      <c r="U117" s="426"/>
      <c r="V117" s="427"/>
      <c r="W117" s="425" t="s">
        <v>11</v>
      </c>
      <c r="X117" s="426"/>
      <c r="Y117" s="426"/>
      <c r="Z117" s="427"/>
      <c r="AA117" s="428" t="s">
        <v>10</v>
      </c>
      <c r="AB117" s="429"/>
      <c r="AC117" s="429"/>
      <c r="AD117" s="430"/>
      <c r="AE117" s="425" t="s">
        <v>9</v>
      </c>
      <c r="AF117" s="426"/>
      <c r="AG117" s="426"/>
      <c r="AH117" s="426"/>
      <c r="AI117" s="427"/>
      <c r="AJ117" s="425" t="s">
        <v>8</v>
      </c>
      <c r="AK117" s="426"/>
      <c r="AL117" s="426"/>
      <c r="AM117" s="427"/>
      <c r="AN117" s="428" t="s">
        <v>7</v>
      </c>
      <c r="AO117" s="429"/>
      <c r="AP117" s="429"/>
      <c r="AQ117" s="429"/>
      <c r="AR117" s="430"/>
      <c r="AS117" s="425" t="s">
        <v>6</v>
      </c>
      <c r="AT117" s="426"/>
      <c r="AU117" s="426"/>
      <c r="AV117" s="427"/>
      <c r="AW117" s="425" t="s">
        <v>5</v>
      </c>
      <c r="AX117" s="426"/>
      <c r="AY117" s="426"/>
      <c r="AZ117" s="427"/>
      <c r="BA117" s="428" t="s">
        <v>4</v>
      </c>
      <c r="BB117" s="429"/>
      <c r="BC117" s="429"/>
      <c r="BD117" s="429"/>
    </row>
    <row r="118" spans="2:57" ht="12" customHeight="1" thickBot="1" x14ac:dyDescent="0.3">
      <c r="B118" s="4"/>
      <c r="C118" s="372" t="s">
        <v>176</v>
      </c>
      <c r="E118" s="80">
        <v>1</v>
      </c>
      <c r="F118" s="81">
        <v>2</v>
      </c>
      <c r="G118" s="81">
        <v>3</v>
      </c>
      <c r="H118" s="81">
        <v>4</v>
      </c>
      <c r="I118" s="81">
        <v>5</v>
      </c>
      <c r="J118" s="81">
        <v>6</v>
      </c>
      <c r="K118" s="81">
        <v>7</v>
      </c>
      <c r="L118" s="81">
        <v>8</v>
      </c>
      <c r="M118" s="81">
        <v>9</v>
      </c>
      <c r="N118" s="81">
        <v>10</v>
      </c>
      <c r="O118" s="81">
        <v>11</v>
      </c>
      <c r="P118" s="81">
        <v>12</v>
      </c>
      <c r="Q118" s="81">
        <v>13</v>
      </c>
      <c r="R118" s="81">
        <v>14</v>
      </c>
      <c r="S118" s="81">
        <v>15</v>
      </c>
      <c r="T118" s="81">
        <v>16</v>
      </c>
      <c r="U118" s="81">
        <v>17</v>
      </c>
      <c r="V118" s="81">
        <v>18</v>
      </c>
      <c r="W118" s="81">
        <v>19</v>
      </c>
      <c r="X118" s="81">
        <v>20</v>
      </c>
      <c r="Y118" s="81">
        <v>21</v>
      </c>
      <c r="Z118" s="81">
        <v>22</v>
      </c>
      <c r="AA118" s="81">
        <v>23</v>
      </c>
      <c r="AB118" s="81">
        <v>24</v>
      </c>
      <c r="AC118" s="81">
        <v>25</v>
      </c>
      <c r="AD118" s="81">
        <v>26</v>
      </c>
      <c r="AE118" s="81">
        <v>27</v>
      </c>
      <c r="AF118" s="81">
        <v>28</v>
      </c>
      <c r="AG118" s="81">
        <v>29</v>
      </c>
      <c r="AH118" s="81">
        <v>30</v>
      </c>
      <c r="AI118" s="81">
        <v>31</v>
      </c>
      <c r="AJ118" s="81">
        <v>32</v>
      </c>
      <c r="AK118" s="81">
        <v>33</v>
      </c>
      <c r="AL118" s="81">
        <v>34</v>
      </c>
      <c r="AM118" s="81">
        <v>35</v>
      </c>
      <c r="AN118" s="81">
        <v>36</v>
      </c>
      <c r="AO118" s="81">
        <v>37</v>
      </c>
      <c r="AP118" s="81">
        <v>38</v>
      </c>
      <c r="AQ118" s="81">
        <v>39</v>
      </c>
      <c r="AR118" s="81">
        <v>40</v>
      </c>
      <c r="AS118" s="81">
        <v>41</v>
      </c>
      <c r="AT118" s="81">
        <v>42</v>
      </c>
      <c r="AU118" s="81">
        <v>43</v>
      </c>
      <c r="AV118" s="81">
        <v>44</v>
      </c>
      <c r="AW118" s="81">
        <v>45</v>
      </c>
      <c r="AX118" s="81">
        <v>46</v>
      </c>
      <c r="AY118" s="81">
        <v>47</v>
      </c>
      <c r="AZ118" s="81">
        <v>48</v>
      </c>
      <c r="BA118" s="81">
        <v>49</v>
      </c>
      <c r="BB118" s="81">
        <v>50</v>
      </c>
      <c r="BC118" s="81">
        <v>51</v>
      </c>
      <c r="BD118" s="81">
        <v>52</v>
      </c>
    </row>
    <row r="119" spans="2:57" ht="12" hidden="1" customHeight="1" x14ac:dyDescent="0.25">
      <c r="B119" s="55" t="s">
        <v>40</v>
      </c>
      <c r="C119" s="394"/>
      <c r="E119" s="70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289">
        <f t="shared" si="5"/>
        <v>0</v>
      </c>
    </row>
    <row r="120" spans="2:57" ht="12" customHeight="1" x14ac:dyDescent="0.25">
      <c r="B120" s="6"/>
      <c r="C120" s="378" t="s">
        <v>232</v>
      </c>
      <c r="D120" s="358" t="s">
        <v>190</v>
      </c>
      <c r="E120" s="110"/>
      <c r="F120" s="111"/>
      <c r="G120" s="111"/>
      <c r="H120" s="187"/>
      <c r="I120" s="110"/>
      <c r="J120" s="111"/>
      <c r="K120" s="111"/>
      <c r="L120" s="111"/>
      <c r="M120" s="112"/>
      <c r="N120" s="113"/>
      <c r="O120" s="111"/>
      <c r="P120" s="111"/>
      <c r="Q120" s="187"/>
      <c r="R120" s="110"/>
      <c r="S120" s="111"/>
      <c r="T120" s="111"/>
      <c r="U120" s="187"/>
      <c r="V120" s="110"/>
      <c r="W120" s="111"/>
      <c r="X120" s="111"/>
      <c r="Y120" s="187"/>
      <c r="Z120" s="110"/>
      <c r="AA120" s="111"/>
      <c r="AB120" s="111"/>
      <c r="AC120" s="111"/>
      <c r="AD120" s="112"/>
      <c r="AE120" s="110"/>
      <c r="AF120" s="111"/>
      <c r="AG120" s="111"/>
      <c r="AH120" s="187"/>
      <c r="AI120" s="110"/>
      <c r="AJ120" s="111"/>
      <c r="AK120" s="111"/>
      <c r="AL120" s="111"/>
      <c r="AM120" s="112"/>
      <c r="AN120" s="110"/>
      <c r="AO120" s="111"/>
      <c r="AP120" s="111"/>
      <c r="AQ120" s="187"/>
      <c r="AR120" s="110"/>
      <c r="AS120" s="111"/>
      <c r="AT120" s="111"/>
      <c r="AU120" s="187"/>
      <c r="AV120" s="110"/>
      <c r="AW120" s="111"/>
      <c r="AX120" s="111"/>
      <c r="AY120" s="111"/>
      <c r="AZ120" s="112"/>
      <c r="BA120" s="113"/>
      <c r="BB120" s="111"/>
      <c r="BC120" s="111"/>
      <c r="BD120" s="111"/>
      <c r="BE120" s="289">
        <f t="shared" si="5"/>
        <v>0</v>
      </c>
    </row>
    <row r="121" spans="2:57" ht="12" customHeight="1" x14ac:dyDescent="0.25">
      <c r="B121" s="6"/>
      <c r="C121" s="379" t="s">
        <v>225</v>
      </c>
      <c r="D121" s="358" t="s">
        <v>192</v>
      </c>
      <c r="E121" s="110"/>
      <c r="F121" s="111"/>
      <c r="G121" s="111"/>
      <c r="H121" s="187"/>
      <c r="I121" s="110"/>
      <c r="J121" s="111"/>
      <c r="K121" s="111"/>
      <c r="L121" s="111"/>
      <c r="M121" s="112"/>
      <c r="N121" s="113"/>
      <c r="O121" s="111"/>
      <c r="P121" s="111"/>
      <c r="Q121" s="187"/>
      <c r="R121" s="110"/>
      <c r="S121" s="111"/>
      <c r="T121" s="111"/>
      <c r="U121" s="187"/>
      <c r="V121" s="110"/>
      <c r="W121" s="111"/>
      <c r="X121" s="111"/>
      <c r="Y121" s="187"/>
      <c r="Z121" s="110"/>
      <c r="AA121" s="111"/>
      <c r="AB121" s="111"/>
      <c r="AC121" s="111"/>
      <c r="AD121" s="112"/>
      <c r="AE121" s="110"/>
      <c r="AF121" s="111"/>
      <c r="AG121" s="111"/>
      <c r="AH121" s="187"/>
      <c r="AI121" s="110"/>
      <c r="AJ121" s="111"/>
      <c r="AK121" s="111"/>
      <c r="AL121" s="111"/>
      <c r="AM121" s="112"/>
      <c r="AN121" s="110"/>
      <c r="AO121" s="111"/>
      <c r="AP121" s="111"/>
      <c r="AQ121" s="187"/>
      <c r="AR121" s="110"/>
      <c r="AS121" s="111"/>
      <c r="AT121" s="111"/>
      <c r="AU121" s="187"/>
      <c r="AV121" s="110"/>
      <c r="AW121" s="111"/>
      <c r="AX121" s="111"/>
      <c r="AY121" s="111"/>
      <c r="AZ121" s="112"/>
      <c r="BA121" s="113"/>
      <c r="BB121" s="111"/>
      <c r="BC121" s="111"/>
      <c r="BD121" s="111"/>
    </row>
    <row r="122" spans="2:57" ht="12" customHeight="1" x14ac:dyDescent="0.25">
      <c r="B122" s="6"/>
      <c r="C122" s="379" t="s">
        <v>226</v>
      </c>
      <c r="D122" s="358" t="s">
        <v>192</v>
      </c>
      <c r="E122" s="110"/>
      <c r="F122" s="111"/>
      <c r="G122" s="111"/>
      <c r="H122" s="187"/>
      <c r="I122" s="110"/>
      <c r="J122" s="111"/>
      <c r="K122" s="111"/>
      <c r="L122" s="111"/>
      <c r="M122" s="112"/>
      <c r="N122" s="113"/>
      <c r="O122" s="111"/>
      <c r="P122" s="111"/>
      <c r="Q122" s="187"/>
      <c r="R122" s="110"/>
      <c r="S122" s="111"/>
      <c r="T122" s="111"/>
      <c r="U122" s="187"/>
      <c r="V122" s="110"/>
      <c r="W122" s="111"/>
      <c r="X122" s="111"/>
      <c r="Y122" s="187"/>
      <c r="Z122" s="110"/>
      <c r="AA122" s="111"/>
      <c r="AB122" s="111"/>
      <c r="AC122" s="111"/>
      <c r="AD122" s="112"/>
      <c r="AE122" s="110"/>
      <c r="AF122" s="111"/>
      <c r="AG122" s="111"/>
      <c r="AH122" s="187"/>
      <c r="AI122" s="110"/>
      <c r="AJ122" s="111"/>
      <c r="AK122" s="111"/>
      <c r="AL122" s="111"/>
      <c r="AM122" s="112"/>
      <c r="AN122" s="110"/>
      <c r="AO122" s="111"/>
      <c r="AP122" s="111"/>
      <c r="AQ122" s="187"/>
      <c r="AR122" s="110"/>
      <c r="AS122" s="111"/>
      <c r="AT122" s="111"/>
      <c r="AU122" s="187"/>
      <c r="AV122" s="110"/>
      <c r="AW122" s="111"/>
      <c r="AX122" s="111"/>
      <c r="AY122" s="111"/>
      <c r="AZ122" s="112"/>
      <c r="BA122" s="113"/>
      <c r="BB122" s="111"/>
      <c r="BC122" s="111"/>
      <c r="BD122" s="111"/>
    </row>
    <row r="123" spans="2:57" ht="12" customHeight="1" x14ac:dyDescent="0.25">
      <c r="B123" s="6"/>
      <c r="C123" s="379" t="s">
        <v>227</v>
      </c>
      <c r="D123" s="358" t="s">
        <v>192</v>
      </c>
      <c r="E123" s="110"/>
      <c r="F123" s="111"/>
      <c r="G123" s="111"/>
      <c r="H123" s="187"/>
      <c r="I123" s="110"/>
      <c r="J123" s="111"/>
      <c r="K123" s="111"/>
      <c r="L123" s="111"/>
      <c r="M123" s="112"/>
      <c r="N123" s="113"/>
      <c r="O123" s="111"/>
      <c r="P123" s="111"/>
      <c r="Q123" s="187"/>
      <c r="R123" s="110"/>
      <c r="S123" s="111"/>
      <c r="T123" s="111"/>
      <c r="U123" s="187"/>
      <c r="V123" s="110"/>
      <c r="W123" s="111"/>
      <c r="X123" s="111"/>
      <c r="Y123" s="187"/>
      <c r="Z123" s="110"/>
      <c r="AA123" s="111"/>
      <c r="AB123" s="111"/>
      <c r="AC123" s="111"/>
      <c r="AD123" s="112"/>
      <c r="AE123" s="110"/>
      <c r="AF123" s="111"/>
      <c r="AG123" s="111"/>
      <c r="AH123" s="187"/>
      <c r="AI123" s="110"/>
      <c r="AJ123" s="111"/>
      <c r="AK123" s="111"/>
      <c r="AL123" s="111"/>
      <c r="AM123" s="112"/>
      <c r="AN123" s="110"/>
      <c r="AO123" s="111"/>
      <c r="AP123" s="111"/>
      <c r="AQ123" s="187"/>
      <c r="AR123" s="110"/>
      <c r="AS123" s="111"/>
      <c r="AT123" s="111"/>
      <c r="AU123" s="187"/>
      <c r="AV123" s="110"/>
      <c r="AW123" s="111"/>
      <c r="AX123" s="111"/>
      <c r="AY123" s="111"/>
      <c r="AZ123" s="112"/>
      <c r="BA123" s="113"/>
      <c r="BB123" s="111"/>
      <c r="BC123" s="111"/>
      <c r="BD123" s="111"/>
    </row>
    <row r="124" spans="2:57" ht="12" customHeight="1" x14ac:dyDescent="0.25">
      <c r="B124" s="6"/>
      <c r="C124" s="379" t="s">
        <v>231</v>
      </c>
      <c r="D124" s="358" t="s">
        <v>191</v>
      </c>
      <c r="E124" s="110"/>
      <c r="F124" s="111"/>
      <c r="G124" s="111"/>
      <c r="H124" s="187"/>
      <c r="I124" s="110"/>
      <c r="J124" s="111"/>
      <c r="K124" s="111"/>
      <c r="L124" s="111"/>
      <c r="M124" s="112"/>
      <c r="N124" s="113"/>
      <c r="O124" s="111"/>
      <c r="P124" s="111"/>
      <c r="Q124" s="187"/>
      <c r="R124" s="110"/>
      <c r="S124" s="111"/>
      <c r="T124" s="111"/>
      <c r="U124" s="187"/>
      <c r="V124" s="110"/>
      <c r="W124" s="111"/>
      <c r="X124" s="111"/>
      <c r="Y124" s="187"/>
      <c r="Z124" s="110"/>
      <c r="AA124" s="111"/>
      <c r="AB124" s="111"/>
      <c r="AC124" s="111"/>
      <c r="AD124" s="112"/>
      <c r="AE124" s="110"/>
      <c r="AF124" s="111"/>
      <c r="AG124" s="111"/>
      <c r="AH124" s="187"/>
      <c r="AI124" s="110"/>
      <c r="AJ124" s="111"/>
      <c r="AK124" s="111"/>
      <c r="AL124" s="111"/>
      <c r="AM124" s="112"/>
      <c r="AN124" s="110"/>
      <c r="AO124" s="111"/>
      <c r="AP124" s="111"/>
      <c r="AQ124" s="187"/>
      <c r="AR124" s="110"/>
      <c r="AS124" s="111"/>
      <c r="AT124" s="111"/>
      <c r="AU124" s="187"/>
      <c r="AV124" s="110"/>
      <c r="AW124" s="111"/>
      <c r="AX124" s="111"/>
      <c r="AY124" s="111"/>
      <c r="AZ124" s="112"/>
      <c r="BA124" s="113"/>
      <c r="BB124" s="111"/>
      <c r="BC124" s="111"/>
      <c r="BD124" s="111"/>
    </row>
    <row r="125" spans="2:57" ht="12" customHeight="1" x14ac:dyDescent="0.25">
      <c r="B125" s="6"/>
      <c r="C125" s="379" t="s">
        <v>244</v>
      </c>
      <c r="D125" s="358" t="s">
        <v>191</v>
      </c>
      <c r="E125" s="110"/>
      <c r="F125" s="111"/>
      <c r="G125" s="111"/>
      <c r="H125" s="187"/>
      <c r="I125" s="110"/>
      <c r="J125" s="111"/>
      <c r="K125" s="111"/>
      <c r="L125" s="111"/>
      <c r="M125" s="112"/>
      <c r="N125" s="113"/>
      <c r="O125" s="111"/>
      <c r="P125" s="111"/>
      <c r="Q125" s="187"/>
      <c r="R125" s="110"/>
      <c r="S125" s="111"/>
      <c r="T125" s="111"/>
      <c r="U125" s="187"/>
      <c r="V125" s="110"/>
      <c r="W125" s="111"/>
      <c r="X125" s="111"/>
      <c r="Y125" s="187"/>
      <c r="Z125" s="110"/>
      <c r="AA125" s="111"/>
      <c r="AB125" s="111"/>
      <c r="AC125" s="111"/>
      <c r="AD125" s="112"/>
      <c r="AE125" s="110"/>
      <c r="AF125" s="111"/>
      <c r="AG125" s="111"/>
      <c r="AH125" s="187"/>
      <c r="AI125" s="110"/>
      <c r="AJ125" s="111"/>
      <c r="AK125" s="111"/>
      <c r="AL125" s="111"/>
      <c r="AM125" s="112"/>
      <c r="AN125" s="110"/>
      <c r="AO125" s="111"/>
      <c r="AP125" s="111"/>
      <c r="AQ125" s="187"/>
      <c r="AR125" s="110"/>
      <c r="AS125" s="111"/>
      <c r="AT125" s="111"/>
      <c r="AU125" s="187"/>
      <c r="AV125" s="110"/>
      <c r="AW125" s="111"/>
      <c r="AX125" s="111"/>
      <c r="AY125" s="111"/>
      <c r="AZ125" s="112"/>
      <c r="BA125" s="113"/>
      <c r="BB125" s="111"/>
      <c r="BC125" s="111"/>
      <c r="BD125" s="111"/>
    </row>
    <row r="126" spans="2:57" ht="12" customHeight="1" x14ac:dyDescent="0.25">
      <c r="B126" s="6"/>
      <c r="C126" s="379" t="s">
        <v>228</v>
      </c>
      <c r="D126" s="358" t="s">
        <v>190</v>
      </c>
      <c r="E126" s="110"/>
      <c r="F126" s="111"/>
      <c r="G126" s="111"/>
      <c r="H126" s="187"/>
      <c r="I126" s="110"/>
      <c r="J126" s="111"/>
      <c r="K126" s="111"/>
      <c r="L126" s="111"/>
      <c r="M126" s="112"/>
      <c r="N126" s="113"/>
      <c r="O126" s="111"/>
      <c r="P126" s="111"/>
      <c r="Q126" s="187"/>
      <c r="R126" s="110"/>
      <c r="S126" s="111"/>
      <c r="T126" s="111"/>
      <c r="U126" s="187"/>
      <c r="V126" s="110"/>
      <c r="W126" s="111"/>
      <c r="X126" s="111"/>
      <c r="Y126" s="187"/>
      <c r="Z126" s="110"/>
      <c r="AA126" s="111"/>
      <c r="AB126" s="111"/>
      <c r="AC126" s="111"/>
      <c r="AD126" s="112"/>
      <c r="AE126" s="110"/>
      <c r="AF126" s="111"/>
      <c r="AG126" s="111"/>
      <c r="AH126" s="187"/>
      <c r="AI126" s="110"/>
      <c r="AJ126" s="111"/>
      <c r="AK126" s="111"/>
      <c r="AL126" s="111"/>
      <c r="AM126" s="112"/>
      <c r="AN126" s="110"/>
      <c r="AO126" s="111"/>
      <c r="AP126" s="111"/>
      <c r="AQ126" s="187"/>
      <c r="AR126" s="110"/>
      <c r="AS126" s="111"/>
      <c r="AT126" s="111"/>
      <c r="AU126" s="187"/>
      <c r="AV126" s="110"/>
      <c r="AW126" s="111"/>
      <c r="AX126" s="111"/>
      <c r="AY126" s="111"/>
      <c r="AZ126" s="112"/>
      <c r="BA126" s="113"/>
      <c r="BB126" s="111"/>
      <c r="BC126" s="111"/>
      <c r="BD126" s="111"/>
      <c r="BE126" s="289">
        <f t="shared" si="5"/>
        <v>0</v>
      </c>
    </row>
    <row r="127" spans="2:57" ht="12" customHeight="1" x14ac:dyDescent="0.25">
      <c r="B127" s="6"/>
      <c r="C127" s="379" t="s">
        <v>229</v>
      </c>
      <c r="D127" s="358" t="s">
        <v>191</v>
      </c>
      <c r="E127" s="110"/>
      <c r="F127" s="111"/>
      <c r="G127" s="111"/>
      <c r="H127" s="187"/>
      <c r="I127" s="110"/>
      <c r="J127" s="111"/>
      <c r="K127" s="111"/>
      <c r="L127" s="111"/>
      <c r="M127" s="112"/>
      <c r="N127" s="113"/>
      <c r="O127" s="111"/>
      <c r="P127" s="111"/>
      <c r="Q127" s="187"/>
      <c r="R127" s="110"/>
      <c r="S127" s="111"/>
      <c r="T127" s="111"/>
      <c r="U127" s="187"/>
      <c r="V127" s="110"/>
      <c r="W127" s="111"/>
      <c r="X127" s="111"/>
      <c r="Y127" s="187"/>
      <c r="Z127" s="110"/>
      <c r="AA127" s="111"/>
      <c r="AB127" s="111"/>
      <c r="AC127" s="111"/>
      <c r="AD127" s="112"/>
      <c r="AE127" s="110"/>
      <c r="AF127" s="111"/>
      <c r="AG127" s="111"/>
      <c r="AH127" s="187"/>
      <c r="AI127" s="110"/>
      <c r="AJ127" s="111"/>
      <c r="AK127" s="111"/>
      <c r="AL127" s="111"/>
      <c r="AM127" s="112"/>
      <c r="AN127" s="110"/>
      <c r="AO127" s="111"/>
      <c r="AP127" s="111"/>
      <c r="AQ127" s="187"/>
      <c r="AR127" s="110"/>
      <c r="AS127" s="111"/>
      <c r="AT127" s="111"/>
      <c r="AU127" s="187"/>
      <c r="AV127" s="110"/>
      <c r="AW127" s="111"/>
      <c r="AX127" s="111"/>
      <c r="AY127" s="111"/>
      <c r="AZ127" s="112"/>
      <c r="BA127" s="113"/>
      <c r="BB127" s="111"/>
      <c r="BC127" s="111"/>
      <c r="BD127" s="111"/>
      <c r="BE127" s="289">
        <f t="shared" si="5"/>
        <v>0</v>
      </c>
    </row>
    <row r="128" spans="2:57" ht="12" hidden="1" customHeight="1" x14ac:dyDescent="0.25">
      <c r="B128" s="55" t="s">
        <v>38</v>
      </c>
      <c r="C128" s="395"/>
      <c r="E128" s="110"/>
      <c r="F128" s="111"/>
      <c r="G128" s="111"/>
      <c r="H128" s="187"/>
      <c r="I128" s="110"/>
      <c r="J128" s="111"/>
      <c r="K128" s="111"/>
      <c r="L128" s="111"/>
      <c r="M128" s="112"/>
      <c r="N128" s="113"/>
      <c r="O128" s="111"/>
      <c r="P128" s="111"/>
      <c r="Q128" s="187"/>
      <c r="R128" s="110"/>
      <c r="S128" s="111"/>
      <c r="T128" s="111"/>
      <c r="U128" s="187"/>
      <c r="V128" s="110"/>
      <c r="W128" s="111"/>
      <c r="X128" s="111"/>
      <c r="Y128" s="187"/>
      <c r="Z128" s="110"/>
      <c r="AA128" s="111"/>
      <c r="AB128" s="111"/>
      <c r="AC128" s="111"/>
      <c r="AD128" s="112"/>
      <c r="AE128" s="110"/>
      <c r="AF128" s="111"/>
      <c r="AG128" s="111"/>
      <c r="AH128" s="187"/>
      <c r="AI128" s="110"/>
      <c r="AJ128" s="111"/>
      <c r="AK128" s="111"/>
      <c r="AL128" s="111"/>
      <c r="AM128" s="112"/>
      <c r="AN128" s="110"/>
      <c r="AO128" s="111"/>
      <c r="AP128" s="111"/>
      <c r="AQ128" s="187"/>
      <c r="AR128" s="110"/>
      <c r="AS128" s="111"/>
      <c r="AT128" s="111"/>
      <c r="AU128" s="187"/>
      <c r="AV128" s="110"/>
      <c r="AW128" s="111"/>
      <c r="AX128" s="111"/>
      <c r="AY128" s="111"/>
      <c r="AZ128" s="112"/>
      <c r="BA128" s="113"/>
      <c r="BB128" s="111"/>
      <c r="BC128" s="111"/>
      <c r="BD128" s="111"/>
      <c r="BE128" s="289">
        <f t="shared" si="5"/>
        <v>0</v>
      </c>
    </row>
    <row r="129" spans="2:57" ht="12" customHeight="1" thickBot="1" x14ac:dyDescent="0.3">
      <c r="B129" s="3"/>
      <c r="C129" s="380" t="s">
        <v>230</v>
      </c>
      <c r="D129" s="358" t="s">
        <v>193</v>
      </c>
      <c r="E129" s="147"/>
      <c r="F129" s="148"/>
      <c r="G129" s="148"/>
      <c r="H129" s="193"/>
      <c r="I129" s="147"/>
      <c r="J129" s="148"/>
      <c r="K129" s="148"/>
      <c r="L129" s="148"/>
      <c r="M129" s="149"/>
      <c r="N129" s="176"/>
      <c r="O129" s="148"/>
      <c r="P129" s="148"/>
      <c r="Q129" s="193"/>
      <c r="R129" s="147"/>
      <c r="S129" s="148"/>
      <c r="T129" s="148"/>
      <c r="U129" s="193"/>
      <c r="V129" s="147"/>
      <c r="W129" s="148"/>
      <c r="X129" s="148"/>
      <c r="Y129" s="193"/>
      <c r="Z129" s="147"/>
      <c r="AA129" s="148"/>
      <c r="AB129" s="148"/>
      <c r="AC129" s="148"/>
      <c r="AD129" s="149"/>
      <c r="AE129" s="147"/>
      <c r="AF129" s="148"/>
      <c r="AG129" s="148"/>
      <c r="AH129" s="193"/>
      <c r="AI129" s="147"/>
      <c r="AJ129" s="148"/>
      <c r="AK129" s="148"/>
      <c r="AL129" s="148"/>
      <c r="AM129" s="149"/>
      <c r="AN129" s="147"/>
      <c r="AO129" s="148"/>
      <c r="AP129" s="148"/>
      <c r="AQ129" s="193"/>
      <c r="AR129" s="147"/>
      <c r="AS129" s="148"/>
      <c r="AT129" s="148"/>
      <c r="AU129" s="193"/>
      <c r="AV129" s="147"/>
      <c r="AW129" s="148"/>
      <c r="AX129" s="148"/>
      <c r="AY129" s="148"/>
      <c r="AZ129" s="149"/>
      <c r="BA129" s="176"/>
      <c r="BB129" s="148"/>
      <c r="BC129" s="148"/>
      <c r="BD129" s="148"/>
      <c r="BE129" s="289">
        <f t="shared" si="5"/>
        <v>0</v>
      </c>
    </row>
    <row r="130" spans="2:57" ht="16.5" thickBot="1" x14ac:dyDescent="0.3">
      <c r="B130" s="8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</row>
    <row r="131" spans="2:57" ht="12" hidden="1" customHeight="1" thickBot="1" x14ac:dyDescent="0.3">
      <c r="B131" s="8"/>
      <c r="E131" s="428" t="s">
        <v>15</v>
      </c>
      <c r="F131" s="429"/>
      <c r="G131" s="429"/>
      <c r="H131" s="429"/>
      <c r="I131" s="430"/>
      <c r="J131" s="428" t="s">
        <v>14</v>
      </c>
      <c r="K131" s="429"/>
      <c r="L131" s="429"/>
      <c r="M131" s="430"/>
      <c r="N131" s="425" t="s">
        <v>13</v>
      </c>
      <c r="O131" s="426"/>
      <c r="P131" s="426"/>
      <c r="Q131" s="427"/>
      <c r="R131" s="425" t="s">
        <v>12</v>
      </c>
      <c r="S131" s="426"/>
      <c r="T131" s="426"/>
      <c r="U131" s="426"/>
      <c r="V131" s="427"/>
      <c r="W131" s="425" t="s">
        <v>11</v>
      </c>
      <c r="X131" s="426"/>
      <c r="Y131" s="426"/>
      <c r="Z131" s="427"/>
      <c r="AA131" s="428" t="s">
        <v>10</v>
      </c>
      <c r="AB131" s="429"/>
      <c r="AC131" s="429"/>
      <c r="AD131" s="430"/>
      <c r="AE131" s="425" t="s">
        <v>9</v>
      </c>
      <c r="AF131" s="426"/>
      <c r="AG131" s="426"/>
      <c r="AH131" s="426"/>
      <c r="AI131" s="427"/>
      <c r="AJ131" s="425" t="s">
        <v>8</v>
      </c>
      <c r="AK131" s="426"/>
      <c r="AL131" s="426"/>
      <c r="AM131" s="427"/>
      <c r="AN131" s="428" t="s">
        <v>7</v>
      </c>
      <c r="AO131" s="429"/>
      <c r="AP131" s="429"/>
      <c r="AQ131" s="429"/>
      <c r="AR131" s="430"/>
      <c r="AS131" s="425" t="s">
        <v>6</v>
      </c>
      <c r="AT131" s="426"/>
      <c r="AU131" s="426"/>
      <c r="AV131" s="427"/>
      <c r="AW131" s="425" t="s">
        <v>5</v>
      </c>
      <c r="AX131" s="426"/>
      <c r="AY131" s="426"/>
      <c r="AZ131" s="427"/>
      <c r="BA131" s="428" t="s">
        <v>4</v>
      </c>
      <c r="BB131" s="429"/>
      <c r="BC131" s="429"/>
      <c r="BD131" s="429"/>
      <c r="BE131" s="289">
        <f t="shared" si="5"/>
        <v>12</v>
      </c>
    </row>
    <row r="132" spans="2:57" ht="12" customHeight="1" thickBot="1" x14ac:dyDescent="0.3">
      <c r="B132" s="4"/>
      <c r="C132" s="372" t="s">
        <v>37</v>
      </c>
      <c r="E132" s="94">
        <v>1</v>
      </c>
      <c r="F132" s="95">
        <v>2</v>
      </c>
      <c r="G132" s="95">
        <v>3</v>
      </c>
      <c r="H132" s="95">
        <v>4</v>
      </c>
      <c r="I132" s="95">
        <v>5</v>
      </c>
      <c r="J132" s="95">
        <v>6</v>
      </c>
      <c r="K132" s="95">
        <v>7</v>
      </c>
      <c r="L132" s="95">
        <v>8</v>
      </c>
      <c r="M132" s="95">
        <v>9</v>
      </c>
      <c r="N132" s="95">
        <v>10</v>
      </c>
      <c r="O132" s="95">
        <v>11</v>
      </c>
      <c r="P132" s="95">
        <v>12</v>
      </c>
      <c r="Q132" s="95">
        <v>13</v>
      </c>
      <c r="R132" s="95">
        <v>14</v>
      </c>
      <c r="S132" s="95">
        <v>15</v>
      </c>
      <c r="T132" s="95">
        <v>16</v>
      </c>
      <c r="U132" s="95">
        <v>17</v>
      </c>
      <c r="V132" s="95">
        <v>18</v>
      </c>
      <c r="W132" s="95">
        <v>19</v>
      </c>
      <c r="X132" s="95">
        <v>20</v>
      </c>
      <c r="Y132" s="95">
        <v>21</v>
      </c>
      <c r="Z132" s="95">
        <v>22</v>
      </c>
      <c r="AA132" s="95">
        <v>23</v>
      </c>
      <c r="AB132" s="95">
        <v>24</v>
      </c>
      <c r="AC132" s="95">
        <v>25</v>
      </c>
      <c r="AD132" s="95">
        <v>26</v>
      </c>
      <c r="AE132" s="95">
        <v>27</v>
      </c>
      <c r="AF132" s="95">
        <v>28</v>
      </c>
      <c r="AG132" s="95">
        <v>29</v>
      </c>
      <c r="AH132" s="95">
        <v>30</v>
      </c>
      <c r="AI132" s="95">
        <v>31</v>
      </c>
      <c r="AJ132" s="95">
        <v>32</v>
      </c>
      <c r="AK132" s="95">
        <v>33</v>
      </c>
      <c r="AL132" s="95">
        <v>34</v>
      </c>
      <c r="AM132" s="95">
        <v>35</v>
      </c>
      <c r="AN132" s="95">
        <v>36</v>
      </c>
      <c r="AO132" s="95">
        <v>37</v>
      </c>
      <c r="AP132" s="95">
        <v>38</v>
      </c>
      <c r="AQ132" s="95">
        <v>39</v>
      </c>
      <c r="AR132" s="95">
        <v>40</v>
      </c>
      <c r="AS132" s="95">
        <v>41</v>
      </c>
      <c r="AT132" s="95">
        <v>42</v>
      </c>
      <c r="AU132" s="95">
        <v>43</v>
      </c>
      <c r="AV132" s="95">
        <v>44</v>
      </c>
      <c r="AW132" s="95">
        <v>45</v>
      </c>
      <c r="AX132" s="95">
        <v>46</v>
      </c>
      <c r="AY132" s="95">
        <v>47</v>
      </c>
      <c r="AZ132" s="95">
        <v>48</v>
      </c>
      <c r="BA132" s="95">
        <v>49</v>
      </c>
      <c r="BB132" s="95">
        <v>50</v>
      </c>
      <c r="BC132" s="95">
        <v>51</v>
      </c>
      <c r="BD132" s="95">
        <v>52</v>
      </c>
    </row>
    <row r="133" spans="2:57" ht="12" hidden="1" customHeight="1" x14ac:dyDescent="0.25">
      <c r="B133" s="54" t="s">
        <v>36</v>
      </c>
      <c r="C133" s="396"/>
      <c r="E133" s="102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289">
        <f t="shared" si="5"/>
        <v>0</v>
      </c>
    </row>
    <row r="134" spans="2:57" ht="12" customHeight="1" x14ac:dyDescent="0.25">
      <c r="B134" s="6"/>
      <c r="C134" s="379" t="s">
        <v>233</v>
      </c>
      <c r="D134" s="358" t="s">
        <v>189</v>
      </c>
      <c r="E134" s="154"/>
      <c r="F134" s="107"/>
      <c r="G134" s="107"/>
      <c r="H134" s="186"/>
      <c r="I134" s="154"/>
      <c r="J134" s="107"/>
      <c r="K134" s="107"/>
      <c r="L134" s="107"/>
      <c r="M134" s="108"/>
      <c r="N134" s="113"/>
      <c r="O134" s="111"/>
      <c r="P134" s="111"/>
      <c r="Q134" s="112"/>
      <c r="R134" s="154"/>
      <c r="S134" s="107"/>
      <c r="T134" s="107"/>
      <c r="U134" s="186"/>
      <c r="V134" s="154"/>
      <c r="W134" s="107"/>
      <c r="X134" s="107"/>
      <c r="Y134" s="186"/>
      <c r="Z134" s="154"/>
      <c r="AA134" s="107"/>
      <c r="AB134" s="107"/>
      <c r="AC134" s="107"/>
      <c r="AD134" s="108"/>
      <c r="AE134" s="154"/>
      <c r="AF134" s="107"/>
      <c r="AG134" s="107"/>
      <c r="AH134" s="186"/>
      <c r="AI134" s="154"/>
      <c r="AJ134" s="107"/>
      <c r="AK134" s="107"/>
      <c r="AL134" s="107"/>
      <c r="AM134" s="108"/>
      <c r="AN134" s="154"/>
      <c r="AO134" s="107"/>
      <c r="AP134" s="107"/>
      <c r="AQ134" s="186"/>
      <c r="AR134" s="154"/>
      <c r="AS134" s="107"/>
      <c r="AT134" s="107"/>
      <c r="AU134" s="186"/>
      <c r="AV134" s="154"/>
      <c r="AW134" s="107"/>
      <c r="AX134" s="107"/>
      <c r="AY134" s="107"/>
      <c r="AZ134" s="108"/>
      <c r="BA134" s="113"/>
      <c r="BB134" s="111"/>
      <c r="BC134" s="111"/>
      <c r="BD134" s="111"/>
      <c r="BE134" s="289">
        <f t="shared" si="5"/>
        <v>0</v>
      </c>
    </row>
    <row r="135" spans="2:57" customFormat="1" ht="12" customHeight="1" x14ac:dyDescent="0.25">
      <c r="B135" s="93"/>
      <c r="C135" s="379" t="s">
        <v>234</v>
      </c>
      <c r="D135" s="362" t="s">
        <v>192</v>
      </c>
      <c r="E135" s="352"/>
      <c r="F135" s="353"/>
      <c r="G135" s="353"/>
      <c r="H135" s="354"/>
      <c r="I135" s="352"/>
      <c r="J135" s="353"/>
      <c r="K135" s="353"/>
      <c r="L135" s="353"/>
      <c r="M135" s="112"/>
      <c r="N135" s="355"/>
      <c r="O135" s="353"/>
      <c r="P135" s="353"/>
      <c r="Q135" s="356"/>
      <c r="R135" s="352"/>
      <c r="S135" s="353"/>
      <c r="T135" s="353"/>
      <c r="U135" s="354"/>
      <c r="V135" s="352"/>
      <c r="W135" s="353"/>
      <c r="X135" s="353"/>
      <c r="Y135" s="354"/>
      <c r="Z135" s="110"/>
      <c r="AA135" s="353"/>
      <c r="AB135" s="353"/>
      <c r="AC135" s="353"/>
      <c r="AD135" s="356"/>
      <c r="AE135" s="352"/>
      <c r="AF135" s="353"/>
      <c r="AG135" s="353"/>
      <c r="AH135" s="354"/>
      <c r="AI135" s="352"/>
      <c r="AJ135" s="353"/>
      <c r="AK135" s="353"/>
      <c r="AL135" s="353"/>
      <c r="AM135" s="112"/>
      <c r="AN135" s="352"/>
      <c r="AO135" s="353"/>
      <c r="AP135" s="353"/>
      <c r="AQ135" s="354"/>
      <c r="AR135" s="352"/>
      <c r="AS135" s="353"/>
      <c r="AT135" s="353"/>
      <c r="AU135" s="354"/>
      <c r="AV135" s="352"/>
      <c r="AW135" s="353"/>
      <c r="AX135" s="353"/>
      <c r="AY135" s="353"/>
      <c r="AZ135" s="112"/>
      <c r="BA135" s="355"/>
      <c r="BB135" s="353"/>
      <c r="BC135" s="353"/>
      <c r="BD135" s="353"/>
      <c r="BE135" s="289">
        <f t="shared" si="5"/>
        <v>0</v>
      </c>
    </row>
    <row r="136" spans="2:57" ht="12" hidden="1" customHeight="1" x14ac:dyDescent="0.25">
      <c r="B136" s="54" t="s">
        <v>34</v>
      </c>
      <c r="C136" s="397"/>
      <c r="E136" s="110"/>
      <c r="F136" s="111"/>
      <c r="G136" s="111"/>
      <c r="H136" s="187"/>
      <c r="I136" s="110"/>
      <c r="J136" s="111"/>
      <c r="K136" s="111"/>
      <c r="L136" s="111"/>
      <c r="M136" s="112"/>
      <c r="N136" s="113"/>
      <c r="O136" s="111"/>
      <c r="P136" s="111"/>
      <c r="Q136" s="112"/>
      <c r="R136" s="110"/>
      <c r="S136" s="111"/>
      <c r="T136" s="111"/>
      <c r="U136" s="187"/>
      <c r="V136" s="110"/>
      <c r="W136" s="111"/>
      <c r="X136" s="111"/>
      <c r="Y136" s="187"/>
      <c r="Z136" s="110"/>
      <c r="AA136" s="111"/>
      <c r="AB136" s="111"/>
      <c r="AC136" s="111"/>
      <c r="AD136" s="112"/>
      <c r="AE136" s="110"/>
      <c r="AF136" s="111"/>
      <c r="AG136" s="111"/>
      <c r="AH136" s="187"/>
      <c r="AI136" s="110"/>
      <c r="AJ136" s="111"/>
      <c r="AK136" s="111"/>
      <c r="AL136" s="111"/>
      <c r="AM136" s="112"/>
      <c r="AN136" s="110"/>
      <c r="AO136" s="111"/>
      <c r="AP136" s="111"/>
      <c r="AQ136" s="187"/>
      <c r="AR136" s="110"/>
      <c r="AS136" s="111"/>
      <c r="AT136" s="111"/>
      <c r="AU136" s="187"/>
      <c r="AV136" s="110"/>
      <c r="AW136" s="111"/>
      <c r="AX136" s="111"/>
      <c r="AY136" s="111"/>
      <c r="AZ136" s="112"/>
      <c r="BA136" s="113"/>
      <c r="BB136" s="111"/>
      <c r="BC136" s="111"/>
      <c r="BD136" s="111"/>
      <c r="BE136" s="289">
        <f t="shared" si="5"/>
        <v>0</v>
      </c>
    </row>
    <row r="137" spans="2:57" ht="12" customHeight="1" x14ac:dyDescent="0.25">
      <c r="B137" s="6"/>
      <c r="C137" s="398" t="s">
        <v>33</v>
      </c>
      <c r="D137" s="358" t="s">
        <v>193</v>
      </c>
      <c r="E137" s="318"/>
      <c r="F137" s="348"/>
      <c r="G137" s="348"/>
      <c r="H137" s="350"/>
      <c r="I137" s="318"/>
      <c r="J137" s="348"/>
      <c r="K137" s="348"/>
      <c r="L137" s="348"/>
      <c r="M137" s="349"/>
      <c r="N137" s="351"/>
      <c r="O137" s="348"/>
      <c r="P137" s="348"/>
      <c r="Q137" s="349"/>
      <c r="R137" s="318"/>
      <c r="S137" s="348"/>
      <c r="T137" s="348"/>
      <c r="U137" s="350"/>
      <c r="V137" s="318"/>
      <c r="W137" s="348"/>
      <c r="X137" s="348"/>
      <c r="Y137" s="350"/>
      <c r="Z137" s="318"/>
      <c r="AA137" s="348"/>
      <c r="AB137" s="348"/>
      <c r="AC137" s="348"/>
      <c r="AD137" s="349"/>
      <c r="AE137" s="318"/>
      <c r="AF137" s="348"/>
      <c r="AG137" s="348"/>
      <c r="AH137" s="350"/>
      <c r="AI137" s="318"/>
      <c r="AJ137" s="348"/>
      <c r="AK137" s="348"/>
      <c r="AL137" s="348"/>
      <c r="AM137" s="349"/>
      <c r="AN137" s="318"/>
      <c r="AO137" s="348"/>
      <c r="AP137" s="348"/>
      <c r="AQ137" s="350"/>
      <c r="AR137" s="318"/>
      <c r="AS137" s="348"/>
      <c r="AT137" s="348"/>
      <c r="AU137" s="350"/>
      <c r="AV137" s="318"/>
      <c r="AW137" s="348"/>
      <c r="AX137" s="348"/>
      <c r="AY137" s="348"/>
      <c r="AZ137" s="349"/>
      <c r="BA137" s="351"/>
      <c r="BB137" s="348"/>
      <c r="BC137" s="348"/>
      <c r="BD137" s="348"/>
    </row>
    <row r="138" spans="2:57" ht="12" customHeight="1" x14ac:dyDescent="0.25">
      <c r="B138" s="6"/>
      <c r="C138" s="399"/>
      <c r="E138" s="110"/>
      <c r="F138" s="111"/>
      <c r="G138" s="111"/>
      <c r="H138" s="187"/>
      <c r="I138" s="110"/>
      <c r="J138" s="111"/>
      <c r="K138" s="111"/>
      <c r="L138" s="111"/>
      <c r="M138" s="112"/>
      <c r="N138" s="113"/>
      <c r="O138" s="111"/>
      <c r="P138" s="111"/>
      <c r="Q138" s="112"/>
      <c r="R138" s="110"/>
      <c r="S138" s="111"/>
      <c r="T138" s="111"/>
      <c r="U138" s="187"/>
      <c r="V138" s="110"/>
      <c r="W138" s="111"/>
      <c r="X138" s="111"/>
      <c r="Y138" s="187"/>
      <c r="Z138" s="110"/>
      <c r="AA138" s="111"/>
      <c r="AB138" s="111"/>
      <c r="AC138" s="111"/>
      <c r="AD138" s="112"/>
      <c r="AE138" s="110"/>
      <c r="AF138" s="111"/>
      <c r="AG138" s="111"/>
      <c r="AH138" s="187"/>
      <c r="AI138" s="110"/>
      <c r="AJ138" s="111"/>
      <c r="AK138" s="111"/>
      <c r="AL138" s="111"/>
      <c r="AM138" s="112"/>
      <c r="AN138" s="110"/>
      <c r="AO138" s="111"/>
      <c r="AP138" s="111"/>
      <c r="AQ138" s="187"/>
      <c r="AR138" s="110"/>
      <c r="AS138" s="111"/>
      <c r="AT138" s="111"/>
      <c r="AU138" s="187"/>
      <c r="AV138" s="110"/>
      <c r="AW138" s="111"/>
      <c r="AX138" s="111"/>
      <c r="AY138" s="111"/>
      <c r="AZ138" s="112"/>
      <c r="BA138" s="113"/>
      <c r="BB138" s="111"/>
      <c r="BC138" s="111"/>
      <c r="BD138" s="111"/>
      <c r="BE138" s="289">
        <f t="shared" si="5"/>
        <v>0</v>
      </c>
    </row>
    <row r="139" spans="2:57" ht="12.75" customHeight="1" thickBot="1" x14ac:dyDescent="0.3">
      <c r="B139" s="3"/>
      <c r="C139" s="380"/>
      <c r="E139" s="147"/>
      <c r="F139" s="148"/>
      <c r="G139" s="148"/>
      <c r="H139" s="193"/>
      <c r="I139" s="147"/>
      <c r="J139" s="148"/>
      <c r="K139" s="148"/>
      <c r="L139" s="148"/>
      <c r="M139" s="149"/>
      <c r="N139" s="176"/>
      <c r="O139" s="148"/>
      <c r="P139" s="148"/>
      <c r="Q139" s="149"/>
      <c r="R139" s="147"/>
      <c r="S139" s="148"/>
      <c r="T139" s="148"/>
      <c r="U139" s="193"/>
      <c r="V139" s="147"/>
      <c r="W139" s="148"/>
      <c r="X139" s="148"/>
      <c r="Y139" s="193"/>
      <c r="Z139" s="147"/>
      <c r="AA139" s="148"/>
      <c r="AB139" s="148"/>
      <c r="AC139" s="148"/>
      <c r="AD139" s="149"/>
      <c r="AE139" s="147"/>
      <c r="AF139" s="148"/>
      <c r="AG139" s="148"/>
      <c r="AH139" s="193"/>
      <c r="AI139" s="147"/>
      <c r="AJ139" s="148"/>
      <c r="AK139" s="148"/>
      <c r="AL139" s="148"/>
      <c r="AM139" s="149"/>
      <c r="AN139" s="147"/>
      <c r="AO139" s="148"/>
      <c r="AP139" s="148"/>
      <c r="AQ139" s="193"/>
      <c r="AR139" s="147"/>
      <c r="AS139" s="148"/>
      <c r="AT139" s="148"/>
      <c r="AU139" s="193"/>
      <c r="AV139" s="147"/>
      <c r="AW139" s="148"/>
      <c r="AX139" s="148"/>
      <c r="AY139" s="148"/>
      <c r="AZ139" s="149"/>
      <c r="BA139" s="176"/>
      <c r="BB139" s="148"/>
      <c r="BC139" s="148"/>
      <c r="BD139" s="148"/>
      <c r="BE139" s="289">
        <f t="shared" si="5"/>
        <v>0</v>
      </c>
    </row>
    <row r="140" spans="2:57" ht="12" hidden="1" customHeight="1" thickBot="1" x14ac:dyDescent="0.3">
      <c r="B140" s="8"/>
      <c r="C140" s="381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289">
        <f t="shared" si="5"/>
        <v>0</v>
      </c>
    </row>
    <row r="141" spans="2:57" ht="12" hidden="1" customHeight="1" thickBot="1" x14ac:dyDescent="0.3">
      <c r="B141" s="8"/>
      <c r="E141" s="428" t="s">
        <v>15</v>
      </c>
      <c r="F141" s="429"/>
      <c r="G141" s="429"/>
      <c r="H141" s="429"/>
      <c r="I141" s="430"/>
      <c r="J141" s="428" t="s">
        <v>14</v>
      </c>
      <c r="K141" s="429"/>
      <c r="L141" s="429"/>
      <c r="M141" s="430"/>
      <c r="N141" s="425" t="s">
        <v>13</v>
      </c>
      <c r="O141" s="426"/>
      <c r="P141" s="426"/>
      <c r="Q141" s="427"/>
      <c r="R141" s="425" t="s">
        <v>12</v>
      </c>
      <c r="S141" s="426"/>
      <c r="T141" s="426"/>
      <c r="U141" s="426"/>
      <c r="V141" s="427"/>
      <c r="W141" s="425" t="s">
        <v>11</v>
      </c>
      <c r="X141" s="426"/>
      <c r="Y141" s="426"/>
      <c r="Z141" s="427"/>
      <c r="AA141" s="428" t="s">
        <v>10</v>
      </c>
      <c r="AB141" s="429"/>
      <c r="AC141" s="429"/>
      <c r="AD141" s="430"/>
      <c r="AE141" s="425" t="s">
        <v>9</v>
      </c>
      <c r="AF141" s="426"/>
      <c r="AG141" s="426"/>
      <c r="AH141" s="426"/>
      <c r="AI141" s="427"/>
      <c r="AJ141" s="425" t="s">
        <v>8</v>
      </c>
      <c r="AK141" s="426"/>
      <c r="AL141" s="426"/>
      <c r="AM141" s="427"/>
      <c r="AN141" s="428" t="s">
        <v>7</v>
      </c>
      <c r="AO141" s="429"/>
      <c r="AP141" s="429"/>
      <c r="AQ141" s="429"/>
      <c r="AR141" s="430"/>
      <c r="AS141" s="425" t="s">
        <v>6</v>
      </c>
      <c r="AT141" s="426"/>
      <c r="AU141" s="426"/>
      <c r="AV141" s="427"/>
      <c r="AW141" s="425" t="s">
        <v>5</v>
      </c>
      <c r="AX141" s="426"/>
      <c r="AY141" s="426"/>
      <c r="AZ141" s="427"/>
      <c r="BA141" s="428" t="s">
        <v>4</v>
      </c>
      <c r="BB141" s="429"/>
      <c r="BC141" s="429"/>
      <c r="BD141" s="429"/>
      <c r="BE141" s="289">
        <f t="shared" si="5"/>
        <v>12</v>
      </c>
    </row>
    <row r="142" spans="2:57" ht="12" hidden="1" customHeight="1" thickBot="1" x14ac:dyDescent="0.3">
      <c r="B142" s="37"/>
      <c r="C142" s="372" t="s">
        <v>32</v>
      </c>
      <c r="E142" s="82">
        <v>1</v>
      </c>
      <c r="F142" s="83">
        <v>2</v>
      </c>
      <c r="G142" s="83">
        <v>3</v>
      </c>
      <c r="H142" s="83">
        <v>4</v>
      </c>
      <c r="I142" s="83">
        <v>5</v>
      </c>
      <c r="J142" s="83">
        <v>6</v>
      </c>
      <c r="K142" s="83">
        <v>7</v>
      </c>
      <c r="L142" s="83">
        <v>8</v>
      </c>
      <c r="M142" s="83">
        <v>9</v>
      </c>
      <c r="N142" s="83">
        <v>10</v>
      </c>
      <c r="O142" s="83">
        <v>11</v>
      </c>
      <c r="P142" s="83">
        <v>12</v>
      </c>
      <c r="Q142" s="83">
        <v>13</v>
      </c>
      <c r="R142" s="83">
        <v>14</v>
      </c>
      <c r="S142" s="83">
        <v>15</v>
      </c>
      <c r="T142" s="83">
        <v>16</v>
      </c>
      <c r="U142" s="83">
        <v>17</v>
      </c>
      <c r="V142" s="83">
        <v>18</v>
      </c>
      <c r="W142" s="83">
        <v>19</v>
      </c>
      <c r="X142" s="83">
        <v>20</v>
      </c>
      <c r="Y142" s="83">
        <v>21</v>
      </c>
      <c r="Z142" s="83">
        <v>22</v>
      </c>
      <c r="AA142" s="83">
        <v>23</v>
      </c>
      <c r="AB142" s="83">
        <v>24</v>
      </c>
      <c r="AC142" s="83">
        <v>25</v>
      </c>
      <c r="AD142" s="83">
        <v>26</v>
      </c>
      <c r="AE142" s="83">
        <v>27</v>
      </c>
      <c r="AF142" s="83">
        <v>28</v>
      </c>
      <c r="AG142" s="83">
        <v>29</v>
      </c>
      <c r="AH142" s="83">
        <v>30</v>
      </c>
      <c r="AI142" s="83">
        <v>31</v>
      </c>
      <c r="AJ142" s="83">
        <v>32</v>
      </c>
      <c r="AK142" s="83">
        <v>33</v>
      </c>
      <c r="AL142" s="83">
        <v>34</v>
      </c>
      <c r="AM142" s="83">
        <v>35</v>
      </c>
      <c r="AN142" s="83">
        <v>36</v>
      </c>
      <c r="AO142" s="83">
        <v>37</v>
      </c>
      <c r="AP142" s="83">
        <v>38</v>
      </c>
      <c r="AQ142" s="83">
        <v>39</v>
      </c>
      <c r="AR142" s="83">
        <v>40</v>
      </c>
      <c r="AS142" s="83">
        <v>41</v>
      </c>
      <c r="AT142" s="83">
        <v>42</v>
      </c>
      <c r="AU142" s="83">
        <v>43</v>
      </c>
      <c r="AV142" s="83">
        <v>44</v>
      </c>
      <c r="AW142" s="83">
        <v>45</v>
      </c>
      <c r="AX142" s="83">
        <v>46</v>
      </c>
      <c r="AY142" s="83">
        <v>47</v>
      </c>
      <c r="AZ142" s="83">
        <v>48</v>
      </c>
      <c r="BA142" s="83">
        <v>49</v>
      </c>
      <c r="BB142" s="83">
        <v>50</v>
      </c>
      <c r="BC142" s="83">
        <v>51</v>
      </c>
      <c r="BD142" s="83">
        <v>52</v>
      </c>
      <c r="BE142" s="289">
        <f t="shared" si="5"/>
        <v>52</v>
      </c>
    </row>
    <row r="143" spans="2:57" ht="12" hidden="1" customHeight="1" x14ac:dyDescent="0.25">
      <c r="B143" s="39" t="s">
        <v>31</v>
      </c>
      <c r="C143" s="400"/>
      <c r="E143" s="73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289">
        <f t="shared" si="5"/>
        <v>0</v>
      </c>
    </row>
    <row r="144" spans="2:57" ht="12" hidden="1" customHeight="1" thickBot="1" x14ac:dyDescent="0.3">
      <c r="B144" s="8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89">
        <f t="shared" si="5"/>
        <v>0</v>
      </c>
    </row>
    <row r="145" spans="2:57" ht="16.5" thickBot="1" x14ac:dyDescent="0.3">
      <c r="B145" s="8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</row>
    <row r="146" spans="2:57" ht="12.75" customHeight="1" thickBot="1" x14ac:dyDescent="0.3">
      <c r="B146" s="299"/>
      <c r="C146" s="401" t="s">
        <v>29</v>
      </c>
      <c r="E146" s="80">
        <v>1</v>
      </c>
      <c r="F146" s="81">
        <v>2</v>
      </c>
      <c r="G146" s="81">
        <v>3</v>
      </c>
      <c r="H146" s="81">
        <v>4</v>
      </c>
      <c r="I146" s="81">
        <v>5</v>
      </c>
      <c r="J146" s="81">
        <v>6</v>
      </c>
      <c r="K146" s="81">
        <v>7</v>
      </c>
      <c r="L146" s="81">
        <v>8</v>
      </c>
      <c r="M146" s="81">
        <v>9</v>
      </c>
      <c r="N146" s="81">
        <v>10</v>
      </c>
      <c r="O146" s="81">
        <v>11</v>
      </c>
      <c r="P146" s="81">
        <v>12</v>
      </c>
      <c r="Q146" s="81">
        <v>13</v>
      </c>
      <c r="R146" s="81">
        <v>14</v>
      </c>
      <c r="S146" s="81">
        <v>15</v>
      </c>
      <c r="T146" s="81">
        <v>16</v>
      </c>
      <c r="U146" s="81">
        <v>17</v>
      </c>
      <c r="V146" s="81">
        <v>18</v>
      </c>
      <c r="W146" s="81">
        <v>19</v>
      </c>
      <c r="X146" s="81">
        <v>20</v>
      </c>
      <c r="Y146" s="81">
        <v>21</v>
      </c>
      <c r="Z146" s="81">
        <v>22</v>
      </c>
      <c r="AA146" s="81">
        <v>23</v>
      </c>
      <c r="AB146" s="81">
        <v>24</v>
      </c>
      <c r="AC146" s="81">
        <v>25</v>
      </c>
      <c r="AD146" s="81">
        <v>26</v>
      </c>
      <c r="AE146" s="81">
        <v>27</v>
      </c>
      <c r="AF146" s="81">
        <v>28</v>
      </c>
      <c r="AG146" s="81">
        <v>29</v>
      </c>
      <c r="AH146" s="81">
        <v>30</v>
      </c>
      <c r="AI146" s="81">
        <v>31</v>
      </c>
      <c r="AJ146" s="81">
        <v>32</v>
      </c>
      <c r="AK146" s="81">
        <v>33</v>
      </c>
      <c r="AL146" s="81">
        <v>34</v>
      </c>
      <c r="AM146" s="81">
        <v>35</v>
      </c>
      <c r="AN146" s="81">
        <v>36</v>
      </c>
      <c r="AO146" s="81">
        <v>37</v>
      </c>
      <c r="AP146" s="81">
        <v>38</v>
      </c>
      <c r="AQ146" s="81">
        <v>39</v>
      </c>
      <c r="AR146" s="81">
        <v>40</v>
      </c>
      <c r="AS146" s="81">
        <v>41</v>
      </c>
      <c r="AT146" s="81">
        <v>42</v>
      </c>
      <c r="AU146" s="81">
        <v>43</v>
      </c>
      <c r="AV146" s="81">
        <v>44</v>
      </c>
      <c r="AW146" s="81">
        <v>45</v>
      </c>
      <c r="AX146" s="81">
        <v>46</v>
      </c>
      <c r="AY146" s="81">
        <v>47</v>
      </c>
      <c r="AZ146" s="81">
        <v>48</v>
      </c>
      <c r="BA146" s="81">
        <v>49</v>
      </c>
      <c r="BB146" s="81">
        <v>50</v>
      </c>
      <c r="BC146" s="81">
        <v>51</v>
      </c>
      <c r="BD146" s="81">
        <v>52</v>
      </c>
    </row>
    <row r="147" spans="2:57" ht="12" hidden="1" customHeight="1" x14ac:dyDescent="0.25">
      <c r="B147" s="301" t="s">
        <v>28</v>
      </c>
      <c r="C147" s="402"/>
      <c r="E147" s="75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289">
        <f t="shared" si="5"/>
        <v>0</v>
      </c>
    </row>
    <row r="148" spans="2:57" ht="12" customHeight="1" x14ac:dyDescent="0.25">
      <c r="B148" s="99"/>
      <c r="C148" s="403" t="s">
        <v>254</v>
      </c>
      <c r="D148" s="358" t="s">
        <v>189</v>
      </c>
      <c r="E148" s="154"/>
      <c r="F148" s="107"/>
      <c r="G148" s="107"/>
      <c r="H148" s="186"/>
      <c r="I148" s="154"/>
      <c r="J148" s="107"/>
      <c r="K148" s="107"/>
      <c r="L148" s="107"/>
      <c r="M148" s="108"/>
      <c r="N148" s="177"/>
      <c r="O148" s="107"/>
      <c r="P148" s="107"/>
      <c r="Q148" s="108"/>
      <c r="R148" s="154"/>
      <c r="S148" s="107"/>
      <c r="T148" s="107"/>
      <c r="U148" s="186"/>
      <c r="V148" s="154"/>
      <c r="W148" s="107"/>
      <c r="X148" s="107"/>
      <c r="Y148" s="186"/>
      <c r="Z148" s="154"/>
      <c r="AA148" s="107"/>
      <c r="AB148" s="107"/>
      <c r="AC148" s="107"/>
      <c r="AD148" s="108"/>
      <c r="AE148" s="177"/>
      <c r="AF148" s="107"/>
      <c r="AG148" s="107"/>
      <c r="AH148" s="186"/>
      <c r="AI148" s="154"/>
      <c r="AJ148" s="107"/>
      <c r="AK148" s="107"/>
      <c r="AL148" s="107"/>
      <c r="AM148" s="108"/>
      <c r="AN148" s="154"/>
      <c r="AO148" s="107"/>
      <c r="AP148" s="107"/>
      <c r="AQ148" s="186"/>
      <c r="AR148" s="154"/>
      <c r="AS148" s="107"/>
      <c r="AT148" s="107"/>
      <c r="AU148" s="186"/>
      <c r="AV148" s="154"/>
      <c r="AW148" s="107"/>
      <c r="AX148" s="107"/>
      <c r="AY148" s="107"/>
      <c r="AZ148" s="108"/>
      <c r="BA148" s="177"/>
      <c r="BB148" s="107"/>
      <c r="BC148" s="107"/>
      <c r="BD148" s="107"/>
      <c r="BE148" s="289">
        <f t="shared" si="5"/>
        <v>0</v>
      </c>
    </row>
    <row r="149" spans="2:57" ht="12" hidden="1" customHeight="1" x14ac:dyDescent="0.25">
      <c r="B149" s="304" t="s">
        <v>26</v>
      </c>
      <c r="C149" s="404"/>
      <c r="E149" s="110"/>
      <c r="F149" s="111"/>
      <c r="G149" s="111"/>
      <c r="H149" s="187"/>
      <c r="I149" s="110"/>
      <c r="J149" s="111"/>
      <c r="K149" s="111"/>
      <c r="L149" s="111"/>
      <c r="M149" s="112"/>
      <c r="N149" s="113"/>
      <c r="O149" s="111"/>
      <c r="P149" s="111"/>
      <c r="Q149" s="112"/>
      <c r="R149" s="110"/>
      <c r="S149" s="111"/>
      <c r="T149" s="111"/>
      <c r="U149" s="187"/>
      <c r="V149" s="110"/>
      <c r="W149" s="111"/>
      <c r="X149" s="111"/>
      <c r="Y149" s="187"/>
      <c r="Z149" s="110"/>
      <c r="AA149" s="111"/>
      <c r="AB149" s="111"/>
      <c r="AC149" s="111"/>
      <c r="AD149" s="112"/>
      <c r="AE149" s="113"/>
      <c r="AF149" s="111"/>
      <c r="AG149" s="111"/>
      <c r="AH149" s="187"/>
      <c r="AI149" s="110"/>
      <c r="AJ149" s="111"/>
      <c r="AK149" s="111"/>
      <c r="AL149" s="111"/>
      <c r="AM149" s="112"/>
      <c r="AN149" s="110"/>
      <c r="AO149" s="111"/>
      <c r="AP149" s="111"/>
      <c r="AQ149" s="187"/>
      <c r="AR149" s="110"/>
      <c r="AS149" s="111"/>
      <c r="AT149" s="111"/>
      <c r="AU149" s="187"/>
      <c r="AV149" s="110"/>
      <c r="AW149" s="111"/>
      <c r="AX149" s="111"/>
      <c r="AY149" s="111"/>
      <c r="AZ149" s="112"/>
      <c r="BA149" s="113"/>
      <c r="BB149" s="111"/>
      <c r="BC149" s="111"/>
      <c r="BD149" s="111"/>
      <c r="BE149" s="289">
        <f t="shared" si="5"/>
        <v>0</v>
      </c>
    </row>
    <row r="150" spans="2:57" ht="12" customHeight="1" x14ac:dyDescent="0.25">
      <c r="B150" s="6"/>
      <c r="C150" s="386" t="s">
        <v>235</v>
      </c>
      <c r="D150" s="358" t="s">
        <v>190</v>
      </c>
      <c r="E150" s="110"/>
      <c r="F150" s="111"/>
      <c r="G150" s="111"/>
      <c r="H150" s="194"/>
      <c r="I150" s="110"/>
      <c r="J150" s="111"/>
      <c r="K150" s="111"/>
      <c r="L150" s="111"/>
      <c r="M150" s="112"/>
      <c r="N150" s="113"/>
      <c r="O150" s="111"/>
      <c r="P150" s="111"/>
      <c r="Q150" s="112"/>
      <c r="R150" s="110"/>
      <c r="S150" s="111"/>
      <c r="T150" s="111"/>
      <c r="U150" s="187"/>
      <c r="V150" s="175"/>
      <c r="W150" s="111"/>
      <c r="X150" s="111"/>
      <c r="Y150" s="187"/>
      <c r="Z150" s="110"/>
      <c r="AA150" s="111"/>
      <c r="AB150" s="111"/>
      <c r="AC150" s="111"/>
      <c r="AD150" s="112"/>
      <c r="AE150" s="113"/>
      <c r="AF150" s="111"/>
      <c r="AG150" s="111"/>
      <c r="AH150" s="187"/>
      <c r="AI150" s="175"/>
      <c r="AJ150" s="111"/>
      <c r="AK150" s="111"/>
      <c r="AL150" s="111"/>
      <c r="AM150" s="112"/>
      <c r="AN150" s="110"/>
      <c r="AO150" s="111"/>
      <c r="AP150" s="111"/>
      <c r="AQ150" s="187"/>
      <c r="AR150" s="110"/>
      <c r="AS150" s="111"/>
      <c r="AT150" s="111"/>
      <c r="AU150" s="187"/>
      <c r="AV150" s="110"/>
      <c r="AW150" s="111"/>
      <c r="AX150" s="111"/>
      <c r="AY150" s="111"/>
      <c r="AZ150" s="112"/>
      <c r="BA150" s="113"/>
      <c r="BB150" s="111"/>
      <c r="BC150" s="111"/>
      <c r="BD150" s="111"/>
      <c r="BE150" s="289">
        <f t="shared" si="5"/>
        <v>0</v>
      </c>
    </row>
    <row r="151" spans="2:57" ht="12" customHeight="1" thickBot="1" x14ac:dyDescent="0.3">
      <c r="B151" s="3"/>
      <c r="C151" s="405" t="s">
        <v>108</v>
      </c>
      <c r="E151" s="147"/>
      <c r="F151" s="148"/>
      <c r="G151" s="148"/>
      <c r="H151" s="195"/>
      <c r="I151" s="147"/>
      <c r="J151" s="148"/>
      <c r="K151" s="148"/>
      <c r="L151" s="148"/>
      <c r="M151" s="149"/>
      <c r="N151" s="176"/>
      <c r="O151" s="148"/>
      <c r="P151" s="148"/>
      <c r="Q151" s="149"/>
      <c r="R151" s="147"/>
      <c r="S151" s="148"/>
      <c r="T151" s="148"/>
      <c r="U151" s="193"/>
      <c r="V151" s="226"/>
      <c r="W151" s="148"/>
      <c r="X151" s="148"/>
      <c r="Y151" s="193"/>
      <c r="Z151" s="147"/>
      <c r="AA151" s="148"/>
      <c r="AB151" s="148"/>
      <c r="AC151" s="148"/>
      <c r="AD151" s="149"/>
      <c r="AE151" s="176"/>
      <c r="AF151" s="148"/>
      <c r="AG151" s="148"/>
      <c r="AH151" s="193"/>
      <c r="AI151" s="226"/>
      <c r="AJ151" s="148"/>
      <c r="AK151" s="148"/>
      <c r="AL151" s="148"/>
      <c r="AM151" s="149"/>
      <c r="AN151" s="147"/>
      <c r="AO151" s="148"/>
      <c r="AP151" s="148"/>
      <c r="AQ151" s="193"/>
      <c r="AR151" s="147"/>
      <c r="AS151" s="148"/>
      <c r="AT151" s="148"/>
      <c r="AU151" s="193"/>
      <c r="AV151" s="226"/>
      <c r="AW151" s="148"/>
      <c r="AX151" s="148"/>
      <c r="AY151" s="148"/>
      <c r="AZ151" s="149"/>
      <c r="BA151" s="176"/>
      <c r="BB151" s="148"/>
      <c r="BC151" s="148"/>
      <c r="BD151" s="148"/>
      <c r="BE151" s="289">
        <f t="shared" si="5"/>
        <v>0</v>
      </c>
    </row>
    <row r="152" spans="2:57" ht="16.5" customHeight="1" thickBot="1" x14ac:dyDescent="0.3">
      <c r="B152" s="8"/>
      <c r="C152" s="406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</row>
    <row r="153" spans="2:57" ht="12" hidden="1" customHeight="1" thickBot="1" x14ac:dyDescent="0.3">
      <c r="B153" s="8"/>
      <c r="C153" s="406"/>
      <c r="E153" s="428" t="s">
        <v>15</v>
      </c>
      <c r="F153" s="429"/>
      <c r="G153" s="429"/>
      <c r="H153" s="429"/>
      <c r="I153" s="430"/>
      <c r="J153" s="428" t="s">
        <v>14</v>
      </c>
      <c r="K153" s="429"/>
      <c r="L153" s="429"/>
      <c r="M153" s="430"/>
      <c r="N153" s="425" t="s">
        <v>13</v>
      </c>
      <c r="O153" s="426"/>
      <c r="P153" s="426"/>
      <c r="Q153" s="427"/>
      <c r="R153" s="425" t="s">
        <v>12</v>
      </c>
      <c r="S153" s="426"/>
      <c r="T153" s="426"/>
      <c r="U153" s="426"/>
      <c r="V153" s="427"/>
      <c r="W153" s="425" t="s">
        <v>11</v>
      </c>
      <c r="X153" s="426"/>
      <c r="Y153" s="426"/>
      <c r="Z153" s="427"/>
      <c r="AA153" s="428" t="s">
        <v>10</v>
      </c>
      <c r="AB153" s="429"/>
      <c r="AC153" s="429"/>
      <c r="AD153" s="430"/>
      <c r="AE153" s="425" t="s">
        <v>9</v>
      </c>
      <c r="AF153" s="426"/>
      <c r="AG153" s="426"/>
      <c r="AH153" s="426"/>
      <c r="AI153" s="427"/>
      <c r="AJ153" s="425" t="s">
        <v>8</v>
      </c>
      <c r="AK153" s="426"/>
      <c r="AL153" s="426"/>
      <c r="AM153" s="427"/>
      <c r="AN153" s="428" t="s">
        <v>7</v>
      </c>
      <c r="AO153" s="429"/>
      <c r="AP153" s="429"/>
      <c r="AQ153" s="429"/>
      <c r="AR153" s="430"/>
      <c r="AS153" s="425" t="s">
        <v>6</v>
      </c>
      <c r="AT153" s="426"/>
      <c r="AU153" s="426"/>
      <c r="AV153" s="427"/>
      <c r="AW153" s="425" t="s">
        <v>5</v>
      </c>
      <c r="AX153" s="426"/>
      <c r="AY153" s="426"/>
      <c r="AZ153" s="427"/>
      <c r="BA153" s="428" t="s">
        <v>4</v>
      </c>
      <c r="BB153" s="429"/>
      <c r="BC153" s="429"/>
      <c r="BD153" s="429"/>
      <c r="BE153" s="289">
        <f t="shared" ref="BE153:BE181" si="6">52-COUNTBLANK(E153:BD153)</f>
        <v>12</v>
      </c>
    </row>
    <row r="154" spans="2:57" ht="12" customHeight="1" thickBot="1" x14ac:dyDescent="0.3">
      <c r="B154" s="4"/>
      <c r="C154" s="372" t="s">
        <v>23</v>
      </c>
      <c r="E154" s="80">
        <v>1</v>
      </c>
      <c r="F154" s="81">
        <v>2</v>
      </c>
      <c r="G154" s="81">
        <v>3</v>
      </c>
      <c r="H154" s="81">
        <v>4</v>
      </c>
      <c r="I154" s="81">
        <v>5</v>
      </c>
      <c r="J154" s="81">
        <v>6</v>
      </c>
      <c r="K154" s="81">
        <v>7</v>
      </c>
      <c r="L154" s="81">
        <v>8</v>
      </c>
      <c r="M154" s="81">
        <v>9</v>
      </c>
      <c r="N154" s="81">
        <v>10</v>
      </c>
      <c r="O154" s="81">
        <v>11</v>
      </c>
      <c r="P154" s="81">
        <v>12</v>
      </c>
      <c r="Q154" s="81">
        <v>13</v>
      </c>
      <c r="R154" s="81">
        <v>14</v>
      </c>
      <c r="S154" s="81">
        <v>15</v>
      </c>
      <c r="T154" s="81">
        <v>16</v>
      </c>
      <c r="U154" s="81">
        <v>17</v>
      </c>
      <c r="V154" s="81">
        <v>18</v>
      </c>
      <c r="W154" s="81">
        <v>19</v>
      </c>
      <c r="X154" s="81">
        <v>20</v>
      </c>
      <c r="Y154" s="81">
        <v>21</v>
      </c>
      <c r="Z154" s="81">
        <v>22</v>
      </c>
      <c r="AA154" s="81">
        <v>23</v>
      </c>
      <c r="AB154" s="81">
        <v>24</v>
      </c>
      <c r="AC154" s="81">
        <v>25</v>
      </c>
      <c r="AD154" s="81">
        <v>26</v>
      </c>
      <c r="AE154" s="81">
        <v>27</v>
      </c>
      <c r="AF154" s="81">
        <v>28</v>
      </c>
      <c r="AG154" s="81">
        <v>29</v>
      </c>
      <c r="AH154" s="81">
        <v>30</v>
      </c>
      <c r="AI154" s="81">
        <v>31</v>
      </c>
      <c r="AJ154" s="81">
        <v>32</v>
      </c>
      <c r="AK154" s="81">
        <v>33</v>
      </c>
      <c r="AL154" s="81">
        <v>34</v>
      </c>
      <c r="AM154" s="81">
        <v>35</v>
      </c>
      <c r="AN154" s="81">
        <v>36</v>
      </c>
      <c r="AO154" s="81">
        <v>37</v>
      </c>
      <c r="AP154" s="81">
        <v>38</v>
      </c>
      <c r="AQ154" s="81">
        <v>39</v>
      </c>
      <c r="AR154" s="81">
        <v>40</v>
      </c>
      <c r="AS154" s="81">
        <v>41</v>
      </c>
      <c r="AT154" s="81">
        <v>42</v>
      </c>
      <c r="AU154" s="81">
        <v>43</v>
      </c>
      <c r="AV154" s="81">
        <v>44</v>
      </c>
      <c r="AW154" s="81">
        <v>45</v>
      </c>
      <c r="AX154" s="81">
        <v>46</v>
      </c>
      <c r="AY154" s="81">
        <v>47</v>
      </c>
      <c r="AZ154" s="81">
        <v>48</v>
      </c>
      <c r="BA154" s="81">
        <v>49</v>
      </c>
      <c r="BB154" s="81">
        <v>50</v>
      </c>
      <c r="BC154" s="81">
        <v>51</v>
      </c>
      <c r="BD154" s="81">
        <v>52</v>
      </c>
    </row>
    <row r="155" spans="2:57" ht="12" hidden="1" customHeight="1" x14ac:dyDescent="0.25">
      <c r="B155" s="52" t="s">
        <v>22</v>
      </c>
      <c r="C155" s="407"/>
      <c r="E155" s="78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289">
        <f t="shared" si="6"/>
        <v>0</v>
      </c>
    </row>
    <row r="156" spans="2:57" ht="12" customHeight="1" x14ac:dyDescent="0.25">
      <c r="B156" s="6"/>
      <c r="C156" s="379" t="s">
        <v>236</v>
      </c>
      <c r="D156" s="358" t="s">
        <v>193</v>
      </c>
      <c r="E156" s="164"/>
      <c r="F156" s="165"/>
      <c r="G156" s="165"/>
      <c r="H156" s="196"/>
      <c r="I156" s="164"/>
      <c r="J156" s="165"/>
      <c r="K156" s="165"/>
      <c r="L156" s="165"/>
      <c r="M156" s="166"/>
      <c r="N156" s="178"/>
      <c r="O156" s="107"/>
      <c r="P156" s="165"/>
      <c r="Q156" s="166"/>
      <c r="R156" s="164"/>
      <c r="S156" s="165"/>
      <c r="T156" s="165"/>
      <c r="U156" s="196"/>
      <c r="V156" s="164"/>
      <c r="W156" s="165"/>
      <c r="X156" s="165"/>
      <c r="Y156" s="196"/>
      <c r="Z156" s="164"/>
      <c r="AA156" s="144"/>
      <c r="AB156" s="165"/>
      <c r="AC156" s="165"/>
      <c r="AD156" s="166"/>
      <c r="AE156" s="164"/>
      <c r="AF156" s="165"/>
      <c r="AG156" s="165"/>
      <c r="AH156" s="196"/>
      <c r="AI156" s="164"/>
      <c r="AJ156" s="165"/>
      <c r="AK156" s="165"/>
      <c r="AL156" s="165"/>
      <c r="AM156" s="166"/>
      <c r="AN156" s="164"/>
      <c r="AO156" s="165"/>
      <c r="AP156" s="165"/>
      <c r="AQ156" s="196"/>
      <c r="AR156" s="164"/>
      <c r="AS156" s="165"/>
      <c r="AT156" s="165"/>
      <c r="AU156" s="196"/>
      <c r="AV156" s="164"/>
      <c r="AW156" s="165"/>
      <c r="AX156" s="165"/>
      <c r="AY156" s="165"/>
      <c r="AZ156" s="166"/>
      <c r="BA156" s="178"/>
      <c r="BB156" s="165"/>
      <c r="BC156" s="165"/>
      <c r="BD156" s="165"/>
      <c r="BE156" s="289">
        <f t="shared" si="6"/>
        <v>0</v>
      </c>
    </row>
    <row r="157" spans="2:57" ht="12" customHeight="1" x14ac:dyDescent="0.25">
      <c r="B157" s="5"/>
      <c r="C157" s="378" t="s">
        <v>109</v>
      </c>
      <c r="D157" s="358" t="s">
        <v>192</v>
      </c>
      <c r="E157" s="167"/>
      <c r="F157" s="168"/>
      <c r="G157" s="168"/>
      <c r="H157" s="197"/>
      <c r="I157" s="167"/>
      <c r="J157" s="168"/>
      <c r="K157" s="168"/>
      <c r="L157" s="168"/>
      <c r="M157" s="169"/>
      <c r="N157" s="179"/>
      <c r="O157" s="111"/>
      <c r="P157" s="168"/>
      <c r="Q157" s="169"/>
      <c r="R157" s="167"/>
      <c r="S157" s="168"/>
      <c r="T157" s="168"/>
      <c r="U157" s="197"/>
      <c r="V157" s="167"/>
      <c r="W157" s="168"/>
      <c r="X157" s="168"/>
      <c r="Y157" s="197"/>
      <c r="Z157" s="167"/>
      <c r="AA157" s="168"/>
      <c r="AB157" s="168"/>
      <c r="AC157" s="168"/>
      <c r="AD157" s="169"/>
      <c r="AE157" s="167"/>
      <c r="AF157" s="168"/>
      <c r="AG157" s="168"/>
      <c r="AH157" s="197"/>
      <c r="AI157" s="167"/>
      <c r="AJ157" s="168"/>
      <c r="AK157" s="168"/>
      <c r="AL157" s="168"/>
      <c r="AM157" s="169"/>
      <c r="AN157" s="167"/>
      <c r="AO157" s="111"/>
      <c r="AP157" s="168"/>
      <c r="AQ157" s="197"/>
      <c r="AR157" s="167"/>
      <c r="AS157" s="168"/>
      <c r="AT157" s="168"/>
      <c r="AU157" s="197"/>
      <c r="AV157" s="167"/>
      <c r="AW157" s="168"/>
      <c r="AX157" s="168"/>
      <c r="AY157" s="168"/>
      <c r="AZ157" s="169"/>
      <c r="BA157" s="179"/>
      <c r="BB157" s="168"/>
      <c r="BC157" s="168"/>
      <c r="BD157" s="168"/>
      <c r="BE157" s="289">
        <f t="shared" si="6"/>
        <v>0</v>
      </c>
    </row>
    <row r="158" spans="2:57" ht="12" hidden="1" customHeight="1" x14ac:dyDescent="0.25">
      <c r="B158" s="52" t="s">
        <v>21</v>
      </c>
      <c r="C158" s="408"/>
      <c r="E158" s="167"/>
      <c r="F158" s="168"/>
      <c r="G158" s="168"/>
      <c r="H158" s="197"/>
      <c r="I158" s="167"/>
      <c r="J158" s="168"/>
      <c r="K158" s="168"/>
      <c r="L158" s="168"/>
      <c r="M158" s="169"/>
      <c r="N158" s="179"/>
      <c r="O158" s="168"/>
      <c r="P158" s="168"/>
      <c r="Q158" s="169"/>
      <c r="R158" s="167"/>
      <c r="S158" s="168"/>
      <c r="T158" s="168"/>
      <c r="U158" s="197"/>
      <c r="V158" s="167"/>
      <c r="W158" s="168"/>
      <c r="X158" s="168"/>
      <c r="Y158" s="197"/>
      <c r="Z158" s="167"/>
      <c r="AA158" s="168"/>
      <c r="AB158" s="168"/>
      <c r="AC158" s="168"/>
      <c r="AD158" s="169"/>
      <c r="AE158" s="167"/>
      <c r="AF158" s="168"/>
      <c r="AG158" s="168"/>
      <c r="AH158" s="197"/>
      <c r="AI158" s="167"/>
      <c r="AJ158" s="168"/>
      <c r="AK158" s="168"/>
      <c r="AL158" s="168"/>
      <c r="AM158" s="169"/>
      <c r="AN158" s="167"/>
      <c r="AO158" s="168"/>
      <c r="AP158" s="168"/>
      <c r="AQ158" s="197"/>
      <c r="AR158" s="167"/>
      <c r="AS158" s="168"/>
      <c r="AT158" s="168"/>
      <c r="AU158" s="197"/>
      <c r="AV158" s="167"/>
      <c r="AW158" s="168"/>
      <c r="AX158" s="168"/>
      <c r="AY158" s="168"/>
      <c r="AZ158" s="169"/>
      <c r="BA158" s="179"/>
      <c r="BB158" s="168"/>
      <c r="BC158" s="168"/>
      <c r="BD158" s="168"/>
      <c r="BE158" s="289">
        <f t="shared" si="6"/>
        <v>0</v>
      </c>
    </row>
    <row r="159" spans="2:57" ht="12" customHeight="1" thickBot="1" x14ac:dyDescent="0.3">
      <c r="B159" s="5"/>
      <c r="C159" s="378" t="s">
        <v>238</v>
      </c>
      <c r="D159" s="358" t="s">
        <v>189</v>
      </c>
      <c r="E159" s="170"/>
      <c r="F159" s="171"/>
      <c r="G159" s="171"/>
      <c r="H159" s="198"/>
      <c r="I159" s="170"/>
      <c r="J159" s="171"/>
      <c r="K159" s="171"/>
      <c r="L159" s="148"/>
      <c r="M159" s="173"/>
      <c r="N159" s="180"/>
      <c r="O159" s="171"/>
      <c r="P159" s="171"/>
      <c r="Q159" s="173"/>
      <c r="R159" s="170"/>
      <c r="S159" s="171"/>
      <c r="T159" s="171"/>
      <c r="U159" s="198"/>
      <c r="V159" s="170"/>
      <c r="W159" s="171"/>
      <c r="X159" s="171"/>
      <c r="Y159" s="198"/>
      <c r="Z159" s="170"/>
      <c r="AA159" s="172"/>
      <c r="AB159" s="171"/>
      <c r="AC159" s="171"/>
      <c r="AD159" s="173"/>
      <c r="AE159" s="170"/>
      <c r="AF159" s="171"/>
      <c r="AG159" s="171"/>
      <c r="AH159" s="198"/>
      <c r="AI159" s="170"/>
      <c r="AJ159" s="171"/>
      <c r="AK159" s="171"/>
      <c r="AL159" s="148"/>
      <c r="AM159" s="173"/>
      <c r="AN159" s="170"/>
      <c r="AO159" s="171"/>
      <c r="AP159" s="171"/>
      <c r="AQ159" s="198"/>
      <c r="AR159" s="170"/>
      <c r="AS159" s="171"/>
      <c r="AT159" s="171"/>
      <c r="AU159" s="198"/>
      <c r="AV159" s="170"/>
      <c r="AW159" s="171"/>
      <c r="AX159" s="171"/>
      <c r="AY159" s="171"/>
      <c r="AZ159" s="173"/>
      <c r="BA159" s="199"/>
      <c r="BB159" s="171"/>
      <c r="BC159" s="171"/>
      <c r="BD159" s="171"/>
      <c r="BE159" s="289">
        <f t="shared" ref="BE159" si="7">52-COUNTBLANK(E159:BD159)</f>
        <v>0</v>
      </c>
    </row>
    <row r="160" spans="2:57" ht="12" customHeight="1" thickBot="1" x14ac:dyDescent="0.3">
      <c r="B160" s="3"/>
      <c r="C160" s="380" t="s">
        <v>237</v>
      </c>
      <c r="D160" s="358" t="s">
        <v>192</v>
      </c>
      <c r="E160" s="170"/>
      <c r="F160" s="171"/>
      <c r="G160" s="171"/>
      <c r="H160" s="198"/>
      <c r="I160" s="170"/>
      <c r="J160" s="171"/>
      <c r="K160" s="171"/>
      <c r="L160" s="148"/>
      <c r="M160" s="173"/>
      <c r="N160" s="180"/>
      <c r="O160" s="171"/>
      <c r="P160" s="171"/>
      <c r="Q160" s="173"/>
      <c r="R160" s="170"/>
      <c r="S160" s="171"/>
      <c r="T160" s="171"/>
      <c r="U160" s="198"/>
      <c r="V160" s="170"/>
      <c r="W160" s="171"/>
      <c r="X160" s="171"/>
      <c r="Y160" s="198"/>
      <c r="Z160" s="170"/>
      <c r="AA160" s="172"/>
      <c r="AB160" s="171"/>
      <c r="AC160" s="171"/>
      <c r="AD160" s="173"/>
      <c r="AE160" s="170"/>
      <c r="AF160" s="171"/>
      <c r="AG160" s="171"/>
      <c r="AH160" s="198"/>
      <c r="AI160" s="170"/>
      <c r="AJ160" s="171"/>
      <c r="AK160" s="171"/>
      <c r="AL160" s="148"/>
      <c r="AM160" s="173"/>
      <c r="AN160" s="170"/>
      <c r="AO160" s="171"/>
      <c r="AP160" s="171"/>
      <c r="AQ160" s="198"/>
      <c r="AR160" s="170"/>
      <c r="AS160" s="171"/>
      <c r="AT160" s="171"/>
      <c r="AU160" s="198"/>
      <c r="AV160" s="170"/>
      <c r="AW160" s="171"/>
      <c r="AX160" s="171"/>
      <c r="AY160" s="171"/>
      <c r="AZ160" s="173"/>
      <c r="BA160" s="199"/>
      <c r="BB160" s="171"/>
      <c r="BC160" s="171"/>
      <c r="BD160" s="171"/>
      <c r="BE160" s="289">
        <f t="shared" si="6"/>
        <v>0</v>
      </c>
    </row>
    <row r="161" spans="2:57" ht="15.75" customHeight="1" thickBot="1" x14ac:dyDescent="0.3">
      <c r="B161" s="8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</row>
    <row r="162" spans="2:57" ht="12" hidden="1" customHeight="1" thickBot="1" x14ac:dyDescent="0.3">
      <c r="B162" s="8"/>
      <c r="E162" s="428" t="s">
        <v>15</v>
      </c>
      <c r="F162" s="429"/>
      <c r="G162" s="429"/>
      <c r="H162" s="429"/>
      <c r="I162" s="430"/>
      <c r="J162" s="428" t="s">
        <v>14</v>
      </c>
      <c r="K162" s="429"/>
      <c r="L162" s="429"/>
      <c r="M162" s="430"/>
      <c r="N162" s="425" t="s">
        <v>13</v>
      </c>
      <c r="O162" s="426"/>
      <c r="P162" s="426"/>
      <c r="Q162" s="427"/>
      <c r="R162" s="425" t="s">
        <v>12</v>
      </c>
      <c r="S162" s="426"/>
      <c r="T162" s="426"/>
      <c r="U162" s="426"/>
      <c r="V162" s="427"/>
      <c r="W162" s="425" t="s">
        <v>11</v>
      </c>
      <c r="X162" s="426"/>
      <c r="Y162" s="426"/>
      <c r="Z162" s="427"/>
      <c r="AA162" s="428" t="s">
        <v>10</v>
      </c>
      <c r="AB162" s="429"/>
      <c r="AC162" s="429"/>
      <c r="AD162" s="430"/>
      <c r="AE162" s="425" t="s">
        <v>9</v>
      </c>
      <c r="AF162" s="426"/>
      <c r="AG162" s="426"/>
      <c r="AH162" s="426"/>
      <c r="AI162" s="427"/>
      <c r="AJ162" s="425" t="s">
        <v>8</v>
      </c>
      <c r="AK162" s="426"/>
      <c r="AL162" s="426"/>
      <c r="AM162" s="427"/>
      <c r="AN162" s="428" t="s">
        <v>7</v>
      </c>
      <c r="AO162" s="429"/>
      <c r="AP162" s="429"/>
      <c r="AQ162" s="429"/>
      <c r="AR162" s="430"/>
      <c r="AS162" s="425" t="s">
        <v>6</v>
      </c>
      <c r="AT162" s="426"/>
      <c r="AU162" s="426"/>
      <c r="AV162" s="427"/>
      <c r="AW162" s="425" t="s">
        <v>5</v>
      </c>
      <c r="AX162" s="426"/>
      <c r="AY162" s="426"/>
      <c r="AZ162" s="427"/>
      <c r="BA162" s="428" t="s">
        <v>4</v>
      </c>
      <c r="BB162" s="429"/>
      <c r="BC162" s="429"/>
      <c r="BD162" s="429"/>
      <c r="BE162" s="289">
        <f t="shared" si="6"/>
        <v>12</v>
      </c>
    </row>
    <row r="163" spans="2:57" ht="12" hidden="1" customHeight="1" thickBot="1" x14ac:dyDescent="0.3">
      <c r="B163" s="8"/>
      <c r="E163" s="181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182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/>
      <c r="AS163" s="182"/>
      <c r="AT163" s="182"/>
      <c r="AU163" s="182"/>
      <c r="AV163" s="182"/>
      <c r="AW163" s="182"/>
      <c r="AX163" s="182"/>
      <c r="AY163" s="182"/>
      <c r="AZ163" s="182"/>
      <c r="BA163" s="182"/>
      <c r="BB163" s="182"/>
      <c r="BC163" s="182"/>
      <c r="BD163" s="182"/>
      <c r="BE163" s="289">
        <f t="shared" si="6"/>
        <v>0</v>
      </c>
    </row>
    <row r="164" spans="2:57" ht="12" hidden="1" customHeight="1" thickBot="1" x14ac:dyDescent="0.3">
      <c r="B164" s="8"/>
      <c r="E164" s="422" t="s">
        <v>15</v>
      </c>
      <c r="F164" s="423"/>
      <c r="G164" s="423"/>
      <c r="H164" s="423"/>
      <c r="I164" s="424"/>
      <c r="J164" s="422" t="s">
        <v>14</v>
      </c>
      <c r="K164" s="423"/>
      <c r="L164" s="423"/>
      <c r="M164" s="424"/>
      <c r="N164" s="419" t="s">
        <v>13</v>
      </c>
      <c r="O164" s="420"/>
      <c r="P164" s="420"/>
      <c r="Q164" s="421"/>
      <c r="R164" s="419" t="s">
        <v>12</v>
      </c>
      <c r="S164" s="420"/>
      <c r="T164" s="420"/>
      <c r="U164" s="420"/>
      <c r="V164" s="421"/>
      <c r="W164" s="419" t="s">
        <v>11</v>
      </c>
      <c r="X164" s="420"/>
      <c r="Y164" s="420"/>
      <c r="Z164" s="421"/>
      <c r="AA164" s="422" t="s">
        <v>10</v>
      </c>
      <c r="AB164" s="423"/>
      <c r="AC164" s="423"/>
      <c r="AD164" s="424"/>
      <c r="AE164" s="419" t="s">
        <v>9</v>
      </c>
      <c r="AF164" s="420"/>
      <c r="AG164" s="420"/>
      <c r="AH164" s="420"/>
      <c r="AI164" s="421"/>
      <c r="AJ164" s="419" t="s">
        <v>8</v>
      </c>
      <c r="AK164" s="420"/>
      <c r="AL164" s="420"/>
      <c r="AM164" s="421"/>
      <c r="AN164" s="422" t="s">
        <v>7</v>
      </c>
      <c r="AO164" s="423"/>
      <c r="AP164" s="423"/>
      <c r="AQ164" s="423"/>
      <c r="AR164" s="424"/>
      <c r="AS164" s="419" t="s">
        <v>6</v>
      </c>
      <c r="AT164" s="420"/>
      <c r="AU164" s="420"/>
      <c r="AV164" s="421"/>
      <c r="AW164" s="419" t="s">
        <v>5</v>
      </c>
      <c r="AX164" s="420"/>
      <c r="AY164" s="420"/>
      <c r="AZ164" s="421"/>
      <c r="BA164" s="422" t="s">
        <v>4</v>
      </c>
      <c r="BB164" s="423"/>
      <c r="BC164" s="423"/>
      <c r="BD164" s="423"/>
      <c r="BE164" s="289">
        <f t="shared" si="6"/>
        <v>12</v>
      </c>
    </row>
    <row r="165" spans="2:57" ht="12" hidden="1" customHeight="1" thickBot="1" x14ac:dyDescent="0.3">
      <c r="B165" s="37"/>
      <c r="C165" s="372" t="s">
        <v>19</v>
      </c>
      <c r="E165" s="84">
        <v>1</v>
      </c>
      <c r="F165" s="85">
        <v>2</v>
      </c>
      <c r="G165" s="85">
        <v>3</v>
      </c>
      <c r="H165" s="85">
        <v>4</v>
      </c>
      <c r="I165" s="85">
        <v>5</v>
      </c>
      <c r="J165" s="85">
        <v>6</v>
      </c>
      <c r="K165" s="85">
        <v>7</v>
      </c>
      <c r="L165" s="85">
        <v>8</v>
      </c>
      <c r="M165" s="85">
        <v>9</v>
      </c>
      <c r="N165" s="85">
        <v>10</v>
      </c>
      <c r="O165" s="85">
        <v>11</v>
      </c>
      <c r="P165" s="85">
        <v>12</v>
      </c>
      <c r="Q165" s="85">
        <v>13</v>
      </c>
      <c r="R165" s="85">
        <v>14</v>
      </c>
      <c r="S165" s="85">
        <v>15</v>
      </c>
      <c r="T165" s="85">
        <v>16</v>
      </c>
      <c r="U165" s="85">
        <v>17</v>
      </c>
      <c r="V165" s="85">
        <v>18</v>
      </c>
      <c r="W165" s="85">
        <v>19</v>
      </c>
      <c r="X165" s="85">
        <v>20</v>
      </c>
      <c r="Y165" s="85">
        <v>21</v>
      </c>
      <c r="Z165" s="85">
        <v>22</v>
      </c>
      <c r="AA165" s="85">
        <v>23</v>
      </c>
      <c r="AB165" s="85">
        <v>24</v>
      </c>
      <c r="AC165" s="85">
        <v>25</v>
      </c>
      <c r="AD165" s="85">
        <v>26</v>
      </c>
      <c r="AE165" s="85">
        <v>27</v>
      </c>
      <c r="AF165" s="85">
        <v>28</v>
      </c>
      <c r="AG165" s="85">
        <v>29</v>
      </c>
      <c r="AH165" s="85">
        <v>30</v>
      </c>
      <c r="AI165" s="85">
        <v>31</v>
      </c>
      <c r="AJ165" s="85">
        <v>32</v>
      </c>
      <c r="AK165" s="85">
        <v>33</v>
      </c>
      <c r="AL165" s="85">
        <v>34</v>
      </c>
      <c r="AM165" s="85">
        <v>35</v>
      </c>
      <c r="AN165" s="85">
        <v>36</v>
      </c>
      <c r="AO165" s="85">
        <v>37</v>
      </c>
      <c r="AP165" s="85">
        <v>38</v>
      </c>
      <c r="AQ165" s="85">
        <v>39</v>
      </c>
      <c r="AR165" s="85">
        <v>40</v>
      </c>
      <c r="AS165" s="85">
        <v>41</v>
      </c>
      <c r="AT165" s="85">
        <v>42</v>
      </c>
      <c r="AU165" s="85">
        <v>43</v>
      </c>
      <c r="AV165" s="85">
        <v>44</v>
      </c>
      <c r="AW165" s="85">
        <v>45</v>
      </c>
      <c r="AX165" s="85">
        <v>46</v>
      </c>
      <c r="AY165" s="85">
        <v>47</v>
      </c>
      <c r="AZ165" s="85">
        <v>48</v>
      </c>
      <c r="BA165" s="85">
        <v>49</v>
      </c>
      <c r="BB165" s="85">
        <v>50</v>
      </c>
      <c r="BC165" s="85">
        <v>51</v>
      </c>
      <c r="BD165" s="85">
        <v>52</v>
      </c>
      <c r="BE165" s="289">
        <f t="shared" si="6"/>
        <v>52</v>
      </c>
    </row>
    <row r="166" spans="2:57" ht="12" hidden="1" customHeight="1" x14ac:dyDescent="0.25">
      <c r="B166" s="38" t="s">
        <v>19</v>
      </c>
      <c r="C166" s="387"/>
      <c r="E166" s="62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289">
        <f t="shared" si="6"/>
        <v>0</v>
      </c>
    </row>
    <row r="167" spans="2:57" ht="12" hidden="1" customHeight="1" thickBot="1" x14ac:dyDescent="0.3">
      <c r="B167" s="8"/>
      <c r="C167" s="380" t="s">
        <v>18</v>
      </c>
      <c r="E167" s="59" t="s">
        <v>0</v>
      </c>
      <c r="F167" s="72"/>
      <c r="G167" s="72"/>
      <c r="H167" s="72"/>
      <c r="I167" s="72"/>
      <c r="J167" s="59" t="s">
        <v>0</v>
      </c>
      <c r="K167" s="72"/>
      <c r="L167" s="72"/>
      <c r="M167" s="72"/>
      <c r="N167" s="59" t="s">
        <v>0</v>
      </c>
      <c r="O167" s="72"/>
      <c r="P167" s="72"/>
      <c r="Q167" s="72"/>
      <c r="R167" s="59" t="s">
        <v>0</v>
      </c>
      <c r="S167" s="72"/>
      <c r="T167" s="72"/>
      <c r="U167" s="72"/>
      <c r="V167" s="72"/>
      <c r="W167" s="59" t="s">
        <v>0</v>
      </c>
      <c r="X167" s="72"/>
      <c r="Y167" s="72"/>
      <c r="Z167" s="72"/>
      <c r="AA167" s="59" t="s">
        <v>0</v>
      </c>
      <c r="AB167" s="72"/>
      <c r="AC167" s="72"/>
      <c r="AD167" s="72"/>
      <c r="AE167" s="59" t="s">
        <v>0</v>
      </c>
      <c r="AF167" s="72"/>
      <c r="AG167" s="72"/>
      <c r="AH167" s="72"/>
      <c r="AI167" s="72"/>
      <c r="AJ167" s="59" t="s">
        <v>0</v>
      </c>
      <c r="AK167" s="72"/>
      <c r="AL167" s="72"/>
      <c r="AM167" s="72"/>
      <c r="AN167" s="59" t="s">
        <v>0</v>
      </c>
      <c r="AO167" s="72"/>
      <c r="AP167" s="72"/>
      <c r="AQ167" s="72"/>
      <c r="AR167" s="72"/>
      <c r="AS167" s="59" t="s">
        <v>0</v>
      </c>
      <c r="AT167" s="72"/>
      <c r="AU167" s="72"/>
      <c r="AV167" s="72"/>
      <c r="AW167" s="59" t="s">
        <v>0</v>
      </c>
      <c r="AX167" s="72"/>
      <c r="AY167" s="72"/>
      <c r="AZ167" s="72"/>
      <c r="BA167" s="59" t="s">
        <v>0</v>
      </c>
      <c r="BB167" s="72"/>
      <c r="BC167" s="72"/>
      <c r="BD167" s="72"/>
      <c r="BE167" s="289">
        <f t="shared" si="6"/>
        <v>12</v>
      </c>
    </row>
    <row r="168" spans="2:57" ht="12" hidden="1" customHeight="1" thickBot="1" x14ac:dyDescent="0.3">
      <c r="B168" s="8"/>
      <c r="E168" s="416" t="s">
        <v>15</v>
      </c>
      <c r="F168" s="417"/>
      <c r="G168" s="417"/>
      <c r="H168" s="417"/>
      <c r="I168" s="418"/>
      <c r="J168" s="416" t="s">
        <v>14</v>
      </c>
      <c r="K168" s="417"/>
      <c r="L168" s="417"/>
      <c r="M168" s="418"/>
      <c r="N168" s="413" t="s">
        <v>13</v>
      </c>
      <c r="O168" s="414"/>
      <c r="P168" s="414"/>
      <c r="Q168" s="415"/>
      <c r="R168" s="413" t="s">
        <v>12</v>
      </c>
      <c r="S168" s="414"/>
      <c r="T168" s="414"/>
      <c r="U168" s="414"/>
      <c r="V168" s="415"/>
      <c r="W168" s="413" t="s">
        <v>11</v>
      </c>
      <c r="X168" s="414"/>
      <c r="Y168" s="414"/>
      <c r="Z168" s="415"/>
      <c r="AA168" s="416" t="s">
        <v>10</v>
      </c>
      <c r="AB168" s="417"/>
      <c r="AC168" s="417"/>
      <c r="AD168" s="418"/>
      <c r="AE168" s="413" t="s">
        <v>9</v>
      </c>
      <c r="AF168" s="414"/>
      <c r="AG168" s="414"/>
      <c r="AH168" s="414"/>
      <c r="AI168" s="415"/>
      <c r="AJ168" s="413" t="s">
        <v>8</v>
      </c>
      <c r="AK168" s="414"/>
      <c r="AL168" s="414"/>
      <c r="AM168" s="415"/>
      <c r="AN168" s="416" t="s">
        <v>7</v>
      </c>
      <c r="AO168" s="417"/>
      <c r="AP168" s="417"/>
      <c r="AQ168" s="417"/>
      <c r="AR168" s="418"/>
      <c r="AS168" s="413" t="s">
        <v>6</v>
      </c>
      <c r="AT168" s="414"/>
      <c r="AU168" s="414"/>
      <c r="AV168" s="415"/>
      <c r="AW168" s="413" t="s">
        <v>5</v>
      </c>
      <c r="AX168" s="414"/>
      <c r="AY168" s="414"/>
      <c r="AZ168" s="415"/>
      <c r="BA168" s="416" t="s">
        <v>4</v>
      </c>
      <c r="BB168" s="417"/>
      <c r="BC168" s="417"/>
      <c r="BD168" s="417"/>
      <c r="BE168" s="289">
        <f t="shared" si="6"/>
        <v>12</v>
      </c>
    </row>
    <row r="169" spans="2:57" ht="12" customHeight="1" thickBot="1" x14ac:dyDescent="0.3">
      <c r="B169" s="4"/>
      <c r="C169" s="372" t="s">
        <v>17</v>
      </c>
      <c r="D169" s="363"/>
      <c r="E169" s="80">
        <v>1</v>
      </c>
      <c r="F169" s="81">
        <v>2</v>
      </c>
      <c r="G169" s="81">
        <v>3</v>
      </c>
      <c r="H169" s="81">
        <v>4</v>
      </c>
      <c r="I169" s="81">
        <v>5</v>
      </c>
      <c r="J169" s="81">
        <v>6</v>
      </c>
      <c r="K169" s="81">
        <v>7</v>
      </c>
      <c r="L169" s="81">
        <v>8</v>
      </c>
      <c r="M169" s="81">
        <v>9</v>
      </c>
      <c r="N169" s="81">
        <v>10</v>
      </c>
      <c r="O169" s="81">
        <v>11</v>
      </c>
      <c r="P169" s="81">
        <v>12</v>
      </c>
      <c r="Q169" s="81">
        <v>13</v>
      </c>
      <c r="R169" s="81">
        <v>14</v>
      </c>
      <c r="S169" s="81">
        <v>15</v>
      </c>
      <c r="T169" s="81">
        <v>16</v>
      </c>
      <c r="U169" s="81">
        <v>17</v>
      </c>
      <c r="V169" s="81">
        <v>18</v>
      </c>
      <c r="W169" s="81">
        <v>19</v>
      </c>
      <c r="X169" s="81">
        <v>20</v>
      </c>
      <c r="Y169" s="81">
        <v>21</v>
      </c>
      <c r="Z169" s="81">
        <v>22</v>
      </c>
      <c r="AA169" s="81">
        <v>23</v>
      </c>
      <c r="AB169" s="81">
        <v>24</v>
      </c>
      <c r="AC169" s="81">
        <v>25</v>
      </c>
      <c r="AD169" s="81">
        <v>26</v>
      </c>
      <c r="AE169" s="81">
        <v>27</v>
      </c>
      <c r="AF169" s="81">
        <v>28</v>
      </c>
      <c r="AG169" s="81">
        <v>29</v>
      </c>
      <c r="AH169" s="81">
        <v>30</v>
      </c>
      <c r="AI169" s="81">
        <v>31</v>
      </c>
      <c r="AJ169" s="81">
        <v>32</v>
      </c>
      <c r="AK169" s="81">
        <v>33</v>
      </c>
      <c r="AL169" s="81">
        <v>34</v>
      </c>
      <c r="AM169" s="81">
        <v>35</v>
      </c>
      <c r="AN169" s="81">
        <v>36</v>
      </c>
      <c r="AO169" s="81">
        <v>37</v>
      </c>
      <c r="AP169" s="81">
        <v>38</v>
      </c>
      <c r="AQ169" s="81">
        <v>39</v>
      </c>
      <c r="AR169" s="81">
        <v>40</v>
      </c>
      <c r="AS169" s="81">
        <v>41</v>
      </c>
      <c r="AT169" s="81">
        <v>42</v>
      </c>
      <c r="AU169" s="81">
        <v>43</v>
      </c>
      <c r="AV169" s="81">
        <v>44</v>
      </c>
      <c r="AW169" s="81">
        <v>45</v>
      </c>
      <c r="AX169" s="81">
        <v>46</v>
      </c>
      <c r="AY169" s="81">
        <v>47</v>
      </c>
      <c r="AZ169" s="81">
        <v>48</v>
      </c>
      <c r="BA169" s="81">
        <v>49</v>
      </c>
      <c r="BB169" s="81">
        <v>50</v>
      </c>
      <c r="BC169" s="81">
        <v>51</v>
      </c>
      <c r="BD169" s="228">
        <v>52</v>
      </c>
    </row>
    <row r="170" spans="2:57" ht="12" hidden="1" customHeight="1" thickBot="1" x14ac:dyDescent="0.3">
      <c r="B170" s="51" t="s">
        <v>16</v>
      </c>
      <c r="C170" s="409"/>
      <c r="D170" s="361"/>
      <c r="E170" s="64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233"/>
      <c r="BE170" s="289">
        <f t="shared" si="6"/>
        <v>0</v>
      </c>
    </row>
    <row r="171" spans="2:57" ht="12" customHeight="1" x14ac:dyDescent="0.25">
      <c r="B171" s="5"/>
      <c r="C171" s="410" t="s">
        <v>255</v>
      </c>
      <c r="D171" s="361" t="s">
        <v>189</v>
      </c>
      <c r="E171" s="174"/>
      <c r="F171" s="107"/>
      <c r="G171" s="107"/>
      <c r="H171" s="186"/>
      <c r="I171" s="154"/>
      <c r="J171" s="107"/>
      <c r="K171" s="107"/>
      <c r="L171" s="107"/>
      <c r="M171" s="108"/>
      <c r="N171" s="177"/>
      <c r="O171" s="107"/>
      <c r="P171" s="107"/>
      <c r="Q171" s="186"/>
      <c r="R171" s="154"/>
      <c r="S171" s="107"/>
      <c r="T171" s="107"/>
      <c r="U171" s="186"/>
      <c r="V171" s="154"/>
      <c r="W171" s="107"/>
      <c r="X171" s="107"/>
      <c r="Y171" s="186"/>
      <c r="Z171" s="154"/>
      <c r="AA171" s="107"/>
      <c r="AB171" s="107"/>
      <c r="AC171" s="107"/>
      <c r="AD171" s="108"/>
      <c r="AE171" s="154"/>
      <c r="AF171" s="107"/>
      <c r="AG171" s="107"/>
      <c r="AH171" s="186"/>
      <c r="AI171" s="154"/>
      <c r="AJ171" s="107"/>
      <c r="AK171" s="107"/>
      <c r="AL171" s="107"/>
      <c r="AM171" s="108"/>
      <c r="AN171" s="154"/>
      <c r="AO171" s="107"/>
      <c r="AP171" s="107"/>
      <c r="AQ171" s="186"/>
      <c r="AR171" s="154"/>
      <c r="AS171" s="107"/>
      <c r="AT171" s="107"/>
      <c r="AU171" s="186"/>
      <c r="AV171" s="154"/>
      <c r="AW171" s="107"/>
      <c r="AX171" s="107"/>
      <c r="AY171" s="107"/>
      <c r="AZ171" s="108"/>
      <c r="BA171" s="177"/>
      <c r="BB171" s="107"/>
      <c r="BC171" s="107"/>
      <c r="BD171" s="108"/>
      <c r="BE171" s="289">
        <f t="shared" si="6"/>
        <v>0</v>
      </c>
    </row>
    <row r="172" spans="2:57" ht="12" customHeight="1" x14ac:dyDescent="0.25">
      <c r="B172" s="5"/>
      <c r="C172" s="398" t="s">
        <v>239</v>
      </c>
      <c r="D172" s="361" t="s">
        <v>190</v>
      </c>
      <c r="E172" s="175"/>
      <c r="F172" s="111"/>
      <c r="G172" s="111"/>
      <c r="H172" s="194"/>
      <c r="I172" s="110"/>
      <c r="J172" s="111"/>
      <c r="K172" s="111"/>
      <c r="L172" s="111"/>
      <c r="M172" s="112"/>
      <c r="N172" s="113"/>
      <c r="O172" s="111"/>
      <c r="P172" s="111"/>
      <c r="Q172" s="187"/>
      <c r="R172" s="110"/>
      <c r="S172" s="111"/>
      <c r="T172" s="111"/>
      <c r="U172" s="194"/>
      <c r="V172" s="110"/>
      <c r="W172" s="111"/>
      <c r="X172" s="111"/>
      <c r="Y172" s="187"/>
      <c r="Z172" s="110"/>
      <c r="AA172" s="111"/>
      <c r="AB172" s="111"/>
      <c r="AC172" s="111"/>
      <c r="AD172" s="112"/>
      <c r="AE172" s="110"/>
      <c r="AF172" s="111"/>
      <c r="AG172" s="111"/>
      <c r="AH172" s="187"/>
      <c r="AI172" s="110"/>
      <c r="AJ172" s="111"/>
      <c r="AK172" s="111"/>
      <c r="AL172" s="111"/>
      <c r="AM172" s="112"/>
      <c r="AN172" s="110"/>
      <c r="AO172" s="111"/>
      <c r="AP172" s="111"/>
      <c r="AQ172" s="187"/>
      <c r="AR172" s="110"/>
      <c r="AS172" s="111"/>
      <c r="AT172" s="111"/>
      <c r="AU172" s="111"/>
      <c r="AV172" s="110"/>
      <c r="AW172" s="111"/>
      <c r="AX172" s="111"/>
      <c r="AY172" s="111"/>
      <c r="AZ172" s="112"/>
      <c r="BA172" s="113"/>
      <c r="BB172" s="111"/>
      <c r="BC172" s="111"/>
      <c r="BD172" s="112"/>
      <c r="BE172" s="289">
        <f t="shared" si="6"/>
        <v>0</v>
      </c>
    </row>
    <row r="173" spans="2:57" ht="12" customHeight="1" thickBot="1" x14ac:dyDescent="0.3">
      <c r="B173" s="3"/>
      <c r="C173" s="380"/>
      <c r="D173" s="364"/>
      <c r="E173" s="147"/>
      <c r="F173" s="148"/>
      <c r="G173" s="148"/>
      <c r="H173" s="195"/>
      <c r="I173" s="147"/>
      <c r="J173" s="148"/>
      <c r="K173" s="148"/>
      <c r="L173" s="148"/>
      <c r="M173" s="149"/>
      <c r="N173" s="176"/>
      <c r="O173" s="148"/>
      <c r="P173" s="148"/>
      <c r="Q173" s="193"/>
      <c r="R173" s="147"/>
      <c r="S173" s="148"/>
      <c r="T173" s="148"/>
      <c r="U173" s="193"/>
      <c r="V173" s="147"/>
      <c r="W173" s="148"/>
      <c r="X173" s="148"/>
      <c r="Y173" s="193"/>
      <c r="Z173" s="147"/>
      <c r="AA173" s="148"/>
      <c r="AB173" s="148"/>
      <c r="AC173" s="148"/>
      <c r="AD173" s="149"/>
      <c r="AE173" s="147"/>
      <c r="AF173" s="148"/>
      <c r="AG173" s="148"/>
      <c r="AH173" s="193"/>
      <c r="AI173" s="147"/>
      <c r="AJ173" s="148"/>
      <c r="AK173" s="148"/>
      <c r="AL173" s="148"/>
      <c r="AM173" s="149"/>
      <c r="AN173" s="147"/>
      <c r="AO173" s="148"/>
      <c r="AP173" s="148"/>
      <c r="AQ173" s="193"/>
      <c r="AR173" s="147"/>
      <c r="AS173" s="148"/>
      <c r="AT173" s="148"/>
      <c r="AU173" s="193"/>
      <c r="AV173" s="147"/>
      <c r="AW173" s="148"/>
      <c r="AX173" s="148"/>
      <c r="AY173" s="148"/>
      <c r="AZ173" s="149"/>
      <c r="BA173" s="176"/>
      <c r="BB173" s="148"/>
      <c r="BC173" s="148"/>
      <c r="BD173" s="149"/>
      <c r="BE173" s="289">
        <f t="shared" si="6"/>
        <v>0</v>
      </c>
    </row>
    <row r="174" spans="2:57" ht="14.25" customHeight="1" thickBot="1" x14ac:dyDescent="0.3">
      <c r="B174" s="8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</row>
    <row r="175" spans="2:57" ht="12" hidden="1" customHeight="1" thickBot="1" x14ac:dyDescent="0.3">
      <c r="B175" s="8"/>
      <c r="E175" s="416" t="s">
        <v>15</v>
      </c>
      <c r="F175" s="417"/>
      <c r="G175" s="417"/>
      <c r="H175" s="417"/>
      <c r="I175" s="418"/>
      <c r="J175" s="416" t="s">
        <v>14</v>
      </c>
      <c r="K175" s="417"/>
      <c r="L175" s="417"/>
      <c r="M175" s="418"/>
      <c r="N175" s="413" t="s">
        <v>13</v>
      </c>
      <c r="O175" s="414"/>
      <c r="P175" s="414"/>
      <c r="Q175" s="415"/>
      <c r="R175" s="413" t="s">
        <v>12</v>
      </c>
      <c r="S175" s="414"/>
      <c r="T175" s="414"/>
      <c r="U175" s="414"/>
      <c r="V175" s="415"/>
      <c r="W175" s="413" t="s">
        <v>11</v>
      </c>
      <c r="X175" s="414"/>
      <c r="Y175" s="414"/>
      <c r="Z175" s="415"/>
      <c r="AA175" s="416" t="s">
        <v>10</v>
      </c>
      <c r="AB175" s="417"/>
      <c r="AC175" s="417"/>
      <c r="AD175" s="418"/>
      <c r="AE175" s="413" t="s">
        <v>9</v>
      </c>
      <c r="AF175" s="414"/>
      <c r="AG175" s="414"/>
      <c r="AH175" s="414"/>
      <c r="AI175" s="415"/>
      <c r="AJ175" s="413" t="s">
        <v>8</v>
      </c>
      <c r="AK175" s="414"/>
      <c r="AL175" s="414"/>
      <c r="AM175" s="415"/>
      <c r="AN175" s="416" t="s">
        <v>7</v>
      </c>
      <c r="AO175" s="417"/>
      <c r="AP175" s="417"/>
      <c r="AQ175" s="417"/>
      <c r="AR175" s="418"/>
      <c r="AS175" s="413" t="s">
        <v>6</v>
      </c>
      <c r="AT175" s="414"/>
      <c r="AU175" s="414"/>
      <c r="AV175" s="415"/>
      <c r="AW175" s="413" t="s">
        <v>5</v>
      </c>
      <c r="AX175" s="414"/>
      <c r="AY175" s="414"/>
      <c r="AZ175" s="415"/>
      <c r="BA175" s="416" t="s">
        <v>4</v>
      </c>
      <c r="BB175" s="417"/>
      <c r="BC175" s="417"/>
      <c r="BD175" s="417"/>
      <c r="BE175" s="289">
        <f t="shared" si="6"/>
        <v>12</v>
      </c>
    </row>
    <row r="176" spans="2:57" ht="12" customHeight="1" thickBot="1" x14ac:dyDescent="0.3">
      <c r="B176" s="4"/>
      <c r="C176" s="372" t="s">
        <v>179</v>
      </c>
      <c r="E176" s="94">
        <v>1</v>
      </c>
      <c r="F176" s="95">
        <v>2</v>
      </c>
      <c r="G176" s="95">
        <v>3</v>
      </c>
      <c r="H176" s="95">
        <v>4</v>
      </c>
      <c r="I176" s="95">
        <v>5</v>
      </c>
      <c r="J176" s="95">
        <v>6</v>
      </c>
      <c r="K176" s="95">
        <v>7</v>
      </c>
      <c r="L176" s="95">
        <v>8</v>
      </c>
      <c r="M176" s="95">
        <v>9</v>
      </c>
      <c r="N176" s="95">
        <v>10</v>
      </c>
      <c r="O176" s="95">
        <v>11</v>
      </c>
      <c r="P176" s="95">
        <v>12</v>
      </c>
      <c r="Q176" s="95">
        <v>13</v>
      </c>
      <c r="R176" s="95">
        <v>14</v>
      </c>
      <c r="S176" s="95">
        <v>15</v>
      </c>
      <c r="T176" s="95">
        <v>16</v>
      </c>
      <c r="U176" s="95">
        <v>17</v>
      </c>
      <c r="V176" s="95">
        <v>18</v>
      </c>
      <c r="W176" s="95">
        <v>19</v>
      </c>
      <c r="X176" s="95">
        <v>20</v>
      </c>
      <c r="Y176" s="95">
        <v>21</v>
      </c>
      <c r="Z176" s="95">
        <v>22</v>
      </c>
      <c r="AA176" s="95">
        <v>23</v>
      </c>
      <c r="AB176" s="95">
        <v>24</v>
      </c>
      <c r="AC176" s="95">
        <v>25</v>
      </c>
      <c r="AD176" s="95">
        <v>26</v>
      </c>
      <c r="AE176" s="95">
        <v>27</v>
      </c>
      <c r="AF176" s="95">
        <v>28</v>
      </c>
      <c r="AG176" s="95">
        <v>29</v>
      </c>
      <c r="AH176" s="95">
        <v>30</v>
      </c>
      <c r="AI176" s="95">
        <v>31</v>
      </c>
      <c r="AJ176" s="95">
        <v>32</v>
      </c>
      <c r="AK176" s="95">
        <v>33</v>
      </c>
      <c r="AL176" s="95">
        <v>34</v>
      </c>
      <c r="AM176" s="95">
        <v>35</v>
      </c>
      <c r="AN176" s="95">
        <v>36</v>
      </c>
      <c r="AO176" s="95">
        <v>37</v>
      </c>
      <c r="AP176" s="95">
        <v>38</v>
      </c>
      <c r="AQ176" s="95">
        <v>39</v>
      </c>
      <c r="AR176" s="95">
        <v>40</v>
      </c>
      <c r="AS176" s="95">
        <v>41</v>
      </c>
      <c r="AT176" s="95">
        <v>42</v>
      </c>
      <c r="AU176" s="95">
        <v>43</v>
      </c>
      <c r="AV176" s="95">
        <v>44</v>
      </c>
      <c r="AW176" s="95">
        <v>45</v>
      </c>
      <c r="AX176" s="95">
        <v>46</v>
      </c>
      <c r="AY176" s="95">
        <v>47</v>
      </c>
      <c r="AZ176" s="95">
        <v>48</v>
      </c>
      <c r="BA176" s="95">
        <v>49</v>
      </c>
      <c r="BB176" s="95">
        <v>50</v>
      </c>
      <c r="BC176" s="95">
        <v>51</v>
      </c>
      <c r="BD176" s="95">
        <v>52</v>
      </c>
    </row>
    <row r="177" spans="2:57" ht="12" hidden="1" customHeight="1" x14ac:dyDescent="0.25">
      <c r="B177" s="6" t="s">
        <v>3</v>
      </c>
      <c r="C177" s="411"/>
      <c r="E177" s="104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289">
        <f t="shared" si="6"/>
        <v>0</v>
      </c>
    </row>
    <row r="178" spans="2:57" ht="12" hidden="1" customHeight="1" x14ac:dyDescent="0.25">
      <c r="B178" s="6" t="s">
        <v>2</v>
      </c>
      <c r="C178" s="412"/>
      <c r="E178" s="110"/>
      <c r="F178" s="111"/>
      <c r="G178" s="111"/>
      <c r="H178" s="187"/>
      <c r="I178" s="110"/>
      <c r="J178" s="111"/>
      <c r="K178" s="111"/>
      <c r="L178" s="111"/>
      <c r="M178" s="112"/>
      <c r="N178" s="113"/>
      <c r="O178" s="111"/>
      <c r="P178" s="111"/>
      <c r="Q178" s="112"/>
      <c r="R178" s="110"/>
      <c r="S178" s="111"/>
      <c r="T178" s="111"/>
      <c r="U178" s="187"/>
      <c r="V178" s="110"/>
      <c r="W178" s="111"/>
      <c r="X178" s="111"/>
      <c r="Y178" s="187"/>
      <c r="Z178" s="110"/>
      <c r="AA178" s="111"/>
      <c r="AB178" s="111"/>
      <c r="AC178" s="111"/>
      <c r="AD178" s="112"/>
      <c r="AE178" s="110"/>
      <c r="AF178" s="111"/>
      <c r="AG178" s="111"/>
      <c r="AH178" s="187"/>
      <c r="AI178" s="110"/>
      <c r="AJ178" s="111"/>
      <c r="AK178" s="111"/>
      <c r="AL178" s="111"/>
      <c r="AM178" s="187"/>
      <c r="AN178" s="110"/>
      <c r="AO178" s="111"/>
      <c r="AP178" s="111"/>
      <c r="AQ178" s="187"/>
      <c r="AR178" s="110"/>
      <c r="AS178" s="111"/>
      <c r="AT178" s="111"/>
      <c r="AU178" s="187"/>
      <c r="AV178" s="110"/>
      <c r="AW178" s="111"/>
      <c r="AX178" s="111"/>
      <c r="AY178" s="111"/>
      <c r="AZ178" s="112"/>
      <c r="BA178" s="113"/>
      <c r="BB178" s="111"/>
      <c r="BC178" s="111"/>
      <c r="BD178" s="111"/>
      <c r="BE178" s="289">
        <f t="shared" si="6"/>
        <v>0</v>
      </c>
    </row>
    <row r="179" spans="2:57" ht="12" customHeight="1" x14ac:dyDescent="0.25">
      <c r="B179" s="6"/>
      <c r="C179" s="399" t="s">
        <v>240</v>
      </c>
      <c r="D179" s="358" t="s">
        <v>189</v>
      </c>
      <c r="E179" s="110"/>
      <c r="F179" s="357"/>
      <c r="G179" s="111"/>
      <c r="H179" s="187"/>
      <c r="I179" s="110"/>
      <c r="J179" s="111"/>
      <c r="K179" s="111"/>
      <c r="L179" s="111"/>
      <c r="M179" s="112"/>
      <c r="N179" s="113"/>
      <c r="O179" s="357"/>
      <c r="P179" s="111"/>
      <c r="Q179" s="112"/>
      <c r="R179" s="110"/>
      <c r="S179" s="111"/>
      <c r="T179" s="111"/>
      <c r="U179" s="187"/>
      <c r="V179" s="110"/>
      <c r="W179" s="111"/>
      <c r="X179" s="111"/>
      <c r="Y179" s="187"/>
      <c r="Z179" s="110"/>
      <c r="AA179" s="111"/>
      <c r="AB179" s="156"/>
      <c r="AC179" s="111"/>
      <c r="AD179" s="112"/>
      <c r="AE179" s="110"/>
      <c r="AF179" s="357"/>
      <c r="AG179" s="111"/>
      <c r="AH179" s="187"/>
      <c r="AI179" s="110"/>
      <c r="AJ179" s="111"/>
      <c r="AK179" s="111"/>
      <c r="AL179" s="111"/>
      <c r="AM179" s="187"/>
      <c r="AN179" s="110"/>
      <c r="AO179" s="111"/>
      <c r="AP179" s="111"/>
      <c r="AQ179" s="187"/>
      <c r="AR179" s="110"/>
      <c r="AS179" s="111"/>
      <c r="AT179" s="111"/>
      <c r="AU179" s="187"/>
      <c r="AV179" s="110"/>
      <c r="AW179" s="111"/>
      <c r="AX179" s="111"/>
      <c r="AY179" s="111"/>
      <c r="AZ179" s="112"/>
      <c r="BA179" s="113"/>
      <c r="BB179" s="156"/>
      <c r="BC179" s="111"/>
      <c r="BD179" s="111"/>
      <c r="BE179" s="289">
        <f t="shared" si="6"/>
        <v>0</v>
      </c>
    </row>
    <row r="180" spans="2:57" ht="12" customHeight="1" x14ac:dyDescent="0.25">
      <c r="B180" s="6"/>
      <c r="C180" s="399" t="s">
        <v>241</v>
      </c>
      <c r="D180" s="358" t="s">
        <v>189</v>
      </c>
      <c r="E180" s="110"/>
      <c r="F180" s="111"/>
      <c r="G180" s="357"/>
      <c r="H180" s="187"/>
      <c r="I180" s="110"/>
      <c r="J180" s="111"/>
      <c r="K180" s="111"/>
      <c r="L180" s="111"/>
      <c r="M180" s="112"/>
      <c r="N180" s="113"/>
      <c r="O180" s="111"/>
      <c r="P180" s="111"/>
      <c r="Q180" s="112"/>
      <c r="R180" s="110"/>
      <c r="S180" s="111"/>
      <c r="T180" s="357"/>
      <c r="U180" s="187"/>
      <c r="V180" s="110"/>
      <c r="W180" s="111"/>
      <c r="X180" s="111"/>
      <c r="Y180" s="187"/>
      <c r="Z180" s="110"/>
      <c r="AA180" s="111"/>
      <c r="AB180" s="111"/>
      <c r="AC180" s="111"/>
      <c r="AD180" s="112"/>
      <c r="AE180" s="110"/>
      <c r="AF180" s="111"/>
      <c r="AG180" s="357"/>
      <c r="AH180" s="187"/>
      <c r="AI180" s="110"/>
      <c r="AJ180" s="111"/>
      <c r="AK180" s="111"/>
      <c r="AL180" s="111"/>
      <c r="AM180" s="187"/>
      <c r="AN180" s="110"/>
      <c r="AO180" s="111"/>
      <c r="AP180" s="111"/>
      <c r="AQ180" s="187"/>
      <c r="AR180" s="110"/>
      <c r="AS180" s="111"/>
      <c r="AT180" s="111"/>
      <c r="AU180" s="187"/>
      <c r="AV180" s="110"/>
      <c r="AW180" s="111"/>
      <c r="AX180" s="111"/>
      <c r="AY180" s="111"/>
      <c r="AZ180" s="112"/>
      <c r="BA180" s="113"/>
      <c r="BB180" s="111"/>
      <c r="BC180" s="111"/>
      <c r="BD180" s="111"/>
      <c r="BE180" s="289">
        <f t="shared" si="6"/>
        <v>0</v>
      </c>
    </row>
    <row r="181" spans="2:57" ht="12" customHeight="1" thickBot="1" x14ac:dyDescent="0.3">
      <c r="B181" s="3"/>
      <c r="C181" s="384" t="s">
        <v>242</v>
      </c>
      <c r="D181" s="358" t="s">
        <v>190</v>
      </c>
      <c r="E181" s="147"/>
      <c r="F181" s="148"/>
      <c r="G181" s="148"/>
      <c r="H181" s="193"/>
      <c r="I181" s="147"/>
      <c r="J181" s="148"/>
      <c r="K181" s="148"/>
      <c r="L181" s="148"/>
      <c r="M181" s="149"/>
      <c r="N181" s="176"/>
      <c r="O181" s="148"/>
      <c r="P181" s="148"/>
      <c r="Q181" s="149"/>
      <c r="R181" s="147"/>
      <c r="S181" s="148"/>
      <c r="T181" s="148"/>
      <c r="U181" s="193"/>
      <c r="V181" s="147"/>
      <c r="W181" s="148"/>
      <c r="X181" s="148"/>
      <c r="Y181" s="193"/>
      <c r="Z181" s="147"/>
      <c r="AA181" s="148"/>
      <c r="AB181" s="158"/>
      <c r="AC181" s="148"/>
      <c r="AD181" s="149"/>
      <c r="AE181" s="147"/>
      <c r="AF181" s="148"/>
      <c r="AG181" s="148"/>
      <c r="AH181" s="193"/>
      <c r="AI181" s="147"/>
      <c r="AJ181" s="148"/>
      <c r="AK181" s="148"/>
      <c r="AL181" s="148"/>
      <c r="AM181" s="193"/>
      <c r="AN181" s="147"/>
      <c r="AO181" s="148"/>
      <c r="AP181" s="148"/>
      <c r="AQ181" s="193"/>
      <c r="AR181" s="147"/>
      <c r="AS181" s="148"/>
      <c r="AT181" s="148"/>
      <c r="AU181" s="193"/>
      <c r="AV181" s="147"/>
      <c r="AW181" s="148"/>
      <c r="AX181" s="148"/>
      <c r="AY181" s="148"/>
      <c r="AZ181" s="149"/>
      <c r="BA181" s="176"/>
      <c r="BB181" s="158"/>
      <c r="BC181" s="148"/>
      <c r="BD181" s="148"/>
      <c r="BE181" s="289">
        <f t="shared" si="6"/>
        <v>0</v>
      </c>
    </row>
    <row r="182" spans="2:57" x14ac:dyDescent="0.25">
      <c r="B182" s="8"/>
    </row>
    <row r="183" spans="2:57" hidden="1" x14ac:dyDescent="0.25">
      <c r="B183" s="8"/>
    </row>
    <row r="184" spans="2:57" hidden="1" x14ac:dyDescent="0.25">
      <c r="B184" s="8"/>
    </row>
    <row r="185" spans="2:57" hidden="1" x14ac:dyDescent="0.25">
      <c r="B185" s="8"/>
    </row>
    <row r="186" spans="2:57" hidden="1" x14ac:dyDescent="0.25">
      <c r="B186" s="8"/>
    </row>
    <row r="187" spans="2:57" hidden="1" x14ac:dyDescent="0.25">
      <c r="B187" s="8"/>
    </row>
    <row r="188" spans="2:57" hidden="1" x14ac:dyDescent="0.25">
      <c r="B188" s="8"/>
    </row>
    <row r="189" spans="2:57" hidden="1" x14ac:dyDescent="0.25">
      <c r="B189" s="8"/>
    </row>
    <row r="190" spans="2:57" hidden="1" x14ac:dyDescent="0.25">
      <c r="B190" s="8"/>
    </row>
    <row r="191" spans="2:57" hidden="1" x14ac:dyDescent="0.25">
      <c r="B191" s="8"/>
    </row>
    <row r="192" spans="2:57" hidden="1" x14ac:dyDescent="0.25">
      <c r="B192" s="8"/>
    </row>
    <row r="193" spans="2:2" hidden="1" x14ac:dyDescent="0.25">
      <c r="B193" s="8"/>
    </row>
    <row r="194" spans="2:2" hidden="1" x14ac:dyDescent="0.25">
      <c r="B194" s="8"/>
    </row>
    <row r="195" spans="2:2" hidden="1" x14ac:dyDescent="0.25">
      <c r="B195" s="8"/>
    </row>
    <row r="196" spans="2:2" hidden="1" x14ac:dyDescent="0.25">
      <c r="B196" s="8"/>
    </row>
    <row r="197" spans="2:2" hidden="1" x14ac:dyDescent="0.25">
      <c r="B197" s="8"/>
    </row>
    <row r="198" spans="2:2" hidden="1" x14ac:dyDescent="0.25">
      <c r="B198" s="8"/>
    </row>
    <row r="199" spans="2:2" hidden="1" x14ac:dyDescent="0.25">
      <c r="B199" s="8"/>
    </row>
    <row r="200" spans="2:2" hidden="1" x14ac:dyDescent="0.25">
      <c r="B200" s="8"/>
    </row>
    <row r="201" spans="2:2" hidden="1" x14ac:dyDescent="0.25">
      <c r="B201" s="8"/>
    </row>
    <row r="202" spans="2:2" hidden="1" x14ac:dyDescent="0.25">
      <c r="B202" s="8"/>
    </row>
    <row r="203" spans="2:2" hidden="1" x14ac:dyDescent="0.25">
      <c r="B203" s="8"/>
    </row>
    <row r="204" spans="2:2" hidden="1" x14ac:dyDescent="0.25">
      <c r="B204" s="8"/>
    </row>
    <row r="205" spans="2:2" hidden="1" x14ac:dyDescent="0.25">
      <c r="B205" s="8"/>
    </row>
    <row r="206" spans="2:2" hidden="1" x14ac:dyDescent="0.25">
      <c r="B206" s="8"/>
    </row>
    <row r="207" spans="2:2" hidden="1" x14ac:dyDescent="0.25">
      <c r="B207" s="8"/>
    </row>
    <row r="208" spans="2:2" hidden="1" x14ac:dyDescent="0.25">
      <c r="B208" s="8"/>
    </row>
    <row r="209" spans="2:2" hidden="1" x14ac:dyDescent="0.25">
      <c r="B209" s="8"/>
    </row>
    <row r="210" spans="2:2" hidden="1" x14ac:dyDescent="0.25">
      <c r="B210" s="8"/>
    </row>
    <row r="211" spans="2:2" hidden="1" x14ac:dyDescent="0.25">
      <c r="B211" s="8"/>
    </row>
    <row r="212" spans="2:2" hidden="1" x14ac:dyDescent="0.25">
      <c r="B212" s="8"/>
    </row>
    <row r="213" spans="2:2" hidden="1" x14ac:dyDescent="0.25">
      <c r="B213" s="8"/>
    </row>
    <row r="214" spans="2:2" hidden="1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</sheetData>
  <mergeCells count="110">
    <mergeCell ref="W117:Z117"/>
    <mergeCell ref="AA117:AD117"/>
    <mergeCell ref="AN117:AR117"/>
    <mergeCell ref="AS117:AV117"/>
    <mergeCell ref="AE117:AI117"/>
    <mergeCell ref="AJ117:AM117"/>
    <mergeCell ref="W131:Z131"/>
    <mergeCell ref="AA131:AD131"/>
    <mergeCell ref="AW117:AZ117"/>
    <mergeCell ref="BA117:BD117"/>
    <mergeCell ref="AN10:AQ10"/>
    <mergeCell ref="AR10:AU10"/>
    <mergeCell ref="Q2:AS2"/>
    <mergeCell ref="E9:BD9"/>
    <mergeCell ref="E10:H10"/>
    <mergeCell ref="I10:M10"/>
    <mergeCell ref="N10:Q10"/>
    <mergeCell ref="R10:U10"/>
    <mergeCell ref="V10:Y10"/>
    <mergeCell ref="Z10:AD10"/>
    <mergeCell ref="AE10:AH10"/>
    <mergeCell ref="AI10:AM10"/>
    <mergeCell ref="AV10:AZ10"/>
    <mergeCell ref="BA10:BD10"/>
    <mergeCell ref="E117:I117"/>
    <mergeCell ref="J117:M117"/>
    <mergeCell ref="N117:Q117"/>
    <mergeCell ref="R117:V117"/>
    <mergeCell ref="BA141:BD141"/>
    <mergeCell ref="E141:I141"/>
    <mergeCell ref="J141:M141"/>
    <mergeCell ref="N141:Q141"/>
    <mergeCell ref="R141:V141"/>
    <mergeCell ref="W141:Z141"/>
    <mergeCell ref="AA141:AD141"/>
    <mergeCell ref="AE131:AI131"/>
    <mergeCell ref="AJ131:AM131"/>
    <mergeCell ref="AN131:AR131"/>
    <mergeCell ref="AS131:AV131"/>
    <mergeCell ref="AW131:AZ131"/>
    <mergeCell ref="BA131:BD131"/>
    <mergeCell ref="E131:I131"/>
    <mergeCell ref="J131:M131"/>
    <mergeCell ref="N131:Q131"/>
    <mergeCell ref="R131:V131"/>
    <mergeCell ref="AE141:AI141"/>
    <mergeCell ref="AJ141:AM141"/>
    <mergeCell ref="AN141:AR141"/>
    <mergeCell ref="AS141:AV141"/>
    <mergeCell ref="AW141:AZ141"/>
    <mergeCell ref="AE153:AI153"/>
    <mergeCell ref="AJ153:AM153"/>
    <mergeCell ref="AN153:AR153"/>
    <mergeCell ref="AS153:AV153"/>
    <mergeCell ref="AW153:AZ153"/>
    <mergeCell ref="BA153:BD153"/>
    <mergeCell ref="E153:I153"/>
    <mergeCell ref="J153:M153"/>
    <mergeCell ref="N153:Q153"/>
    <mergeCell ref="R153:V153"/>
    <mergeCell ref="W153:Z153"/>
    <mergeCell ref="AA153:AD153"/>
    <mergeCell ref="AE162:AI162"/>
    <mergeCell ref="AJ162:AM162"/>
    <mergeCell ref="AN162:AR162"/>
    <mergeCell ref="AS162:AV162"/>
    <mergeCell ref="AW162:AZ162"/>
    <mergeCell ref="BA162:BD162"/>
    <mergeCell ref="E162:I162"/>
    <mergeCell ref="J162:M162"/>
    <mergeCell ref="N162:Q162"/>
    <mergeCell ref="R162:V162"/>
    <mergeCell ref="W162:Z162"/>
    <mergeCell ref="AA162:AD162"/>
    <mergeCell ref="AE164:AI164"/>
    <mergeCell ref="AJ164:AM164"/>
    <mergeCell ref="AN164:AR164"/>
    <mergeCell ref="AS164:AV164"/>
    <mergeCell ref="AW164:AZ164"/>
    <mergeCell ref="BA164:BD164"/>
    <mergeCell ref="E164:I164"/>
    <mergeCell ref="J164:M164"/>
    <mergeCell ref="N164:Q164"/>
    <mergeCell ref="R164:V164"/>
    <mergeCell ref="W164:Z164"/>
    <mergeCell ref="AA164:AD164"/>
    <mergeCell ref="AE168:AI168"/>
    <mergeCell ref="AJ168:AM168"/>
    <mergeCell ref="AN168:AR168"/>
    <mergeCell ref="AS168:AV168"/>
    <mergeCell ref="AW168:AZ168"/>
    <mergeCell ref="BA168:BD168"/>
    <mergeCell ref="E168:I168"/>
    <mergeCell ref="J168:M168"/>
    <mergeCell ref="N168:Q168"/>
    <mergeCell ref="R168:V168"/>
    <mergeCell ref="W168:Z168"/>
    <mergeCell ref="AA168:AD168"/>
    <mergeCell ref="AE175:AI175"/>
    <mergeCell ref="AJ175:AM175"/>
    <mergeCell ref="AN175:AR175"/>
    <mergeCell ref="AS175:AV175"/>
    <mergeCell ref="AW175:AZ175"/>
    <mergeCell ref="BA175:BD175"/>
    <mergeCell ref="E175:I175"/>
    <mergeCell ref="J175:M175"/>
    <mergeCell ref="N175:Q175"/>
    <mergeCell ref="R175:V175"/>
    <mergeCell ref="W175:Z175"/>
    <mergeCell ref="AA175:AD175"/>
  </mergeCells>
  <conditionalFormatting sqref="F19 F24 H22 F28 F22">
    <cfRule type="cellIs" dxfId="255" priority="239" operator="equal">
      <formula>"BV"</formula>
    </cfRule>
  </conditionalFormatting>
  <conditionalFormatting sqref="AU36">
    <cfRule type="cellIs" dxfId="254" priority="236" operator="equal">
      <formula>2</formula>
    </cfRule>
  </conditionalFormatting>
  <conditionalFormatting sqref="E13">
    <cfRule type="containsText" dxfId="253" priority="232" operator="containsText" text="BQ-BV">
      <formula>NOT(ISERROR(SEARCH("BQ-BV",E13)))</formula>
    </cfRule>
  </conditionalFormatting>
  <conditionalFormatting sqref="BB28">
    <cfRule type="cellIs" dxfId="252" priority="214" operator="equal">
      <formula>"BV"</formula>
    </cfRule>
  </conditionalFormatting>
  <conditionalFormatting sqref="B90:B93">
    <cfRule type="containsText" dxfId="251" priority="195" operator="containsText" text="BV">
      <formula>NOT(ISERROR(SEARCH("BV",B90)))</formula>
    </cfRule>
    <cfRule type="containsText" dxfId="250" priority="196" operator="containsText" text="V">
      <formula>NOT(ISERROR(SEARCH("V",B90)))</formula>
    </cfRule>
    <cfRule type="containsText" dxfId="249" priority="197" operator="containsText" text="BQ-BV">
      <formula>NOT(ISERROR(SEARCH("BQ-BV",B90)))</formula>
    </cfRule>
    <cfRule type="containsText" dxfId="248" priority="198" operator="containsText" text="V">
      <formula>NOT(ISERROR(SEARCH("V",B90)))</formula>
    </cfRule>
    <cfRule type="containsText" dxfId="247" priority="199" operator="containsText" text="QB">
      <formula>NOT(ISERROR(SEARCH("QB",B90)))</formula>
    </cfRule>
    <cfRule type="containsText" dxfId="246" priority="200" operator="containsText" text="BQ">
      <formula>NOT(ISERROR(SEARCH("BQ",B90)))</formula>
    </cfRule>
    <cfRule type="containsText" dxfId="245" priority="201" operator="containsText" text="BQ-BV">
      <formula>NOT(ISERROR(SEARCH("BQ-BV",B90)))</formula>
    </cfRule>
    <cfRule type="containsText" dxfId="244" priority="202" operator="containsText" text="BV">
      <formula>NOT(ISERROR(SEARCH("BV",B90)))</formula>
    </cfRule>
    <cfRule type="containsText" dxfId="243" priority="203" operator="containsText" text="BQ">
      <formula>NOT(ISERROR(SEARCH("BQ",B90)))</formula>
    </cfRule>
  </conditionalFormatting>
  <conditionalFormatting sqref="B90:B93">
    <cfRule type="containsText" dxfId="242" priority="194" operator="containsText" text="V">
      <formula>NOT(ISERROR(SEARCH("V",B90)))</formula>
    </cfRule>
  </conditionalFormatting>
  <conditionalFormatting sqref="J28">
    <cfRule type="cellIs" dxfId="241" priority="183" operator="equal">
      <formula>"BV"</formula>
    </cfRule>
  </conditionalFormatting>
  <conditionalFormatting sqref="O28">
    <cfRule type="cellIs" dxfId="240" priority="182" operator="equal">
      <formula>"BV"</formula>
    </cfRule>
  </conditionalFormatting>
  <conditionalFormatting sqref="S28">
    <cfRule type="cellIs" dxfId="239" priority="181" operator="equal">
      <formula>"BV"</formula>
    </cfRule>
  </conditionalFormatting>
  <conditionalFormatting sqref="W28">
    <cfRule type="cellIs" dxfId="238" priority="180" operator="equal">
      <formula>"BV"</formula>
    </cfRule>
  </conditionalFormatting>
  <conditionalFormatting sqref="AA28">
    <cfRule type="cellIs" dxfId="237" priority="179" operator="equal">
      <formula>"BV"</formula>
    </cfRule>
  </conditionalFormatting>
  <conditionalFormatting sqref="AJ28">
    <cfRule type="cellIs" dxfId="236" priority="178" operator="equal">
      <formula>"BV"</formula>
    </cfRule>
  </conditionalFormatting>
  <conditionalFormatting sqref="AO28">
    <cfRule type="cellIs" dxfId="235" priority="177" operator="equal">
      <formula>"BV"</formula>
    </cfRule>
  </conditionalFormatting>
  <conditionalFormatting sqref="AS28">
    <cfRule type="cellIs" dxfId="234" priority="176" operator="equal">
      <formula>"BV"</formula>
    </cfRule>
  </conditionalFormatting>
  <conditionalFormatting sqref="AW28">
    <cfRule type="cellIs" dxfId="233" priority="175" operator="equal">
      <formula>"BV"</formula>
    </cfRule>
  </conditionalFormatting>
  <conditionalFormatting sqref="BB28">
    <cfRule type="cellIs" dxfId="232" priority="174" operator="equal">
      <formula>"BV"</formula>
    </cfRule>
  </conditionalFormatting>
  <conditionalFormatting sqref="K24">
    <cfRule type="cellIs" dxfId="231" priority="173" operator="equal">
      <formula>"BV"</formula>
    </cfRule>
  </conditionalFormatting>
  <conditionalFormatting sqref="O24">
    <cfRule type="cellIs" dxfId="230" priority="172" operator="equal">
      <formula>"BV"</formula>
    </cfRule>
  </conditionalFormatting>
  <conditionalFormatting sqref="S24">
    <cfRule type="cellIs" dxfId="229" priority="171" operator="equal">
      <formula>"BV"</formula>
    </cfRule>
  </conditionalFormatting>
  <conditionalFormatting sqref="X24">
    <cfRule type="cellIs" dxfId="228" priority="170" operator="equal">
      <formula>"BV"</formula>
    </cfRule>
  </conditionalFormatting>
  <conditionalFormatting sqref="AB24">
    <cfRule type="cellIs" dxfId="227" priority="169" operator="equal">
      <formula>"BV"</formula>
    </cfRule>
  </conditionalFormatting>
  <conditionalFormatting sqref="AF24">
    <cfRule type="cellIs" dxfId="226" priority="168" operator="equal">
      <formula>"BV"</formula>
    </cfRule>
  </conditionalFormatting>
  <conditionalFormatting sqref="AK24">
    <cfRule type="cellIs" dxfId="225" priority="167" operator="equal">
      <formula>"BV"</formula>
    </cfRule>
  </conditionalFormatting>
  <conditionalFormatting sqref="AO24">
    <cfRule type="cellIs" dxfId="224" priority="166" operator="equal">
      <formula>"BV"</formula>
    </cfRule>
  </conditionalFormatting>
  <conditionalFormatting sqref="AT24">
    <cfRule type="cellIs" dxfId="223" priority="165" operator="equal">
      <formula>"BV"</formula>
    </cfRule>
  </conditionalFormatting>
  <conditionalFormatting sqref="AX24">
    <cfRule type="cellIs" dxfId="222" priority="164" operator="equal">
      <formula>"BV"</formula>
    </cfRule>
  </conditionalFormatting>
  <conditionalFormatting sqref="BB24">
    <cfRule type="cellIs" dxfId="221" priority="163" operator="equal">
      <formula>"BV"</formula>
    </cfRule>
  </conditionalFormatting>
  <conditionalFormatting sqref="A137:B137 D137:XFD137">
    <cfRule type="containsText" dxfId="220" priority="154" operator="containsText" text="BV">
      <formula>NOT(ISERROR(SEARCH("BV",A137)))</formula>
    </cfRule>
    <cfRule type="containsText" dxfId="219" priority="155" operator="containsText" text="V">
      <formula>NOT(ISERROR(SEARCH("V",A137)))</formula>
    </cfRule>
    <cfRule type="containsText" dxfId="218" priority="156" operator="containsText" text="BQ-BV">
      <formula>NOT(ISERROR(SEARCH("BQ-BV",A137)))</formula>
    </cfRule>
    <cfRule type="containsText" dxfId="217" priority="157" operator="containsText" text="V">
      <formula>NOT(ISERROR(SEARCH("V",A137)))</formula>
    </cfRule>
    <cfRule type="containsText" dxfId="216" priority="158" operator="containsText" text="QB">
      <formula>NOT(ISERROR(SEARCH("QB",A137)))</formula>
    </cfRule>
    <cfRule type="containsText" dxfId="215" priority="159" operator="containsText" text="BQ">
      <formula>NOT(ISERROR(SEARCH("BQ",A137)))</formula>
    </cfRule>
    <cfRule type="containsText" dxfId="214" priority="160" operator="containsText" text="BQ-BV">
      <formula>NOT(ISERROR(SEARCH("BQ-BV",A137)))</formula>
    </cfRule>
    <cfRule type="containsText" dxfId="213" priority="161" operator="containsText" text="BV">
      <formula>NOT(ISERROR(SEARCH("BV",A137)))</formula>
    </cfRule>
    <cfRule type="containsText" dxfId="212" priority="162" operator="containsText" text="BQ">
      <formula>NOT(ISERROR(SEARCH("BQ",A137)))</formula>
    </cfRule>
  </conditionalFormatting>
  <conditionalFormatting sqref="A137:B137 D137:XFD137">
    <cfRule type="containsText" dxfId="211" priority="153" operator="containsText" text="V">
      <formula>NOT(ISERROR(SEARCH("V",A137)))</formula>
    </cfRule>
  </conditionalFormatting>
  <conditionalFormatting sqref="G38">
    <cfRule type="cellIs" dxfId="210" priority="141" operator="equal">
      <formula>"V"</formula>
    </cfRule>
    <cfRule type="cellIs" dxfId="209" priority="142" operator="equal">
      <formula>"BQ"</formula>
    </cfRule>
  </conditionalFormatting>
  <conditionalFormatting sqref="I38">
    <cfRule type="containsText" dxfId="208" priority="122" operator="containsText" text="BV">
      <formula>NOT(ISERROR(SEARCH("BV",I38)))</formula>
    </cfRule>
    <cfRule type="containsText" dxfId="207" priority="123" operator="containsText" text="V">
      <formula>NOT(ISERROR(SEARCH("V",I38)))</formula>
    </cfRule>
    <cfRule type="containsText" dxfId="206" priority="124" operator="containsText" text="BQ-BV">
      <formula>NOT(ISERROR(SEARCH("BQ-BV",I38)))</formula>
    </cfRule>
    <cfRule type="containsText" dxfId="205" priority="125" operator="containsText" text="V">
      <formula>NOT(ISERROR(SEARCH("V",I38)))</formula>
    </cfRule>
    <cfRule type="containsText" dxfId="204" priority="126" operator="containsText" text="QB">
      <formula>NOT(ISERROR(SEARCH("QB",I38)))</formula>
    </cfRule>
    <cfRule type="containsText" dxfId="203" priority="127" operator="containsText" text="BQ">
      <formula>NOT(ISERROR(SEARCH("BQ",I38)))</formula>
    </cfRule>
    <cfRule type="containsText" dxfId="202" priority="128" operator="containsText" text="BQ-BV">
      <formula>NOT(ISERROR(SEARCH("BQ-BV",I38)))</formula>
    </cfRule>
    <cfRule type="containsText" dxfId="201" priority="129" operator="containsText" text="BV">
      <formula>NOT(ISERROR(SEARCH("BV",I38)))</formula>
    </cfRule>
    <cfRule type="containsText" dxfId="200" priority="130" operator="containsText" text="BQ">
      <formula>NOT(ISERROR(SEARCH("BQ",I38)))</formula>
    </cfRule>
  </conditionalFormatting>
  <conditionalFormatting sqref="I38">
    <cfRule type="containsText" dxfId="199" priority="121" operator="containsText" text="V">
      <formula>NOT(ISERROR(SEARCH("V",I38)))</formula>
    </cfRule>
  </conditionalFormatting>
  <conditionalFormatting sqref="A40:B42 D40:XFD41 E42:XFD42">
    <cfRule type="containsText" dxfId="198" priority="91" operator="containsText" text="V">
      <formula>NOT(ISERROR(SEARCH("V",A40)))</formula>
    </cfRule>
  </conditionalFormatting>
  <conditionalFormatting sqref="D42">
    <cfRule type="containsText" dxfId="197" priority="81" operator="containsText" text="V">
      <formula>NOT(ISERROR(SEARCH("V",D42)))</formula>
    </cfRule>
  </conditionalFormatting>
  <conditionalFormatting sqref="A40:B42 D40:XFD41 E42:XFD42">
    <cfRule type="containsText" dxfId="196" priority="92" operator="containsText" text="BV">
      <formula>NOT(ISERROR(SEARCH("BV",A40)))</formula>
    </cfRule>
    <cfRule type="containsText" dxfId="195" priority="93" operator="containsText" text="V">
      <formula>NOT(ISERROR(SEARCH("V",A40)))</formula>
    </cfRule>
    <cfRule type="containsText" dxfId="194" priority="94" operator="containsText" text="BQ-BV">
      <formula>NOT(ISERROR(SEARCH("BQ-BV",A40)))</formula>
    </cfRule>
    <cfRule type="containsText" dxfId="193" priority="95" operator="containsText" text="V">
      <formula>NOT(ISERROR(SEARCH("V",A40)))</formula>
    </cfRule>
    <cfRule type="containsText" dxfId="192" priority="96" operator="containsText" text="QB">
      <formula>NOT(ISERROR(SEARCH("QB",A40)))</formula>
    </cfRule>
    <cfRule type="containsText" dxfId="191" priority="97" operator="containsText" text="BQ">
      <formula>NOT(ISERROR(SEARCH("BQ",A40)))</formula>
    </cfRule>
    <cfRule type="containsText" dxfId="190" priority="98" operator="containsText" text="BQ-BV">
      <formula>NOT(ISERROR(SEARCH("BQ-BV",A40)))</formula>
    </cfRule>
    <cfRule type="containsText" dxfId="189" priority="99" operator="containsText" text="BV">
      <formula>NOT(ISERROR(SEARCH("BV",A40)))</formula>
    </cfRule>
    <cfRule type="containsText" dxfId="188" priority="100" operator="containsText" text="BQ">
      <formula>NOT(ISERROR(SEARCH("BQ",A40)))</formula>
    </cfRule>
  </conditionalFormatting>
  <conditionalFormatting sqref="D42">
    <cfRule type="containsText" dxfId="187" priority="82" operator="containsText" text="BV">
      <formula>NOT(ISERROR(SEARCH("BV",D42)))</formula>
    </cfRule>
    <cfRule type="containsText" dxfId="186" priority="83" operator="containsText" text="V">
      <formula>NOT(ISERROR(SEARCH("V",D42)))</formula>
    </cfRule>
    <cfRule type="containsText" dxfId="185" priority="84" operator="containsText" text="BQ-BV">
      <formula>NOT(ISERROR(SEARCH("BQ-BV",D42)))</formula>
    </cfRule>
    <cfRule type="containsText" dxfId="184" priority="85" operator="containsText" text="V">
      <formula>NOT(ISERROR(SEARCH("V",D42)))</formula>
    </cfRule>
    <cfRule type="containsText" dxfId="183" priority="86" operator="containsText" text="QB">
      <formula>NOT(ISERROR(SEARCH("QB",D42)))</formula>
    </cfRule>
    <cfRule type="containsText" dxfId="182" priority="87" operator="containsText" text="BQ">
      <formula>NOT(ISERROR(SEARCH("BQ",D42)))</formula>
    </cfRule>
    <cfRule type="containsText" dxfId="181" priority="88" operator="containsText" text="BQ-BV">
      <formula>NOT(ISERROR(SEARCH("BQ-BV",D42)))</formula>
    </cfRule>
    <cfRule type="containsText" dxfId="180" priority="89" operator="containsText" text="BV">
      <formula>NOT(ISERROR(SEARCH("BV",D42)))</formula>
    </cfRule>
    <cfRule type="containsText" dxfId="179" priority="90" operator="containsText" text="BQ">
      <formula>NOT(ISERROR(SEARCH("BQ",D42)))</formula>
    </cfRule>
  </conditionalFormatting>
  <conditionalFormatting sqref="D93">
    <cfRule type="containsText" dxfId="178" priority="62" operator="containsText" text="BV">
      <formula>NOT(ISERROR(SEARCH("BV",D93)))</formula>
    </cfRule>
    <cfRule type="containsText" dxfId="177" priority="63" operator="containsText" text="V">
      <formula>NOT(ISERROR(SEARCH("V",D93)))</formula>
    </cfRule>
    <cfRule type="containsText" dxfId="176" priority="64" operator="containsText" text="BQ-BV">
      <formula>NOT(ISERROR(SEARCH("BQ-BV",D93)))</formula>
    </cfRule>
    <cfRule type="containsText" dxfId="175" priority="65" operator="containsText" text="V">
      <formula>NOT(ISERROR(SEARCH("V",D93)))</formula>
    </cfRule>
    <cfRule type="containsText" dxfId="174" priority="66" operator="containsText" text="QB">
      <formula>NOT(ISERROR(SEARCH("QB",D93)))</formula>
    </cfRule>
    <cfRule type="containsText" dxfId="173" priority="67" operator="containsText" text="BQ">
      <formula>NOT(ISERROR(SEARCH("BQ",D93)))</formula>
    </cfRule>
    <cfRule type="containsText" dxfId="172" priority="68" operator="containsText" text="BQ-BV">
      <formula>NOT(ISERROR(SEARCH("BQ-BV",D93)))</formula>
    </cfRule>
    <cfRule type="containsText" dxfId="171" priority="69" operator="containsText" text="BV">
      <formula>NOT(ISERROR(SEARCH("BV",D93)))</formula>
    </cfRule>
    <cfRule type="containsText" dxfId="170" priority="70" operator="containsText" text="BQ">
      <formula>NOT(ISERROR(SEARCH("BQ",D93)))</formula>
    </cfRule>
  </conditionalFormatting>
  <conditionalFormatting sqref="D93">
    <cfRule type="containsText" dxfId="169" priority="61" operator="containsText" text="V">
      <formula>NOT(ISERROR(SEARCH("V",D93)))</formula>
    </cfRule>
  </conditionalFormatting>
  <conditionalFormatting sqref="A123:B125 D123:XFD125">
    <cfRule type="containsText" dxfId="168" priority="42" operator="containsText" text="BV">
      <formula>NOT(ISERROR(SEARCH("BV",A123)))</formula>
    </cfRule>
    <cfRule type="containsText" dxfId="167" priority="43" operator="containsText" text="V">
      <formula>NOT(ISERROR(SEARCH("V",A123)))</formula>
    </cfRule>
    <cfRule type="containsText" dxfId="166" priority="44" operator="containsText" text="BQ-BV">
      <formula>NOT(ISERROR(SEARCH("BQ-BV",A123)))</formula>
    </cfRule>
    <cfRule type="containsText" dxfId="165" priority="45" operator="containsText" text="V">
      <formula>NOT(ISERROR(SEARCH("V",A123)))</formula>
    </cfRule>
    <cfRule type="containsText" dxfId="164" priority="46" operator="containsText" text="QB">
      <formula>NOT(ISERROR(SEARCH("QB",A123)))</formula>
    </cfRule>
    <cfRule type="containsText" dxfId="163" priority="47" operator="containsText" text="BQ">
      <formula>NOT(ISERROR(SEARCH("BQ",A123)))</formula>
    </cfRule>
    <cfRule type="containsText" dxfId="162" priority="48" operator="containsText" text="BQ-BV">
      <formula>NOT(ISERROR(SEARCH("BQ-BV",A123)))</formula>
    </cfRule>
    <cfRule type="containsText" dxfId="161" priority="49" operator="containsText" text="BV">
      <formula>NOT(ISERROR(SEARCH("BV",A123)))</formula>
    </cfRule>
    <cfRule type="containsText" dxfId="160" priority="50" operator="containsText" text="BQ">
      <formula>NOT(ISERROR(SEARCH("BQ",A123)))</formula>
    </cfRule>
  </conditionalFormatting>
  <conditionalFormatting sqref="A123:B125 D123:XFD125">
    <cfRule type="containsText" dxfId="159" priority="41" operator="containsText" text="V">
      <formula>NOT(ISERROR(SEARCH("V",A123)))</formula>
    </cfRule>
  </conditionalFormatting>
  <printOptions horizontalCentered="1" verticalCentered="1"/>
  <pageMargins left="0.70866141732283472" right="0.70866141732283472" top="0.74803149606299213" bottom="0.59055118110236227" header="0.31496062992125984" footer="0.31496062992125984"/>
  <pageSetup paperSize="17" scale="36" orientation="landscape" r:id="rId1"/>
  <headerFooter>
    <oddFooter>&amp;L&amp;F&amp;RHoja &amp;P de &amp;N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305"/>
  <sheetViews>
    <sheetView tabSelected="1" view="pageBreakPreview" topLeftCell="A56" zoomScale="70" zoomScaleNormal="85" zoomScaleSheetLayoutView="70" workbookViewId="0">
      <selection activeCell="C60" sqref="C60"/>
    </sheetView>
  </sheetViews>
  <sheetFormatPr baseColWidth="10" defaultColWidth="0" defaultRowHeight="15.75" zeroHeight="1" x14ac:dyDescent="0.25"/>
  <cols>
    <col min="1" max="1" width="3.6640625" style="2" customWidth="1"/>
    <col min="2" max="2" width="1.77734375" style="40" customWidth="1"/>
    <col min="3" max="3" width="65.5546875" style="385" customWidth="1"/>
    <col min="4" max="4" width="4" style="358" customWidth="1"/>
    <col min="5" max="9" width="7.5546875" style="1" bestFit="1" customWidth="1"/>
    <col min="10" max="10" width="7.33203125" style="1" customWidth="1"/>
    <col min="11" max="11" width="7.5546875" style="1" customWidth="1"/>
    <col min="12" max="14" width="7.5546875" style="1" bestFit="1" customWidth="1"/>
    <col min="15" max="15" width="7" style="1" customWidth="1"/>
    <col min="16" max="16" width="7.5546875" style="1" bestFit="1" customWidth="1"/>
    <col min="17" max="17" width="8.6640625" style="1" customWidth="1"/>
    <col min="18" max="18" width="7.5546875" style="1" bestFit="1" customWidth="1"/>
    <col min="19" max="19" width="7.77734375" style="1" customWidth="1"/>
    <col min="20" max="20" width="8.77734375" style="1" customWidth="1"/>
    <col min="21" max="21" width="9" style="1" customWidth="1"/>
    <col min="22" max="22" width="8.33203125" style="1" customWidth="1"/>
    <col min="23" max="23" width="9" style="1" customWidth="1"/>
    <col min="24" max="24" width="8.33203125" style="1" customWidth="1"/>
    <col min="25" max="25" width="8.77734375" style="1" customWidth="1"/>
    <col min="26" max="56" width="6.88671875" style="1" bestFit="1" customWidth="1"/>
    <col min="57" max="57" width="4.33203125" style="289" customWidth="1"/>
    <col min="58" max="253" width="11.5546875" style="1" hidden="1" customWidth="1"/>
    <col min="254" max="16384" width="0" style="1" hidden="1"/>
  </cols>
  <sheetData>
    <row r="1" spans="2:57" s="2" customFormat="1" hidden="1" x14ac:dyDescent="0.25">
      <c r="B1" s="35"/>
      <c r="C1" s="368"/>
      <c r="D1" s="358"/>
      <c r="BE1" s="288"/>
    </row>
    <row r="2" spans="2:57" s="2" customFormat="1" ht="27" thickBot="1" x14ac:dyDescent="0.3">
      <c r="B2" s="35"/>
      <c r="C2" s="369" t="s">
        <v>87</v>
      </c>
      <c r="D2" s="358"/>
      <c r="Q2" s="437" t="s">
        <v>146</v>
      </c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BE2" s="288"/>
    </row>
    <row r="3" spans="2:57" s="2" customFormat="1" ht="52.5" x14ac:dyDescent="0.25">
      <c r="B3" s="35"/>
      <c r="C3" s="370" t="s">
        <v>158</v>
      </c>
      <c r="D3" s="359"/>
      <c r="E3" s="227"/>
      <c r="F3" s="227"/>
      <c r="G3" s="227"/>
      <c r="H3" s="227"/>
      <c r="Q3" s="212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4"/>
      <c r="BE3" s="288"/>
    </row>
    <row r="4" spans="2:57" s="2" customFormat="1" ht="26.25" x14ac:dyDescent="0.25">
      <c r="B4" s="35"/>
      <c r="C4" s="369" t="s">
        <v>256</v>
      </c>
      <c r="D4" s="358"/>
      <c r="Q4" s="215"/>
      <c r="R4" s="216" t="s">
        <v>259</v>
      </c>
      <c r="S4" s="217" t="s">
        <v>260</v>
      </c>
      <c r="T4" s="97"/>
      <c r="U4" s="216" t="s">
        <v>261</v>
      </c>
      <c r="V4" s="217" t="s">
        <v>262</v>
      </c>
      <c r="W4" s="97"/>
      <c r="X4" s="216" t="s">
        <v>263</v>
      </c>
      <c r="Y4" s="217" t="s">
        <v>264</v>
      </c>
      <c r="Z4" s="217"/>
      <c r="AA4" s="216" t="s">
        <v>265</v>
      </c>
      <c r="AB4" s="217" t="s">
        <v>266</v>
      </c>
      <c r="AC4" s="97"/>
      <c r="AD4" s="216" t="s">
        <v>267</v>
      </c>
      <c r="AE4" s="217" t="s">
        <v>268</v>
      </c>
      <c r="AF4" s="97"/>
      <c r="AG4" s="216" t="s">
        <v>269</v>
      </c>
      <c r="AH4" s="217" t="s">
        <v>270</v>
      </c>
      <c r="AI4" s="97"/>
      <c r="AJ4" s="216" t="s">
        <v>271</v>
      </c>
      <c r="AK4" s="217"/>
      <c r="AL4" s="97"/>
      <c r="AM4" s="97"/>
      <c r="AN4" s="217"/>
      <c r="AO4" s="217"/>
      <c r="AP4" s="97"/>
      <c r="AQ4" s="97"/>
      <c r="AR4" s="97"/>
      <c r="AS4" s="218"/>
      <c r="BE4" s="288"/>
    </row>
    <row r="5" spans="2:57" s="2" customFormat="1" ht="27" thickBot="1" x14ac:dyDescent="0.3">
      <c r="B5" s="35"/>
      <c r="C5" s="369" t="s">
        <v>257</v>
      </c>
      <c r="D5" s="358"/>
      <c r="Q5" s="219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1"/>
      <c r="BE5" s="288"/>
    </row>
    <row r="6" spans="2:57" s="2" customFormat="1" ht="16.5" thickBot="1" x14ac:dyDescent="0.3">
      <c r="B6" s="35"/>
      <c r="C6" s="371"/>
      <c r="D6" s="358"/>
      <c r="BE6" s="288"/>
    </row>
    <row r="7" spans="2:57" s="2" customFormat="1" ht="16.5" hidden="1" thickBot="1" x14ac:dyDescent="0.3">
      <c r="B7" s="35"/>
      <c r="C7" s="368"/>
      <c r="D7" s="358"/>
      <c r="BE7" s="288"/>
    </row>
    <row r="8" spans="2:57" s="2" customFormat="1" ht="16.5" hidden="1" thickBot="1" x14ac:dyDescent="0.3">
      <c r="B8" s="35"/>
      <c r="C8" s="368"/>
      <c r="D8" s="358"/>
      <c r="BE8" s="288"/>
    </row>
    <row r="9" spans="2:57" ht="26.25" customHeight="1" thickBot="1" x14ac:dyDescent="0.3">
      <c r="B9" s="35"/>
      <c r="C9" s="368"/>
      <c r="E9" s="438" t="s">
        <v>258</v>
      </c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39"/>
      <c r="AI9" s="439"/>
      <c r="AJ9" s="439"/>
      <c r="AK9" s="439"/>
      <c r="AL9" s="439"/>
      <c r="AM9" s="439"/>
      <c r="AN9" s="439"/>
      <c r="AO9" s="439"/>
      <c r="AP9" s="439"/>
      <c r="AQ9" s="439"/>
      <c r="AR9" s="439"/>
      <c r="AS9" s="439"/>
      <c r="AT9" s="439"/>
      <c r="AU9" s="439"/>
      <c r="AV9" s="439"/>
      <c r="AW9" s="439"/>
      <c r="AX9" s="439"/>
      <c r="AY9" s="439"/>
      <c r="AZ9" s="439"/>
      <c r="BA9" s="439"/>
      <c r="BB9" s="439"/>
      <c r="BC9" s="439"/>
      <c r="BD9" s="439"/>
    </row>
    <row r="10" spans="2:57" ht="16.5" thickBot="1" x14ac:dyDescent="0.3">
      <c r="B10" s="35"/>
      <c r="C10" s="368"/>
      <c r="D10" s="360" t="s">
        <v>188</v>
      </c>
      <c r="E10" s="431" t="s">
        <v>15</v>
      </c>
      <c r="F10" s="432"/>
      <c r="G10" s="432"/>
      <c r="H10" s="432"/>
      <c r="I10" s="431" t="s">
        <v>14</v>
      </c>
      <c r="J10" s="432"/>
      <c r="K10" s="432"/>
      <c r="L10" s="432"/>
      <c r="M10" s="433"/>
      <c r="N10" s="440" t="s">
        <v>13</v>
      </c>
      <c r="O10" s="441"/>
      <c r="P10" s="441"/>
      <c r="Q10" s="442"/>
      <c r="R10" s="434" t="s">
        <v>12</v>
      </c>
      <c r="S10" s="435"/>
      <c r="T10" s="435"/>
      <c r="U10" s="435"/>
      <c r="V10" s="434" t="s">
        <v>11</v>
      </c>
      <c r="W10" s="435"/>
      <c r="X10" s="435"/>
      <c r="Y10" s="436"/>
      <c r="Z10" s="431" t="s">
        <v>10</v>
      </c>
      <c r="AA10" s="432"/>
      <c r="AB10" s="432"/>
      <c r="AC10" s="432"/>
      <c r="AD10" s="433"/>
      <c r="AE10" s="434" t="s">
        <v>9</v>
      </c>
      <c r="AF10" s="435"/>
      <c r="AG10" s="435"/>
      <c r="AH10" s="436"/>
      <c r="AI10" s="434" t="s">
        <v>8</v>
      </c>
      <c r="AJ10" s="435"/>
      <c r="AK10" s="435"/>
      <c r="AL10" s="435"/>
      <c r="AM10" s="436"/>
      <c r="AN10" s="431" t="s">
        <v>7</v>
      </c>
      <c r="AO10" s="432"/>
      <c r="AP10" s="432"/>
      <c r="AQ10" s="433"/>
      <c r="AR10" s="434" t="s">
        <v>6</v>
      </c>
      <c r="AS10" s="435"/>
      <c r="AT10" s="435"/>
      <c r="AU10" s="436"/>
      <c r="AV10" s="434" t="s">
        <v>5</v>
      </c>
      <c r="AW10" s="435"/>
      <c r="AX10" s="435"/>
      <c r="AY10" s="435"/>
      <c r="AZ10" s="436"/>
      <c r="BA10" s="443" t="s">
        <v>4</v>
      </c>
      <c r="BB10" s="444"/>
      <c r="BC10" s="444"/>
      <c r="BD10" s="444"/>
    </row>
    <row r="11" spans="2:57" ht="16.5" thickBot="1" x14ac:dyDescent="0.3">
      <c r="B11" s="42"/>
      <c r="C11" s="372" t="s">
        <v>159</v>
      </c>
      <c r="E11" s="14">
        <v>1</v>
      </c>
      <c r="F11" s="15">
        <v>2</v>
      </c>
      <c r="G11" s="15">
        <v>3</v>
      </c>
      <c r="H11" s="15">
        <v>4</v>
      </c>
      <c r="I11" s="15">
        <v>5</v>
      </c>
      <c r="J11" s="15">
        <v>6</v>
      </c>
      <c r="K11" s="15">
        <v>7</v>
      </c>
      <c r="L11" s="15">
        <v>8</v>
      </c>
      <c r="M11" s="15">
        <v>9</v>
      </c>
      <c r="N11" s="15">
        <v>10</v>
      </c>
      <c r="O11" s="15">
        <v>11</v>
      </c>
      <c r="P11" s="15">
        <v>12</v>
      </c>
      <c r="Q11" s="15">
        <v>13</v>
      </c>
      <c r="R11" s="15">
        <v>14</v>
      </c>
      <c r="S11" s="15">
        <v>15</v>
      </c>
      <c r="T11" s="15">
        <v>16</v>
      </c>
      <c r="U11" s="15">
        <v>17</v>
      </c>
      <c r="V11" s="15">
        <v>18</v>
      </c>
      <c r="W11" s="15">
        <v>19</v>
      </c>
      <c r="X11" s="15">
        <v>20</v>
      </c>
      <c r="Y11" s="15">
        <v>21</v>
      </c>
      <c r="Z11" s="15">
        <v>22</v>
      </c>
      <c r="AA11" s="15">
        <v>23</v>
      </c>
      <c r="AB11" s="15">
        <v>24</v>
      </c>
      <c r="AC11" s="15">
        <v>25</v>
      </c>
      <c r="AD11" s="15">
        <v>26</v>
      </c>
      <c r="AE11" s="15">
        <v>27</v>
      </c>
      <c r="AF11" s="15">
        <v>28</v>
      </c>
      <c r="AG11" s="15">
        <v>29</v>
      </c>
      <c r="AH11" s="15">
        <v>30</v>
      </c>
      <c r="AI11" s="15">
        <v>31</v>
      </c>
      <c r="AJ11" s="15">
        <v>32</v>
      </c>
      <c r="AK11" s="15">
        <v>33</v>
      </c>
      <c r="AL11" s="15">
        <v>34</v>
      </c>
      <c r="AM11" s="15">
        <v>35</v>
      </c>
      <c r="AN11" s="15">
        <v>36</v>
      </c>
      <c r="AO11" s="15">
        <v>37</v>
      </c>
      <c r="AP11" s="15">
        <v>38</v>
      </c>
      <c r="AQ11" s="15">
        <v>39</v>
      </c>
      <c r="AR11" s="15">
        <v>40</v>
      </c>
      <c r="AS11" s="15">
        <v>41</v>
      </c>
      <c r="AT11" s="15">
        <v>42</v>
      </c>
      <c r="AU11" s="15">
        <v>43</v>
      </c>
      <c r="AV11" s="15">
        <v>44</v>
      </c>
      <c r="AW11" s="15">
        <v>45</v>
      </c>
      <c r="AX11" s="15">
        <v>46</v>
      </c>
      <c r="AY11" s="15">
        <v>47</v>
      </c>
      <c r="AZ11" s="15">
        <v>48</v>
      </c>
      <c r="BA11" s="15">
        <v>49</v>
      </c>
      <c r="BB11" s="15">
        <v>50</v>
      </c>
      <c r="BC11" s="15">
        <v>51</v>
      </c>
      <c r="BD11" s="15">
        <v>52</v>
      </c>
    </row>
    <row r="12" spans="2:57" ht="16.5" hidden="1" thickBot="1" x14ac:dyDescent="0.3">
      <c r="B12" s="41" t="s">
        <v>86</v>
      </c>
      <c r="C12" s="373"/>
      <c r="E12" s="1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2:57" ht="12" customHeight="1" x14ac:dyDescent="0.25">
      <c r="B13" s="99"/>
      <c r="C13" s="374" t="s">
        <v>85</v>
      </c>
      <c r="D13" s="358" t="s">
        <v>189</v>
      </c>
      <c r="E13" s="154"/>
      <c r="F13" s="107"/>
      <c r="G13" s="107"/>
      <c r="H13" s="186"/>
      <c r="I13" s="222"/>
      <c r="J13" s="107"/>
      <c r="K13" s="107"/>
      <c r="L13" s="107"/>
      <c r="M13" s="108"/>
      <c r="N13" s="154"/>
      <c r="O13" s="107"/>
      <c r="P13" s="107"/>
      <c r="Q13" s="108"/>
      <c r="R13" s="154"/>
      <c r="S13" s="107"/>
      <c r="T13" s="107"/>
      <c r="U13" s="186"/>
      <c r="V13" s="154"/>
      <c r="W13" s="107"/>
      <c r="X13" s="107"/>
      <c r="Y13" s="186"/>
      <c r="Z13" s="154"/>
      <c r="AA13" s="107"/>
      <c r="AB13" s="107"/>
      <c r="AC13" s="107"/>
      <c r="AD13" s="108"/>
      <c r="AE13" s="154"/>
      <c r="AF13" s="107"/>
      <c r="AG13" s="107"/>
      <c r="AH13" s="186"/>
      <c r="AI13" s="154"/>
      <c r="AJ13" s="107"/>
      <c r="AK13" s="107"/>
      <c r="AL13" s="107"/>
      <c r="AM13" s="108"/>
      <c r="AN13" s="154"/>
      <c r="AO13" s="107"/>
      <c r="AP13" s="107"/>
      <c r="AQ13" s="186"/>
      <c r="AR13" s="154"/>
      <c r="AS13" s="107"/>
      <c r="AT13" s="107"/>
      <c r="AU13" s="186"/>
      <c r="AV13" s="154"/>
      <c r="AW13" s="107"/>
      <c r="AX13" s="107"/>
      <c r="AY13" s="107"/>
      <c r="AZ13" s="108"/>
      <c r="BA13" s="154"/>
      <c r="BB13" s="107"/>
      <c r="BC13" s="107"/>
      <c r="BD13" s="108"/>
      <c r="BE13" s="289">
        <f>52-COUNTBLANK(E13:BD13)</f>
        <v>0</v>
      </c>
    </row>
    <row r="14" spans="2:57" ht="12" customHeight="1" x14ac:dyDescent="0.25">
      <c r="B14" s="6"/>
      <c r="C14" s="375" t="s">
        <v>84</v>
      </c>
      <c r="D14" s="358" t="s">
        <v>190</v>
      </c>
      <c r="E14" s="110"/>
      <c r="F14" s="111"/>
      <c r="G14" s="111"/>
      <c r="H14" s="187"/>
      <c r="I14" s="110"/>
      <c r="J14" s="113"/>
      <c r="K14" s="111"/>
      <c r="L14" s="111"/>
      <c r="M14" s="112"/>
      <c r="N14" s="110"/>
      <c r="O14" s="111"/>
      <c r="P14" s="111"/>
      <c r="Q14" s="112"/>
      <c r="R14" s="110"/>
      <c r="S14" s="111"/>
      <c r="T14" s="111"/>
      <c r="U14" s="187"/>
      <c r="V14" s="110"/>
      <c r="W14" s="111"/>
      <c r="X14" s="111"/>
      <c r="Y14" s="187"/>
      <c r="Z14" s="110"/>
      <c r="AA14" s="111"/>
      <c r="AB14" s="111"/>
      <c r="AC14" s="111"/>
      <c r="AD14" s="112"/>
      <c r="AE14" s="110"/>
      <c r="AF14" s="111"/>
      <c r="AG14" s="111"/>
      <c r="AH14" s="187"/>
      <c r="AI14" s="110"/>
      <c r="AJ14" s="111"/>
      <c r="AK14" s="111"/>
      <c r="AL14" s="111"/>
      <c r="AM14" s="112"/>
      <c r="AN14" s="110"/>
      <c r="AO14" s="111"/>
      <c r="AP14" s="111"/>
      <c r="AQ14" s="187"/>
      <c r="AR14" s="110"/>
      <c r="AS14" s="111"/>
      <c r="AT14" s="111"/>
      <c r="AU14" s="187"/>
      <c r="AV14" s="110"/>
      <c r="AW14" s="111"/>
      <c r="AX14" s="111"/>
      <c r="AY14" s="111"/>
      <c r="AZ14" s="112"/>
      <c r="BA14" s="110"/>
      <c r="BB14" s="111"/>
      <c r="BC14" s="111"/>
      <c r="BD14" s="112"/>
      <c r="BE14" s="289">
        <f t="shared" ref="BE14:BE80" si="0">52-COUNTBLANK(E14:BD14)</f>
        <v>0</v>
      </c>
    </row>
    <row r="15" spans="2:57" ht="12" hidden="1" customHeight="1" x14ac:dyDescent="0.25">
      <c r="B15" s="41" t="s">
        <v>83</v>
      </c>
      <c r="C15" s="376"/>
      <c r="E15" s="110"/>
      <c r="F15" s="111"/>
      <c r="G15" s="111"/>
      <c r="H15" s="187"/>
      <c r="I15" s="110"/>
      <c r="J15" s="113"/>
      <c r="K15" s="111"/>
      <c r="L15" s="111"/>
      <c r="M15" s="112"/>
      <c r="N15" s="110"/>
      <c r="O15" s="111"/>
      <c r="P15" s="111"/>
      <c r="Q15" s="112"/>
      <c r="R15" s="110"/>
      <c r="S15" s="111"/>
      <c r="T15" s="111"/>
      <c r="U15" s="187"/>
      <c r="V15" s="110"/>
      <c r="W15" s="111"/>
      <c r="X15" s="111"/>
      <c r="Y15" s="187"/>
      <c r="Z15" s="110"/>
      <c r="AA15" s="111"/>
      <c r="AB15" s="111"/>
      <c r="AC15" s="111"/>
      <c r="AD15" s="112"/>
      <c r="AE15" s="110"/>
      <c r="AF15" s="111"/>
      <c r="AG15" s="111"/>
      <c r="AH15" s="187"/>
      <c r="AI15" s="110"/>
      <c r="AJ15" s="111"/>
      <c r="AK15" s="111"/>
      <c r="AL15" s="111"/>
      <c r="AM15" s="112"/>
      <c r="AN15" s="110"/>
      <c r="AO15" s="111"/>
      <c r="AP15" s="111"/>
      <c r="AQ15" s="187"/>
      <c r="AR15" s="110"/>
      <c r="AS15" s="111"/>
      <c r="AT15" s="111"/>
      <c r="AU15" s="187"/>
      <c r="AV15" s="110"/>
      <c r="AW15" s="111"/>
      <c r="AX15" s="111"/>
      <c r="AY15" s="111"/>
      <c r="AZ15" s="112"/>
      <c r="BA15" s="110"/>
      <c r="BB15" s="111"/>
      <c r="BC15" s="111"/>
      <c r="BD15" s="112"/>
      <c r="BE15" s="289">
        <f t="shared" si="0"/>
        <v>0</v>
      </c>
    </row>
    <row r="16" spans="2:57" ht="12" customHeight="1" x14ac:dyDescent="0.25">
      <c r="B16" s="6"/>
      <c r="C16" s="375" t="s">
        <v>245</v>
      </c>
      <c r="D16" s="358" t="s">
        <v>189</v>
      </c>
      <c r="E16" s="110"/>
      <c r="F16" s="111"/>
      <c r="G16" s="111"/>
      <c r="H16" s="187"/>
      <c r="I16" s="110"/>
      <c r="J16" s="113"/>
      <c r="K16" s="111"/>
      <c r="L16" s="111"/>
      <c r="M16" s="112"/>
      <c r="N16" s="110"/>
      <c r="O16" s="111"/>
      <c r="P16" s="111"/>
      <c r="Q16" s="112"/>
      <c r="R16" s="110"/>
      <c r="S16" s="111"/>
      <c r="T16" s="111"/>
      <c r="U16" s="187"/>
      <c r="V16" s="110"/>
      <c r="W16" s="111"/>
      <c r="X16" s="111"/>
      <c r="Y16" s="187"/>
      <c r="Z16" s="110"/>
      <c r="AA16" s="111"/>
      <c r="AB16" s="111"/>
      <c r="AC16" s="111"/>
      <c r="AD16" s="112"/>
      <c r="AE16" s="110"/>
      <c r="AF16" s="111"/>
      <c r="AG16" s="111"/>
      <c r="AH16" s="187"/>
      <c r="AI16" s="110"/>
      <c r="AJ16" s="111"/>
      <c r="AK16" s="111"/>
      <c r="AL16" s="111"/>
      <c r="AM16" s="112"/>
      <c r="AN16" s="110"/>
      <c r="AO16" s="111"/>
      <c r="AP16" s="111"/>
      <c r="AQ16" s="187"/>
      <c r="AR16" s="110"/>
      <c r="AS16" s="111"/>
      <c r="AT16" s="111"/>
      <c r="AU16" s="187"/>
      <c r="AV16" s="110"/>
      <c r="AW16" s="111"/>
      <c r="AX16" s="111"/>
      <c r="AY16" s="111"/>
      <c r="AZ16" s="112"/>
      <c r="BA16" s="110"/>
      <c r="BB16" s="111"/>
      <c r="BC16" s="111"/>
      <c r="BD16" s="112"/>
      <c r="BE16" s="289">
        <f t="shared" si="0"/>
        <v>0</v>
      </c>
    </row>
    <row r="17" spans="2:57" ht="12" customHeight="1" x14ac:dyDescent="0.25">
      <c r="B17" s="6"/>
      <c r="C17" s="375" t="s">
        <v>246</v>
      </c>
      <c r="D17" s="358" t="s">
        <v>190</v>
      </c>
      <c r="E17" s="110"/>
      <c r="F17" s="111"/>
      <c r="G17" s="111"/>
      <c r="H17" s="187"/>
      <c r="I17" s="110"/>
      <c r="J17" s="113"/>
      <c r="K17" s="111"/>
      <c r="L17" s="111"/>
      <c r="M17" s="112"/>
      <c r="N17" s="110"/>
      <c r="O17" s="111"/>
      <c r="P17" s="111"/>
      <c r="Q17" s="112"/>
      <c r="R17" s="110"/>
      <c r="S17" s="111"/>
      <c r="T17" s="111"/>
      <c r="U17" s="187"/>
      <c r="V17" s="110"/>
      <c r="W17" s="111"/>
      <c r="X17" s="111"/>
      <c r="Y17" s="187"/>
      <c r="Z17" s="110"/>
      <c r="AA17" s="111"/>
      <c r="AB17" s="111"/>
      <c r="AC17" s="111"/>
      <c r="AD17" s="112"/>
      <c r="AE17" s="110"/>
      <c r="AF17" s="111"/>
      <c r="AG17" s="111"/>
      <c r="AH17" s="187"/>
      <c r="AI17" s="110"/>
      <c r="AJ17" s="111"/>
      <c r="AK17" s="111"/>
      <c r="AL17" s="111"/>
      <c r="AM17" s="112"/>
      <c r="AN17" s="110"/>
      <c r="AO17" s="111"/>
      <c r="AP17" s="111"/>
      <c r="AQ17" s="187"/>
      <c r="AR17" s="110"/>
      <c r="AS17" s="111"/>
      <c r="AT17" s="111"/>
      <c r="AU17" s="187"/>
      <c r="AV17" s="110"/>
      <c r="AW17" s="111"/>
      <c r="AX17" s="111"/>
      <c r="AY17" s="111"/>
      <c r="AZ17" s="112"/>
      <c r="BA17" s="110"/>
      <c r="BB17" s="111"/>
      <c r="BC17" s="111"/>
      <c r="BD17" s="112"/>
      <c r="BE17" s="289">
        <f t="shared" si="0"/>
        <v>0</v>
      </c>
    </row>
    <row r="18" spans="2:57" ht="12" hidden="1" customHeight="1" x14ac:dyDescent="0.25">
      <c r="B18" s="41" t="s">
        <v>80</v>
      </c>
      <c r="C18" s="376"/>
      <c r="E18" s="110"/>
      <c r="F18" s="111"/>
      <c r="G18" s="111"/>
      <c r="H18" s="187"/>
      <c r="I18" s="110"/>
      <c r="J18" s="113"/>
      <c r="K18" s="111"/>
      <c r="L18" s="111"/>
      <c r="M18" s="112"/>
      <c r="N18" s="110"/>
      <c r="O18" s="111"/>
      <c r="P18" s="111"/>
      <c r="Q18" s="112"/>
      <c r="R18" s="110"/>
      <c r="S18" s="111"/>
      <c r="T18" s="111"/>
      <c r="U18" s="187"/>
      <c r="V18" s="110"/>
      <c r="W18" s="111"/>
      <c r="X18" s="111"/>
      <c r="Y18" s="187"/>
      <c r="Z18" s="110"/>
      <c r="AA18" s="111"/>
      <c r="AB18" s="111"/>
      <c r="AC18" s="111"/>
      <c r="AD18" s="112"/>
      <c r="AE18" s="110"/>
      <c r="AF18" s="111"/>
      <c r="AG18" s="111"/>
      <c r="AH18" s="187"/>
      <c r="AI18" s="110"/>
      <c r="AJ18" s="111"/>
      <c r="AK18" s="111"/>
      <c r="AL18" s="111"/>
      <c r="AM18" s="112"/>
      <c r="AN18" s="110"/>
      <c r="AO18" s="111"/>
      <c r="AP18" s="111"/>
      <c r="AQ18" s="187"/>
      <c r="AR18" s="110"/>
      <c r="AS18" s="111"/>
      <c r="AT18" s="111"/>
      <c r="AU18" s="187"/>
      <c r="AV18" s="110"/>
      <c r="AW18" s="111"/>
      <c r="AX18" s="111"/>
      <c r="AY18" s="111"/>
      <c r="AZ18" s="112"/>
      <c r="BA18" s="110"/>
      <c r="BB18" s="111"/>
      <c r="BC18" s="111"/>
      <c r="BD18" s="112"/>
      <c r="BE18" s="289">
        <f t="shared" si="0"/>
        <v>0</v>
      </c>
    </row>
    <row r="19" spans="2:57" ht="12" customHeight="1" x14ac:dyDescent="0.25">
      <c r="B19" s="6"/>
      <c r="C19" s="375" t="s">
        <v>247</v>
      </c>
      <c r="D19" s="358" t="s">
        <v>189</v>
      </c>
      <c r="E19" s="110"/>
      <c r="F19" s="111"/>
      <c r="G19" s="111"/>
      <c r="H19" s="187"/>
      <c r="I19" s="110"/>
      <c r="J19" s="113"/>
      <c r="K19" s="111"/>
      <c r="L19" s="111"/>
      <c r="M19" s="112"/>
      <c r="N19" s="110"/>
      <c r="O19" s="111"/>
      <c r="P19" s="111"/>
      <c r="Q19" s="112"/>
      <c r="R19" s="110"/>
      <c r="S19" s="111"/>
      <c r="T19" s="111"/>
      <c r="U19" s="187"/>
      <c r="V19" s="110"/>
      <c r="W19" s="111"/>
      <c r="X19" s="111"/>
      <c r="Y19" s="187"/>
      <c r="Z19" s="110"/>
      <c r="AA19" s="111"/>
      <c r="AB19" s="111"/>
      <c r="AC19" s="111"/>
      <c r="AD19" s="112"/>
      <c r="AE19" s="110"/>
      <c r="AF19" s="111"/>
      <c r="AG19" s="111"/>
      <c r="AH19" s="187"/>
      <c r="AI19" s="110"/>
      <c r="AJ19" s="111"/>
      <c r="AK19" s="111"/>
      <c r="AL19" s="111"/>
      <c r="AM19" s="112"/>
      <c r="AN19" s="110"/>
      <c r="AO19" s="111"/>
      <c r="AP19" s="111"/>
      <c r="AQ19" s="187"/>
      <c r="AR19" s="110"/>
      <c r="AS19" s="111"/>
      <c r="AT19" s="111"/>
      <c r="AU19" s="187"/>
      <c r="AV19" s="110"/>
      <c r="AW19" s="111"/>
      <c r="AX19" s="111"/>
      <c r="AY19" s="111"/>
      <c r="AZ19" s="112"/>
      <c r="BA19" s="110"/>
      <c r="BB19" s="111"/>
      <c r="BC19" s="111"/>
      <c r="BD19" s="112"/>
      <c r="BE19" s="289">
        <f t="shared" si="0"/>
        <v>0</v>
      </c>
    </row>
    <row r="20" spans="2:57" ht="12" customHeight="1" x14ac:dyDescent="0.25">
      <c r="B20" s="6"/>
      <c r="C20" s="375" t="s">
        <v>248</v>
      </c>
      <c r="D20" s="358" t="s">
        <v>190</v>
      </c>
      <c r="E20" s="110"/>
      <c r="F20" s="111"/>
      <c r="G20" s="111"/>
      <c r="H20" s="187"/>
      <c r="I20" s="110"/>
      <c r="J20" s="113"/>
      <c r="K20" s="111"/>
      <c r="L20" s="111"/>
      <c r="M20" s="112"/>
      <c r="N20" s="110"/>
      <c r="O20" s="111"/>
      <c r="P20" s="111"/>
      <c r="Q20" s="112"/>
      <c r="R20" s="110"/>
      <c r="S20" s="111"/>
      <c r="T20" s="111"/>
      <c r="U20" s="187"/>
      <c r="V20" s="110"/>
      <c r="W20" s="111"/>
      <c r="X20" s="111"/>
      <c r="Y20" s="187"/>
      <c r="Z20" s="110"/>
      <c r="AA20" s="111"/>
      <c r="AB20" s="111"/>
      <c r="AC20" s="111"/>
      <c r="AD20" s="112"/>
      <c r="AE20" s="110"/>
      <c r="AF20" s="111"/>
      <c r="AG20" s="111"/>
      <c r="AH20" s="187"/>
      <c r="AI20" s="110"/>
      <c r="AJ20" s="111"/>
      <c r="AK20" s="111"/>
      <c r="AL20" s="111"/>
      <c r="AM20" s="112"/>
      <c r="AN20" s="110"/>
      <c r="AO20" s="111"/>
      <c r="AP20" s="111"/>
      <c r="AQ20" s="187"/>
      <c r="AR20" s="110"/>
      <c r="AS20" s="111"/>
      <c r="AT20" s="111"/>
      <c r="AU20" s="187"/>
      <c r="AV20" s="110"/>
      <c r="AW20" s="111"/>
      <c r="AX20" s="111"/>
      <c r="AY20" s="111"/>
      <c r="AZ20" s="112"/>
      <c r="BA20" s="110"/>
      <c r="BB20" s="111"/>
      <c r="BC20" s="111"/>
      <c r="BD20" s="112"/>
      <c r="BE20" s="289">
        <f t="shared" si="0"/>
        <v>0</v>
      </c>
    </row>
    <row r="21" spans="2:57" hidden="1" x14ac:dyDescent="0.25">
      <c r="B21" s="41" t="s">
        <v>79</v>
      </c>
      <c r="C21" s="376"/>
      <c r="E21" s="110"/>
      <c r="F21" s="111"/>
      <c r="G21" s="111"/>
      <c r="H21" s="187"/>
      <c r="I21" s="110"/>
      <c r="J21" s="113"/>
      <c r="K21" s="111"/>
      <c r="L21" s="111"/>
      <c r="M21" s="112"/>
      <c r="N21" s="110"/>
      <c r="O21" s="111"/>
      <c r="P21" s="111"/>
      <c r="Q21" s="112"/>
      <c r="R21" s="110"/>
      <c r="S21" s="111"/>
      <c r="T21" s="111"/>
      <c r="U21" s="187"/>
      <c r="V21" s="110"/>
      <c r="W21" s="111"/>
      <c r="X21" s="111"/>
      <c r="Y21" s="187"/>
      <c r="Z21" s="110"/>
      <c r="AA21" s="111"/>
      <c r="AB21" s="111"/>
      <c r="AC21" s="111"/>
      <c r="AD21" s="112"/>
      <c r="AE21" s="110"/>
      <c r="AF21" s="111"/>
      <c r="AG21" s="111"/>
      <c r="AH21" s="187"/>
      <c r="AI21" s="110"/>
      <c r="AJ21" s="111"/>
      <c r="AK21" s="111"/>
      <c r="AL21" s="111"/>
      <c r="AM21" s="112"/>
      <c r="AN21" s="110"/>
      <c r="AO21" s="111"/>
      <c r="AP21" s="111"/>
      <c r="AQ21" s="187"/>
      <c r="AR21" s="110"/>
      <c r="AS21" s="111"/>
      <c r="AT21" s="111"/>
      <c r="AU21" s="187"/>
      <c r="AV21" s="110"/>
      <c r="AW21" s="111"/>
      <c r="AX21" s="111"/>
      <c r="AY21" s="111"/>
      <c r="AZ21" s="112"/>
      <c r="BA21" s="110"/>
      <c r="BB21" s="111"/>
      <c r="BC21" s="111"/>
      <c r="BD21" s="112"/>
      <c r="BE21" s="289">
        <f t="shared" si="0"/>
        <v>0</v>
      </c>
    </row>
    <row r="22" spans="2:57" ht="12" customHeight="1" x14ac:dyDescent="0.25">
      <c r="B22" s="6"/>
      <c r="C22" s="375" t="s">
        <v>78</v>
      </c>
      <c r="D22" s="358" t="s">
        <v>190</v>
      </c>
      <c r="E22" s="110"/>
      <c r="F22" s="111"/>
      <c r="G22" s="111"/>
      <c r="H22" s="187"/>
      <c r="I22" s="110"/>
      <c r="J22" s="113"/>
      <c r="K22" s="111"/>
      <c r="L22" s="111"/>
      <c r="M22" s="112"/>
      <c r="N22" s="110"/>
      <c r="O22" s="111"/>
      <c r="P22" s="111"/>
      <c r="Q22" s="112"/>
      <c r="R22" s="110"/>
      <c r="S22" s="111"/>
      <c r="T22" s="111"/>
      <c r="U22" s="187"/>
      <c r="V22" s="110"/>
      <c r="W22" s="111"/>
      <c r="X22" s="111"/>
      <c r="Y22" s="187"/>
      <c r="Z22" s="110"/>
      <c r="AA22" s="111"/>
      <c r="AB22" s="111"/>
      <c r="AC22" s="111"/>
      <c r="AD22" s="112"/>
      <c r="AE22" s="110"/>
      <c r="AF22" s="111"/>
      <c r="AG22" s="111"/>
      <c r="AH22" s="187"/>
      <c r="AI22" s="110"/>
      <c r="AJ22" s="111"/>
      <c r="AK22" s="111"/>
      <c r="AL22" s="111"/>
      <c r="AM22" s="112"/>
      <c r="AN22" s="110"/>
      <c r="AO22" s="111"/>
      <c r="AP22" s="111"/>
      <c r="AQ22" s="187"/>
      <c r="AR22" s="110"/>
      <c r="AS22" s="111"/>
      <c r="AT22" s="111"/>
      <c r="AU22" s="187"/>
      <c r="AV22" s="110"/>
      <c r="AW22" s="111"/>
      <c r="AX22" s="111"/>
      <c r="AY22" s="111"/>
      <c r="AZ22" s="112"/>
      <c r="BA22" s="110"/>
      <c r="BB22" s="111"/>
      <c r="BC22" s="111"/>
      <c r="BD22" s="112"/>
      <c r="BE22" s="289">
        <f t="shared" si="0"/>
        <v>0</v>
      </c>
    </row>
    <row r="23" spans="2:57" ht="12" hidden="1" customHeight="1" x14ac:dyDescent="0.25">
      <c r="B23" s="41" t="s">
        <v>77</v>
      </c>
      <c r="C23" s="376"/>
      <c r="E23" s="110"/>
      <c r="F23" s="111"/>
      <c r="G23" s="111"/>
      <c r="H23" s="187"/>
      <c r="I23" s="110"/>
      <c r="J23" s="113"/>
      <c r="K23" s="111"/>
      <c r="L23" s="111"/>
      <c r="M23" s="112"/>
      <c r="N23" s="110"/>
      <c r="O23" s="111"/>
      <c r="P23" s="111"/>
      <c r="Q23" s="112"/>
      <c r="R23" s="110"/>
      <c r="S23" s="111"/>
      <c r="T23" s="111"/>
      <c r="U23" s="187"/>
      <c r="V23" s="110"/>
      <c r="W23" s="111"/>
      <c r="X23" s="111"/>
      <c r="Y23" s="187"/>
      <c r="Z23" s="110"/>
      <c r="AA23" s="111"/>
      <c r="AB23" s="111"/>
      <c r="AC23" s="111"/>
      <c r="AD23" s="112"/>
      <c r="AE23" s="110"/>
      <c r="AF23" s="111"/>
      <c r="AG23" s="111"/>
      <c r="AH23" s="187"/>
      <c r="AI23" s="110"/>
      <c r="AJ23" s="111"/>
      <c r="AK23" s="111"/>
      <c r="AL23" s="111"/>
      <c r="AM23" s="112"/>
      <c r="AN23" s="110"/>
      <c r="AO23" s="111"/>
      <c r="AP23" s="111"/>
      <c r="AQ23" s="187"/>
      <c r="AR23" s="110"/>
      <c r="AS23" s="111"/>
      <c r="AT23" s="111"/>
      <c r="AU23" s="187"/>
      <c r="AV23" s="110"/>
      <c r="AW23" s="111"/>
      <c r="AX23" s="111"/>
      <c r="AY23" s="111"/>
      <c r="AZ23" s="112"/>
      <c r="BA23" s="110"/>
      <c r="BB23" s="111"/>
      <c r="BC23" s="111"/>
      <c r="BD23" s="112"/>
      <c r="BE23" s="289">
        <f t="shared" si="0"/>
        <v>0</v>
      </c>
    </row>
    <row r="24" spans="2:57" ht="12" customHeight="1" x14ac:dyDescent="0.25">
      <c r="B24" s="6"/>
      <c r="C24" s="375" t="s">
        <v>249</v>
      </c>
      <c r="D24" s="358" t="s">
        <v>189</v>
      </c>
      <c r="E24" s="110"/>
      <c r="F24" s="111"/>
      <c r="G24" s="111"/>
      <c r="H24" s="187"/>
      <c r="I24" s="110"/>
      <c r="J24" s="113"/>
      <c r="K24" s="111"/>
      <c r="L24" s="111"/>
      <c r="M24" s="112"/>
      <c r="N24" s="110"/>
      <c r="O24" s="111"/>
      <c r="P24" s="111"/>
      <c r="Q24" s="112"/>
      <c r="R24" s="110"/>
      <c r="S24" s="111"/>
      <c r="T24" s="111"/>
      <c r="U24" s="187"/>
      <c r="V24" s="110"/>
      <c r="W24" s="111"/>
      <c r="X24" s="111"/>
      <c r="Y24" s="187"/>
      <c r="Z24" s="110"/>
      <c r="AA24" s="111"/>
      <c r="AB24" s="111"/>
      <c r="AC24" s="111"/>
      <c r="AD24" s="112"/>
      <c r="AE24" s="110"/>
      <c r="AF24" s="111"/>
      <c r="AG24" s="111"/>
      <c r="AH24" s="187"/>
      <c r="AI24" s="110"/>
      <c r="AJ24" s="111"/>
      <c r="AK24" s="111"/>
      <c r="AL24" s="111"/>
      <c r="AM24" s="112"/>
      <c r="AN24" s="110"/>
      <c r="AO24" s="111"/>
      <c r="AP24" s="111"/>
      <c r="AQ24" s="187"/>
      <c r="AR24" s="110"/>
      <c r="AS24" s="111"/>
      <c r="AT24" s="111"/>
      <c r="AU24" s="187"/>
      <c r="AV24" s="110"/>
      <c r="AW24" s="111"/>
      <c r="AX24" s="111"/>
      <c r="AY24" s="111"/>
      <c r="AZ24" s="112"/>
      <c r="BA24" s="110"/>
      <c r="BB24" s="111"/>
      <c r="BC24" s="111"/>
      <c r="BD24" s="112"/>
      <c r="BE24" s="289">
        <f t="shared" si="0"/>
        <v>0</v>
      </c>
    </row>
    <row r="25" spans="2:57" ht="12" customHeight="1" x14ac:dyDescent="0.25">
      <c r="B25" s="6"/>
      <c r="C25" s="375" t="s">
        <v>76</v>
      </c>
      <c r="D25" s="358" t="s">
        <v>192</v>
      </c>
      <c r="E25" s="110"/>
      <c r="F25" s="111"/>
      <c r="G25" s="111"/>
      <c r="H25" s="187"/>
      <c r="I25" s="110"/>
      <c r="J25" s="113"/>
      <c r="K25" s="111"/>
      <c r="L25" s="111"/>
      <c r="M25" s="112"/>
      <c r="N25" s="110"/>
      <c r="O25" s="111"/>
      <c r="P25" s="111"/>
      <c r="Q25" s="112"/>
      <c r="R25" s="110"/>
      <c r="S25" s="111"/>
      <c r="T25" s="111"/>
      <c r="U25" s="187"/>
      <c r="V25" s="110"/>
      <c r="W25" s="111"/>
      <c r="X25" s="111"/>
      <c r="Y25" s="187"/>
      <c r="Z25" s="110"/>
      <c r="AA25" s="111"/>
      <c r="AB25" s="111"/>
      <c r="AC25" s="111"/>
      <c r="AD25" s="112"/>
      <c r="AE25" s="110"/>
      <c r="AF25" s="111"/>
      <c r="AG25" s="111"/>
      <c r="AH25" s="187"/>
      <c r="AI25" s="110"/>
      <c r="AJ25" s="111"/>
      <c r="AK25" s="111"/>
      <c r="AL25" s="111"/>
      <c r="AM25" s="112"/>
      <c r="AN25" s="110"/>
      <c r="AO25" s="111"/>
      <c r="AP25" s="111"/>
      <c r="AQ25" s="187"/>
      <c r="AR25" s="110"/>
      <c r="AS25" s="111"/>
      <c r="AT25" s="111"/>
      <c r="AU25" s="187"/>
      <c r="AV25" s="110"/>
      <c r="AW25" s="111"/>
      <c r="AX25" s="111"/>
      <c r="AY25" s="111"/>
      <c r="AZ25" s="112"/>
      <c r="BA25" s="110"/>
      <c r="BB25" s="111"/>
      <c r="BC25" s="111"/>
      <c r="BD25" s="112"/>
      <c r="BE25" s="289">
        <f t="shared" si="0"/>
        <v>0</v>
      </c>
    </row>
    <row r="26" spans="2:57" ht="12" customHeight="1" x14ac:dyDescent="0.25">
      <c r="B26" s="6"/>
      <c r="C26" s="375" t="s">
        <v>75</v>
      </c>
      <c r="D26" s="358" t="s">
        <v>193</v>
      </c>
      <c r="E26" s="110"/>
      <c r="F26" s="111"/>
      <c r="G26" s="111"/>
      <c r="H26" s="187"/>
      <c r="I26" s="110"/>
      <c r="J26" s="113"/>
      <c r="K26" s="111"/>
      <c r="L26" s="224"/>
      <c r="M26" s="112"/>
      <c r="N26" s="110"/>
      <c r="O26" s="111"/>
      <c r="P26" s="111"/>
      <c r="Q26" s="112"/>
      <c r="R26" s="110"/>
      <c r="S26" s="111"/>
      <c r="T26" s="111"/>
      <c r="U26" s="187"/>
      <c r="V26" s="110"/>
      <c r="W26" s="111"/>
      <c r="X26" s="111"/>
      <c r="Y26" s="187"/>
      <c r="Z26" s="110"/>
      <c r="AA26" s="111"/>
      <c r="AB26" s="111"/>
      <c r="AC26" s="111"/>
      <c r="AD26" s="112"/>
      <c r="AE26" s="110"/>
      <c r="AF26" s="111"/>
      <c r="AG26" s="111"/>
      <c r="AH26" s="187"/>
      <c r="AI26" s="110"/>
      <c r="AJ26" s="111"/>
      <c r="AK26" s="111"/>
      <c r="AL26" s="111"/>
      <c r="AM26" s="112"/>
      <c r="AN26" s="110"/>
      <c r="AO26" s="111"/>
      <c r="AP26" s="111"/>
      <c r="AQ26" s="187"/>
      <c r="AR26" s="110"/>
      <c r="AS26" s="111"/>
      <c r="AT26" s="111"/>
      <c r="AU26" s="187"/>
      <c r="AV26" s="110"/>
      <c r="AW26" s="111"/>
      <c r="AX26" s="111"/>
      <c r="AY26" s="111"/>
      <c r="AZ26" s="112"/>
      <c r="BA26" s="110"/>
      <c r="BB26" s="111"/>
      <c r="BC26" s="111"/>
      <c r="BD26" s="112"/>
      <c r="BE26" s="289">
        <f t="shared" si="0"/>
        <v>0</v>
      </c>
    </row>
    <row r="27" spans="2:57" ht="12" hidden="1" customHeight="1" x14ac:dyDescent="0.25">
      <c r="B27" s="41" t="s">
        <v>74</v>
      </c>
      <c r="C27" s="373"/>
      <c r="E27" s="110"/>
      <c r="F27" s="111"/>
      <c r="G27" s="111"/>
      <c r="H27" s="187"/>
      <c r="I27" s="110"/>
      <c r="J27" s="113"/>
      <c r="K27" s="111"/>
      <c r="L27" s="111"/>
      <c r="M27" s="112"/>
      <c r="N27" s="110"/>
      <c r="O27" s="111"/>
      <c r="P27" s="111"/>
      <c r="Q27" s="112"/>
      <c r="R27" s="110"/>
      <c r="S27" s="111"/>
      <c r="T27" s="111"/>
      <c r="U27" s="187"/>
      <c r="V27" s="110"/>
      <c r="W27" s="111"/>
      <c r="X27" s="111"/>
      <c r="Y27" s="187"/>
      <c r="Z27" s="110"/>
      <c r="AA27" s="111"/>
      <c r="AB27" s="111"/>
      <c r="AC27" s="111"/>
      <c r="AD27" s="112"/>
      <c r="AE27" s="110"/>
      <c r="AF27" s="111"/>
      <c r="AG27" s="111"/>
      <c r="AH27" s="187"/>
      <c r="AI27" s="110"/>
      <c r="AJ27" s="111"/>
      <c r="AK27" s="111"/>
      <c r="AL27" s="111"/>
      <c r="AM27" s="112"/>
      <c r="AN27" s="110"/>
      <c r="AO27" s="111"/>
      <c r="AP27" s="111"/>
      <c r="AQ27" s="187"/>
      <c r="AR27" s="110"/>
      <c r="AS27" s="111"/>
      <c r="AT27" s="111"/>
      <c r="AU27" s="187"/>
      <c r="AV27" s="110"/>
      <c r="AW27" s="111"/>
      <c r="AX27" s="111"/>
      <c r="AY27" s="111"/>
      <c r="AZ27" s="112"/>
      <c r="BA27" s="110"/>
      <c r="BB27" s="111"/>
      <c r="BC27" s="111"/>
      <c r="BD27" s="112"/>
      <c r="BE27" s="289">
        <f t="shared" si="0"/>
        <v>0</v>
      </c>
    </row>
    <row r="28" spans="2:57" ht="12" customHeight="1" x14ac:dyDescent="0.25">
      <c r="B28" s="5"/>
      <c r="C28" s="377"/>
      <c r="E28" s="110"/>
      <c r="F28" s="111"/>
      <c r="G28" s="111"/>
      <c r="H28" s="187"/>
      <c r="I28" s="110"/>
      <c r="J28" s="111"/>
      <c r="K28" s="111"/>
      <c r="L28" s="111"/>
      <c r="M28" s="112"/>
      <c r="N28" s="110"/>
      <c r="O28" s="111"/>
      <c r="P28" s="111"/>
      <c r="Q28" s="112"/>
      <c r="R28" s="110"/>
      <c r="S28" s="111"/>
      <c r="T28" s="111"/>
      <c r="U28" s="187"/>
      <c r="V28" s="110"/>
      <c r="W28" s="111"/>
      <c r="X28" s="111"/>
      <c r="Y28" s="187"/>
      <c r="Z28" s="110"/>
      <c r="AA28" s="111"/>
      <c r="AB28" s="111"/>
      <c r="AC28" s="111"/>
      <c r="AD28" s="112"/>
      <c r="AE28" s="110"/>
      <c r="AF28" s="111"/>
      <c r="AG28" s="111"/>
      <c r="AH28" s="187"/>
      <c r="AI28" s="110"/>
      <c r="AJ28" s="111"/>
      <c r="AK28" s="111"/>
      <c r="AL28" s="111"/>
      <c r="AM28" s="112"/>
      <c r="AN28" s="110"/>
      <c r="AO28" s="111"/>
      <c r="AP28" s="111"/>
      <c r="AQ28" s="187"/>
      <c r="AR28" s="110"/>
      <c r="AS28" s="111"/>
      <c r="AT28" s="111"/>
      <c r="AU28" s="187"/>
      <c r="AV28" s="110"/>
      <c r="AW28" s="111"/>
      <c r="AX28" s="111"/>
      <c r="AY28" s="111"/>
      <c r="AZ28" s="112"/>
      <c r="BA28" s="110"/>
      <c r="BB28" s="111"/>
      <c r="BC28" s="111"/>
      <c r="BD28" s="112"/>
      <c r="BE28" s="289">
        <f t="shared" si="0"/>
        <v>0</v>
      </c>
    </row>
    <row r="29" spans="2:57" ht="12" customHeight="1" x14ac:dyDescent="0.25">
      <c r="B29" s="5"/>
      <c r="C29" s="378"/>
      <c r="E29" s="110"/>
      <c r="F29" s="111"/>
      <c r="G29" s="111"/>
      <c r="H29" s="187"/>
      <c r="I29" s="110"/>
      <c r="J29" s="113"/>
      <c r="K29" s="111"/>
      <c r="L29" s="111"/>
      <c r="M29" s="112"/>
      <c r="N29" s="110"/>
      <c r="O29" s="111"/>
      <c r="P29" s="111"/>
      <c r="Q29" s="112"/>
      <c r="R29" s="110"/>
      <c r="S29" s="111"/>
      <c r="T29" s="111"/>
      <c r="U29" s="187"/>
      <c r="V29" s="110"/>
      <c r="W29" s="111"/>
      <c r="X29" s="111"/>
      <c r="Y29" s="187"/>
      <c r="Z29" s="110"/>
      <c r="AA29" s="111"/>
      <c r="AB29" s="111"/>
      <c r="AC29" s="111"/>
      <c r="AD29" s="112"/>
      <c r="AE29" s="110"/>
      <c r="AF29" s="111"/>
      <c r="AG29" s="111"/>
      <c r="AH29" s="187"/>
      <c r="AI29" s="110"/>
      <c r="AJ29" s="111"/>
      <c r="AK29" s="111"/>
      <c r="AL29" s="111"/>
      <c r="AM29" s="112"/>
      <c r="AN29" s="110"/>
      <c r="AO29" s="111"/>
      <c r="AP29" s="111"/>
      <c r="AQ29" s="187"/>
      <c r="AR29" s="110"/>
      <c r="AS29" s="111"/>
      <c r="AT29" s="111"/>
      <c r="AU29" s="187"/>
      <c r="AV29" s="110"/>
      <c r="AW29" s="111"/>
      <c r="AX29" s="111"/>
      <c r="AY29" s="111"/>
      <c r="AZ29" s="112"/>
      <c r="BA29" s="110"/>
      <c r="BB29" s="111"/>
      <c r="BC29" s="111"/>
      <c r="BD29" s="112"/>
      <c r="BE29" s="289">
        <f t="shared" si="0"/>
        <v>0</v>
      </c>
    </row>
    <row r="30" spans="2:57" ht="12" customHeight="1" x14ac:dyDescent="0.25">
      <c r="B30" s="5"/>
      <c r="C30" s="378"/>
      <c r="E30" s="110"/>
      <c r="F30" s="111"/>
      <c r="G30" s="111"/>
      <c r="H30" s="187"/>
      <c r="I30" s="110"/>
      <c r="J30" s="113"/>
      <c r="K30" s="111"/>
      <c r="L30" s="111"/>
      <c r="M30" s="112"/>
      <c r="N30" s="110"/>
      <c r="O30" s="111"/>
      <c r="P30" s="111"/>
      <c r="Q30" s="112"/>
      <c r="R30" s="110"/>
      <c r="S30" s="111"/>
      <c r="T30" s="111"/>
      <c r="U30" s="187"/>
      <c r="V30" s="110"/>
      <c r="W30" s="111"/>
      <c r="X30" s="111"/>
      <c r="Y30" s="187"/>
      <c r="Z30" s="110"/>
      <c r="AA30" s="111"/>
      <c r="AB30" s="111"/>
      <c r="AC30" s="111"/>
      <c r="AD30" s="112"/>
      <c r="AE30" s="110"/>
      <c r="AF30" s="111"/>
      <c r="AG30" s="111"/>
      <c r="AH30" s="187"/>
      <c r="AI30" s="110"/>
      <c r="AJ30" s="111"/>
      <c r="AK30" s="111"/>
      <c r="AL30" s="111"/>
      <c r="AM30" s="112"/>
      <c r="AN30" s="110"/>
      <c r="AO30" s="111"/>
      <c r="AP30" s="111"/>
      <c r="AQ30" s="187"/>
      <c r="AR30" s="110"/>
      <c r="AS30" s="111"/>
      <c r="AT30" s="111"/>
      <c r="AU30" s="187"/>
      <c r="AV30" s="110"/>
      <c r="AW30" s="111"/>
      <c r="AX30" s="111"/>
      <c r="AY30" s="111"/>
      <c r="AZ30" s="112"/>
      <c r="BA30" s="110"/>
      <c r="BB30" s="111"/>
      <c r="BC30" s="111"/>
      <c r="BD30" s="112"/>
      <c r="BE30" s="289">
        <f t="shared" si="0"/>
        <v>0</v>
      </c>
    </row>
    <row r="31" spans="2:57" ht="12" hidden="1" customHeight="1" x14ac:dyDescent="0.25">
      <c r="B31" s="41" t="s">
        <v>72</v>
      </c>
      <c r="C31" s="373"/>
      <c r="E31" s="110"/>
      <c r="F31" s="111"/>
      <c r="G31" s="111"/>
      <c r="H31" s="187"/>
      <c r="I31" s="110"/>
      <c r="J31" s="113"/>
      <c r="K31" s="111"/>
      <c r="L31" s="111"/>
      <c r="M31" s="112"/>
      <c r="N31" s="110"/>
      <c r="O31" s="111"/>
      <c r="P31" s="111"/>
      <c r="Q31" s="112"/>
      <c r="R31" s="110"/>
      <c r="S31" s="111"/>
      <c r="T31" s="111"/>
      <c r="U31" s="187"/>
      <c r="V31" s="110"/>
      <c r="W31" s="111"/>
      <c r="X31" s="111"/>
      <c r="Y31" s="187"/>
      <c r="Z31" s="110"/>
      <c r="AA31" s="111"/>
      <c r="AB31" s="111"/>
      <c r="AC31" s="111"/>
      <c r="AD31" s="112"/>
      <c r="AE31" s="110"/>
      <c r="AF31" s="111"/>
      <c r="AG31" s="111"/>
      <c r="AH31" s="187"/>
      <c r="AI31" s="110"/>
      <c r="AJ31" s="111"/>
      <c r="AK31" s="111"/>
      <c r="AL31" s="111"/>
      <c r="AM31" s="112"/>
      <c r="AN31" s="110"/>
      <c r="AO31" s="111"/>
      <c r="AP31" s="111"/>
      <c r="AQ31" s="187"/>
      <c r="AR31" s="110"/>
      <c r="AS31" s="111"/>
      <c r="AT31" s="111"/>
      <c r="AU31" s="187"/>
      <c r="AV31" s="110"/>
      <c r="AW31" s="111"/>
      <c r="AX31" s="111"/>
      <c r="AY31" s="111"/>
      <c r="AZ31" s="112"/>
      <c r="BA31" s="110"/>
      <c r="BB31" s="111"/>
      <c r="BC31" s="111"/>
      <c r="BD31" s="112"/>
      <c r="BE31" s="289">
        <f t="shared" si="0"/>
        <v>0</v>
      </c>
    </row>
    <row r="32" spans="2:57" ht="12" customHeight="1" x14ac:dyDescent="0.25">
      <c r="B32" s="6"/>
      <c r="C32" s="379"/>
      <c r="E32" s="110"/>
      <c r="F32" s="111"/>
      <c r="G32" s="111"/>
      <c r="H32" s="187"/>
      <c r="I32" s="110"/>
      <c r="J32" s="113"/>
      <c r="K32" s="111"/>
      <c r="L32" s="111"/>
      <c r="M32" s="112"/>
      <c r="N32" s="110"/>
      <c r="O32" s="111"/>
      <c r="P32" s="111"/>
      <c r="Q32" s="112"/>
      <c r="R32" s="110"/>
      <c r="S32" s="111"/>
      <c r="T32" s="111"/>
      <c r="U32" s="187"/>
      <c r="V32" s="110"/>
      <c r="W32" s="111"/>
      <c r="X32" s="111"/>
      <c r="Y32" s="187"/>
      <c r="Z32" s="110"/>
      <c r="AA32" s="111"/>
      <c r="AB32" s="111"/>
      <c r="AC32" s="111"/>
      <c r="AD32" s="112"/>
      <c r="AE32" s="110"/>
      <c r="AF32" s="111"/>
      <c r="AG32" s="111"/>
      <c r="AH32" s="187"/>
      <c r="AI32" s="110"/>
      <c r="AJ32" s="111"/>
      <c r="AK32" s="111"/>
      <c r="AL32" s="111"/>
      <c r="AM32" s="112"/>
      <c r="AN32" s="110"/>
      <c r="AO32" s="111"/>
      <c r="AP32" s="111"/>
      <c r="AQ32" s="187"/>
      <c r="AR32" s="110"/>
      <c r="AS32" s="111"/>
      <c r="AT32" s="111"/>
      <c r="AU32" s="187"/>
      <c r="AV32" s="110"/>
      <c r="AW32" s="111"/>
      <c r="AX32" s="111"/>
      <c r="AY32" s="111"/>
      <c r="AZ32" s="112"/>
      <c r="BA32" s="110"/>
      <c r="BB32" s="111"/>
      <c r="BC32" s="111"/>
      <c r="BD32" s="112"/>
      <c r="BE32" s="289">
        <f t="shared" si="0"/>
        <v>0</v>
      </c>
    </row>
    <row r="33" spans="1:57" ht="12" customHeight="1" x14ac:dyDescent="0.25">
      <c r="B33" s="6"/>
      <c r="C33" s="379"/>
      <c r="E33" s="110"/>
      <c r="F33" s="111"/>
      <c r="G33" s="111"/>
      <c r="H33" s="187"/>
      <c r="I33" s="110"/>
      <c r="J33" s="113"/>
      <c r="K33" s="111"/>
      <c r="L33" s="111"/>
      <c r="M33" s="112"/>
      <c r="N33" s="110"/>
      <c r="O33" s="111"/>
      <c r="P33" s="111"/>
      <c r="Q33" s="112"/>
      <c r="R33" s="110"/>
      <c r="S33" s="111"/>
      <c r="T33" s="111"/>
      <c r="U33" s="187"/>
      <c r="V33" s="110"/>
      <c r="W33" s="111"/>
      <c r="X33" s="111"/>
      <c r="Y33" s="187"/>
      <c r="Z33" s="110"/>
      <c r="AA33" s="111"/>
      <c r="AB33" s="111"/>
      <c r="AC33" s="111"/>
      <c r="AD33" s="112"/>
      <c r="AE33" s="110"/>
      <c r="AF33" s="111"/>
      <c r="AG33" s="111"/>
      <c r="AH33" s="187"/>
      <c r="AI33" s="110"/>
      <c r="AJ33" s="111"/>
      <c r="AK33" s="111"/>
      <c r="AL33" s="111"/>
      <c r="AM33" s="112"/>
      <c r="AN33" s="110"/>
      <c r="AO33" s="111"/>
      <c r="AP33" s="111"/>
      <c r="AQ33" s="187"/>
      <c r="AR33" s="110"/>
      <c r="AS33" s="111"/>
      <c r="AT33" s="111"/>
      <c r="AU33" s="187"/>
      <c r="AV33" s="110"/>
      <c r="AW33" s="111"/>
      <c r="AX33" s="111"/>
      <c r="AY33" s="111"/>
      <c r="AZ33" s="112"/>
      <c r="BA33" s="110"/>
      <c r="BB33" s="111"/>
      <c r="BC33" s="111"/>
      <c r="BD33" s="112"/>
      <c r="BE33" s="289">
        <f t="shared" si="0"/>
        <v>0</v>
      </c>
    </row>
    <row r="34" spans="1:57" ht="12" customHeight="1" thickBot="1" x14ac:dyDescent="0.3">
      <c r="B34" s="3"/>
      <c r="C34" s="380"/>
      <c r="E34" s="125"/>
      <c r="F34" s="126"/>
      <c r="G34" s="126"/>
      <c r="H34" s="189"/>
      <c r="I34" s="125"/>
      <c r="J34" s="128"/>
      <c r="K34" s="126"/>
      <c r="L34" s="126"/>
      <c r="M34" s="127"/>
      <c r="N34" s="125"/>
      <c r="O34" s="126"/>
      <c r="P34" s="126"/>
      <c r="Q34" s="127"/>
      <c r="R34" s="125"/>
      <c r="S34" s="126"/>
      <c r="T34" s="126"/>
      <c r="U34" s="189"/>
      <c r="V34" s="125"/>
      <c r="W34" s="126"/>
      <c r="X34" s="126"/>
      <c r="Y34" s="189"/>
      <c r="Z34" s="125"/>
      <c r="AA34" s="126"/>
      <c r="AB34" s="126"/>
      <c r="AC34" s="148"/>
      <c r="AD34" s="127"/>
      <c r="AE34" s="125"/>
      <c r="AF34" s="126"/>
      <c r="AG34" s="126"/>
      <c r="AH34" s="189"/>
      <c r="AI34" s="125"/>
      <c r="AJ34" s="126"/>
      <c r="AK34" s="126"/>
      <c r="AL34" s="126"/>
      <c r="AM34" s="127"/>
      <c r="AN34" s="125"/>
      <c r="AO34" s="126"/>
      <c r="AP34" s="126"/>
      <c r="AQ34" s="189"/>
      <c r="AR34" s="125"/>
      <c r="AS34" s="126"/>
      <c r="AT34" s="126"/>
      <c r="AU34" s="189"/>
      <c r="AV34" s="125"/>
      <c r="AW34" s="126"/>
      <c r="AX34" s="126"/>
      <c r="AY34" s="126"/>
      <c r="AZ34" s="127"/>
      <c r="BA34" s="125"/>
      <c r="BB34" s="126"/>
      <c r="BC34" s="126"/>
      <c r="BD34" s="127"/>
      <c r="BE34" s="289">
        <f t="shared" si="0"/>
        <v>0</v>
      </c>
    </row>
    <row r="35" spans="1:57" s="7" customFormat="1" ht="16.5" thickBot="1" x14ac:dyDescent="0.3">
      <c r="A35" s="97"/>
      <c r="B35" s="8"/>
      <c r="C35" s="381"/>
      <c r="D35" s="361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289"/>
    </row>
    <row r="36" spans="1:57" ht="33.75" customHeight="1" thickBot="1" x14ac:dyDescent="0.3">
      <c r="B36" s="42"/>
      <c r="C36" s="372" t="s">
        <v>163</v>
      </c>
      <c r="E36" s="80">
        <v>1</v>
      </c>
      <c r="F36" s="81">
        <v>2</v>
      </c>
      <c r="G36" s="81">
        <v>3</v>
      </c>
      <c r="H36" s="81">
        <v>4</v>
      </c>
      <c r="I36" s="81">
        <v>5</v>
      </c>
      <c r="J36" s="81">
        <v>6</v>
      </c>
      <c r="K36" s="81">
        <v>7</v>
      </c>
      <c r="L36" s="81">
        <v>8</v>
      </c>
      <c r="M36" s="81">
        <v>9</v>
      </c>
      <c r="N36" s="81">
        <v>10</v>
      </c>
      <c r="O36" s="81">
        <v>11</v>
      </c>
      <c r="P36" s="81">
        <v>12</v>
      </c>
      <c r="Q36" s="81">
        <v>13</v>
      </c>
      <c r="R36" s="81">
        <v>14</v>
      </c>
      <c r="S36" s="81">
        <v>15</v>
      </c>
      <c r="T36" s="81">
        <v>16</v>
      </c>
      <c r="U36" s="81">
        <v>17</v>
      </c>
      <c r="V36" s="81">
        <v>18</v>
      </c>
      <c r="W36" s="81">
        <v>19</v>
      </c>
      <c r="X36" s="81">
        <v>20</v>
      </c>
      <c r="Y36" s="81">
        <v>21</v>
      </c>
      <c r="Z36" s="81">
        <v>22</v>
      </c>
      <c r="AA36" s="81">
        <v>23</v>
      </c>
      <c r="AB36" s="81">
        <v>24</v>
      </c>
      <c r="AC36" s="81">
        <v>25</v>
      </c>
      <c r="AD36" s="81">
        <v>26</v>
      </c>
      <c r="AE36" s="81">
        <v>27</v>
      </c>
      <c r="AF36" s="81">
        <v>28</v>
      </c>
      <c r="AG36" s="81">
        <v>29</v>
      </c>
      <c r="AH36" s="81">
        <v>30</v>
      </c>
      <c r="AI36" s="81">
        <v>31</v>
      </c>
      <c r="AJ36" s="81">
        <v>32</v>
      </c>
      <c r="AK36" s="81">
        <v>33</v>
      </c>
      <c r="AL36" s="81">
        <v>34</v>
      </c>
      <c r="AM36" s="81">
        <v>35</v>
      </c>
      <c r="AN36" s="81">
        <v>36</v>
      </c>
      <c r="AO36" s="81">
        <v>37</v>
      </c>
      <c r="AP36" s="81">
        <v>38</v>
      </c>
      <c r="AQ36" s="81">
        <v>39</v>
      </c>
      <c r="AR36" s="81">
        <v>40</v>
      </c>
      <c r="AS36" s="81">
        <v>41</v>
      </c>
      <c r="AT36" s="81">
        <v>42</v>
      </c>
      <c r="AU36" s="81">
        <v>43</v>
      </c>
      <c r="AV36" s="81">
        <v>44</v>
      </c>
      <c r="AW36" s="81">
        <v>45</v>
      </c>
      <c r="AX36" s="81">
        <v>46</v>
      </c>
      <c r="AY36" s="81">
        <v>47</v>
      </c>
      <c r="AZ36" s="81">
        <v>48</v>
      </c>
      <c r="BA36" s="81">
        <v>49</v>
      </c>
      <c r="BB36" s="81">
        <v>50</v>
      </c>
      <c r="BC36" s="81">
        <v>51</v>
      </c>
      <c r="BD36" s="81">
        <v>52</v>
      </c>
    </row>
    <row r="37" spans="1:57" ht="19.5" hidden="1" customHeight="1" thickBot="1" x14ac:dyDescent="0.3">
      <c r="B37" s="58" t="s">
        <v>70</v>
      </c>
      <c r="C37" s="382"/>
      <c r="E37" s="60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289">
        <f t="shared" si="0"/>
        <v>0</v>
      </c>
    </row>
    <row r="38" spans="1:57" ht="12" customHeight="1" x14ac:dyDescent="0.25">
      <c r="B38" s="6"/>
      <c r="C38" s="375" t="s">
        <v>215</v>
      </c>
      <c r="D38" s="358" t="s">
        <v>191</v>
      </c>
      <c r="E38" s="110"/>
      <c r="F38" s="111"/>
      <c r="G38" s="111"/>
      <c r="H38" s="187"/>
      <c r="I38" s="154"/>
      <c r="J38" s="107"/>
      <c r="K38" s="107"/>
      <c r="L38" s="107"/>
      <c r="M38" s="108"/>
      <c r="N38" s="113"/>
      <c r="O38" s="111"/>
      <c r="P38" s="111"/>
      <c r="Q38" s="112"/>
      <c r="R38" s="154"/>
      <c r="S38" s="107"/>
      <c r="T38" s="107"/>
      <c r="U38" s="186"/>
      <c r="V38" s="154"/>
      <c r="W38" s="107"/>
      <c r="X38" s="107"/>
      <c r="Y38" s="186"/>
      <c r="Z38" s="154"/>
      <c r="AA38" s="107"/>
      <c r="AB38" s="107"/>
      <c r="AC38" s="107"/>
      <c r="AD38" s="108"/>
      <c r="AE38" s="154"/>
      <c r="AF38" s="107"/>
      <c r="AG38" s="107"/>
      <c r="AH38" s="186"/>
      <c r="AI38" s="154"/>
      <c r="AJ38" s="107"/>
      <c r="AK38" s="107"/>
      <c r="AL38" s="107"/>
      <c r="AM38" s="108"/>
      <c r="AN38" s="154"/>
      <c r="AO38" s="107"/>
      <c r="AP38" s="107"/>
      <c r="AQ38" s="186"/>
      <c r="AR38" s="154"/>
      <c r="AS38" s="107"/>
      <c r="AT38" s="107"/>
      <c r="AU38" s="186"/>
      <c r="AV38" s="154"/>
      <c r="AW38" s="107"/>
      <c r="AX38" s="107"/>
      <c r="AY38" s="107"/>
      <c r="AZ38" s="108"/>
      <c r="BA38" s="154"/>
      <c r="BB38" s="107"/>
      <c r="BC38" s="107"/>
      <c r="BD38" s="108"/>
      <c r="BE38" s="289">
        <f t="shared" si="0"/>
        <v>0</v>
      </c>
    </row>
    <row r="39" spans="1:57" ht="28.5" hidden="1" customHeight="1" x14ac:dyDescent="0.25">
      <c r="B39" s="58" t="s">
        <v>69</v>
      </c>
      <c r="C39" s="375"/>
      <c r="E39" s="110"/>
      <c r="F39" s="111"/>
      <c r="G39" s="111"/>
      <c r="H39" s="187"/>
      <c r="I39" s="110"/>
      <c r="J39" s="111"/>
      <c r="K39" s="111"/>
      <c r="L39" s="111"/>
      <c r="M39" s="112"/>
      <c r="N39" s="113"/>
      <c r="O39" s="111"/>
      <c r="P39" s="111"/>
      <c r="Q39" s="112"/>
      <c r="R39" s="110"/>
      <c r="S39" s="111"/>
      <c r="T39" s="111"/>
      <c r="U39" s="187"/>
      <c r="V39" s="110"/>
      <c r="W39" s="111"/>
      <c r="X39" s="111"/>
      <c r="Y39" s="187"/>
      <c r="Z39" s="110"/>
      <c r="AA39" s="111"/>
      <c r="AB39" s="111"/>
      <c r="AC39" s="111"/>
      <c r="AD39" s="112"/>
      <c r="AE39" s="110"/>
      <c r="AF39" s="111"/>
      <c r="AG39" s="111"/>
      <c r="AH39" s="187"/>
      <c r="AI39" s="110"/>
      <c r="AJ39" s="111"/>
      <c r="AK39" s="111"/>
      <c r="AL39" s="111"/>
      <c r="AM39" s="112"/>
      <c r="AN39" s="110"/>
      <c r="AO39" s="111"/>
      <c r="AP39" s="111"/>
      <c r="AQ39" s="187"/>
      <c r="AR39" s="110"/>
      <c r="AS39" s="111"/>
      <c r="AT39" s="111"/>
      <c r="AU39" s="187"/>
      <c r="AV39" s="110"/>
      <c r="AW39" s="111"/>
      <c r="AX39" s="111"/>
      <c r="AY39" s="111"/>
      <c r="AZ39" s="112"/>
      <c r="BA39" s="110"/>
      <c r="BB39" s="111"/>
      <c r="BC39" s="111"/>
      <c r="BD39" s="112"/>
      <c r="BE39" s="289">
        <f t="shared" si="0"/>
        <v>0</v>
      </c>
    </row>
    <row r="40" spans="1:57" ht="12" customHeight="1" x14ac:dyDescent="0.25">
      <c r="B40" s="6"/>
      <c r="C40" s="378" t="s">
        <v>194</v>
      </c>
      <c r="D40" s="358" t="s">
        <v>193</v>
      </c>
      <c r="E40" s="110"/>
      <c r="F40" s="111"/>
      <c r="G40" s="111"/>
      <c r="H40" s="187"/>
      <c r="I40" s="110"/>
      <c r="J40" s="111"/>
      <c r="K40" s="111"/>
      <c r="L40" s="111"/>
      <c r="M40" s="112"/>
      <c r="N40" s="113"/>
      <c r="O40" s="111"/>
      <c r="P40" s="111"/>
      <c r="Q40" s="112"/>
      <c r="R40" s="110"/>
      <c r="S40" s="111"/>
      <c r="T40" s="111"/>
      <c r="U40" s="187"/>
      <c r="V40" s="110"/>
      <c r="W40" s="111"/>
      <c r="X40" s="111"/>
      <c r="Y40" s="187"/>
      <c r="Z40" s="110"/>
      <c r="AA40" s="111"/>
      <c r="AB40" s="111"/>
      <c r="AC40" s="111"/>
      <c r="AD40" s="112"/>
      <c r="AE40" s="110"/>
      <c r="AF40" s="111"/>
      <c r="AG40" s="111"/>
      <c r="AH40" s="187"/>
      <c r="AI40" s="110"/>
      <c r="AJ40" s="111"/>
      <c r="AK40" s="111"/>
      <c r="AL40" s="111"/>
      <c r="AM40" s="112"/>
      <c r="AN40" s="110"/>
      <c r="AO40" s="111"/>
      <c r="AP40" s="111"/>
      <c r="AQ40" s="187"/>
      <c r="AR40" s="110"/>
      <c r="AS40" s="111"/>
      <c r="AT40" s="111"/>
      <c r="AU40" s="187"/>
      <c r="AV40" s="110"/>
      <c r="AW40" s="111"/>
      <c r="AX40" s="111"/>
      <c r="AY40" s="111"/>
      <c r="AZ40" s="112"/>
      <c r="BA40" s="110"/>
      <c r="BB40" s="111"/>
      <c r="BC40" s="111"/>
      <c r="BD40" s="112"/>
      <c r="BE40" s="289">
        <f t="shared" si="0"/>
        <v>0</v>
      </c>
    </row>
    <row r="41" spans="1:57" ht="12" customHeight="1" x14ac:dyDescent="0.25">
      <c r="B41" s="6"/>
      <c r="C41" s="378" t="s">
        <v>216</v>
      </c>
      <c r="D41" s="358" t="s">
        <v>191</v>
      </c>
      <c r="E41" s="110"/>
      <c r="F41" s="111"/>
      <c r="G41" s="111"/>
      <c r="H41" s="187"/>
      <c r="I41" s="110"/>
      <c r="J41" s="111"/>
      <c r="K41" s="111"/>
      <c r="L41" s="111"/>
      <c r="M41" s="112"/>
      <c r="N41" s="113"/>
      <c r="O41" s="111"/>
      <c r="P41" s="111"/>
      <c r="Q41" s="112"/>
      <c r="R41" s="110"/>
      <c r="S41" s="111"/>
      <c r="T41" s="111"/>
      <c r="U41" s="187"/>
      <c r="V41" s="110"/>
      <c r="W41" s="111"/>
      <c r="X41" s="111"/>
      <c r="Y41" s="187"/>
      <c r="Z41" s="110"/>
      <c r="AA41" s="111"/>
      <c r="AB41" s="111"/>
      <c r="AC41" s="111"/>
      <c r="AD41" s="112"/>
      <c r="AE41" s="110"/>
      <c r="AF41" s="111"/>
      <c r="AG41" s="111"/>
      <c r="AH41" s="187"/>
      <c r="AI41" s="110"/>
      <c r="AJ41" s="111"/>
      <c r="AK41" s="111"/>
      <c r="AL41" s="111"/>
      <c r="AM41" s="112"/>
      <c r="AN41" s="110"/>
      <c r="AO41" s="111"/>
      <c r="AP41" s="111"/>
      <c r="AQ41" s="187"/>
      <c r="AR41" s="110"/>
      <c r="AS41" s="111"/>
      <c r="AT41" s="111"/>
      <c r="AU41" s="187"/>
      <c r="AV41" s="110"/>
      <c r="AW41" s="111"/>
      <c r="AX41" s="111"/>
      <c r="AY41" s="111"/>
      <c r="AZ41" s="112"/>
      <c r="BA41" s="110"/>
      <c r="BB41" s="111"/>
      <c r="BC41" s="111"/>
      <c r="BD41" s="112"/>
      <c r="BE41" s="289">
        <f t="shared" si="0"/>
        <v>0</v>
      </c>
    </row>
    <row r="42" spans="1:57" ht="12" customHeight="1" x14ac:dyDescent="0.25">
      <c r="B42" s="6"/>
      <c r="C42" s="378" t="s">
        <v>195</v>
      </c>
      <c r="D42" s="358" t="s">
        <v>193</v>
      </c>
      <c r="E42" s="110"/>
      <c r="F42" s="111"/>
      <c r="G42" s="111"/>
      <c r="H42" s="187"/>
      <c r="I42" s="110"/>
      <c r="J42" s="111"/>
      <c r="K42" s="111"/>
      <c r="L42" s="111"/>
      <c r="M42" s="112"/>
      <c r="N42" s="113"/>
      <c r="O42" s="111"/>
      <c r="P42" s="111"/>
      <c r="Q42" s="112"/>
      <c r="R42" s="110"/>
      <c r="S42" s="111"/>
      <c r="T42" s="111"/>
      <c r="U42" s="187"/>
      <c r="V42" s="110"/>
      <c r="W42" s="111"/>
      <c r="X42" s="111"/>
      <c r="Y42" s="187"/>
      <c r="Z42" s="110"/>
      <c r="AA42" s="111"/>
      <c r="AB42" s="111"/>
      <c r="AC42" s="111"/>
      <c r="AD42" s="112"/>
      <c r="AE42" s="110"/>
      <c r="AF42" s="111"/>
      <c r="AG42" s="111"/>
      <c r="AH42" s="187"/>
      <c r="AI42" s="110"/>
      <c r="AJ42" s="111"/>
      <c r="AK42" s="111"/>
      <c r="AL42" s="111"/>
      <c r="AM42" s="112"/>
      <c r="AN42" s="110"/>
      <c r="AO42" s="111"/>
      <c r="AP42" s="111"/>
      <c r="AQ42" s="187"/>
      <c r="AR42" s="110"/>
      <c r="AS42" s="111"/>
      <c r="AT42" s="111"/>
      <c r="AU42" s="187"/>
      <c r="AV42" s="110"/>
      <c r="AW42" s="111"/>
      <c r="AX42" s="111"/>
      <c r="AY42" s="111"/>
      <c r="AZ42" s="112"/>
      <c r="BA42" s="110"/>
      <c r="BB42" s="111"/>
      <c r="BC42" s="111"/>
      <c r="BD42" s="112"/>
    </row>
    <row r="43" spans="1:57" ht="12" hidden="1" customHeight="1" x14ac:dyDescent="0.25">
      <c r="B43" s="58" t="s">
        <v>68</v>
      </c>
      <c r="C43" s="375"/>
      <c r="E43" s="110"/>
      <c r="F43" s="111"/>
      <c r="G43" s="111"/>
      <c r="H43" s="187"/>
      <c r="I43" s="110"/>
      <c r="J43" s="111"/>
      <c r="K43" s="111"/>
      <c r="L43" s="111"/>
      <c r="M43" s="112"/>
      <c r="N43" s="113"/>
      <c r="O43" s="111"/>
      <c r="P43" s="111"/>
      <c r="Q43" s="112"/>
      <c r="R43" s="110"/>
      <c r="S43" s="111"/>
      <c r="T43" s="111"/>
      <c r="U43" s="187"/>
      <c r="V43" s="110"/>
      <c r="W43" s="111"/>
      <c r="X43" s="111"/>
      <c r="Y43" s="187"/>
      <c r="Z43" s="110"/>
      <c r="AA43" s="111"/>
      <c r="AB43" s="111"/>
      <c r="AC43" s="111"/>
      <c r="AD43" s="112"/>
      <c r="AE43" s="110"/>
      <c r="AF43" s="111"/>
      <c r="AG43" s="111"/>
      <c r="AH43" s="187"/>
      <c r="AI43" s="110"/>
      <c r="AJ43" s="111"/>
      <c r="AK43" s="111"/>
      <c r="AL43" s="111"/>
      <c r="AM43" s="112"/>
      <c r="AN43" s="110"/>
      <c r="AO43" s="111"/>
      <c r="AP43" s="111"/>
      <c r="AQ43" s="187"/>
      <c r="AR43" s="110"/>
      <c r="AS43" s="111"/>
      <c r="AT43" s="111"/>
      <c r="AU43" s="187"/>
      <c r="AV43" s="110"/>
      <c r="AW43" s="111"/>
      <c r="AX43" s="111"/>
      <c r="AY43" s="111"/>
      <c r="AZ43" s="112"/>
      <c r="BA43" s="110"/>
      <c r="BB43" s="111"/>
      <c r="BC43" s="111"/>
      <c r="BD43" s="112"/>
      <c r="BE43" s="289">
        <f t="shared" si="0"/>
        <v>0</v>
      </c>
    </row>
    <row r="44" spans="1:57" ht="12" customHeight="1" x14ac:dyDescent="0.25">
      <c r="B44" s="6"/>
      <c r="C44" s="375" t="s">
        <v>96</v>
      </c>
      <c r="D44" s="358" t="s">
        <v>190</v>
      </c>
      <c r="E44" s="110"/>
      <c r="F44" s="111"/>
      <c r="G44" s="111"/>
      <c r="H44" s="187"/>
      <c r="I44" s="110"/>
      <c r="J44" s="111"/>
      <c r="K44" s="111"/>
      <c r="L44" s="111"/>
      <c r="M44" s="112"/>
      <c r="N44" s="113"/>
      <c r="O44" s="111"/>
      <c r="P44" s="111"/>
      <c r="Q44" s="112"/>
      <c r="R44" s="110"/>
      <c r="S44" s="111"/>
      <c r="T44" s="111"/>
      <c r="U44" s="187"/>
      <c r="V44" s="110"/>
      <c r="W44" s="111"/>
      <c r="X44" s="111"/>
      <c r="Y44" s="187"/>
      <c r="Z44" s="110"/>
      <c r="AA44" s="111"/>
      <c r="AB44" s="111"/>
      <c r="AC44" s="111"/>
      <c r="AD44" s="112"/>
      <c r="AE44" s="110"/>
      <c r="AF44" s="111"/>
      <c r="AG44" s="111"/>
      <c r="AH44" s="187"/>
      <c r="AI44" s="110"/>
      <c r="AJ44" s="111"/>
      <c r="AK44" s="111"/>
      <c r="AL44" s="111"/>
      <c r="AM44" s="112"/>
      <c r="AN44" s="110"/>
      <c r="AO44" s="111"/>
      <c r="AP44" s="111"/>
      <c r="AQ44" s="187"/>
      <c r="AR44" s="110"/>
      <c r="AS44" s="111"/>
      <c r="AT44" s="111"/>
      <c r="AU44" s="187"/>
      <c r="AV44" s="110"/>
      <c r="AW44" s="111"/>
      <c r="AX44" s="111"/>
      <c r="AY44" s="111"/>
      <c r="AZ44" s="112"/>
      <c r="BA44" s="110"/>
      <c r="BB44" s="111"/>
      <c r="BC44" s="111"/>
      <c r="BD44" s="112"/>
      <c r="BE44" s="289">
        <f t="shared" si="0"/>
        <v>0</v>
      </c>
    </row>
    <row r="45" spans="1:57" ht="12" customHeight="1" x14ac:dyDescent="0.25">
      <c r="B45" s="6"/>
      <c r="C45" s="375" t="s">
        <v>196</v>
      </c>
      <c r="D45" s="358" t="s">
        <v>193</v>
      </c>
      <c r="E45" s="110"/>
      <c r="F45" s="111"/>
      <c r="G45" s="111"/>
      <c r="H45" s="187"/>
      <c r="I45" s="110"/>
      <c r="J45" s="111"/>
      <c r="K45" s="111"/>
      <c r="L45" s="111"/>
      <c r="M45" s="112"/>
      <c r="N45" s="113"/>
      <c r="O45" s="111"/>
      <c r="P45" s="111"/>
      <c r="Q45" s="112"/>
      <c r="R45" s="110"/>
      <c r="S45" s="111"/>
      <c r="T45" s="111"/>
      <c r="U45" s="187"/>
      <c r="V45" s="110"/>
      <c r="W45" s="111"/>
      <c r="X45" s="111"/>
      <c r="Y45" s="187"/>
      <c r="Z45" s="110"/>
      <c r="AA45" s="111"/>
      <c r="AB45" s="111"/>
      <c r="AC45" s="111"/>
      <c r="AD45" s="112"/>
      <c r="AE45" s="110"/>
      <c r="AF45" s="111"/>
      <c r="AG45" s="111"/>
      <c r="AH45" s="187"/>
      <c r="AI45" s="110"/>
      <c r="AJ45" s="111"/>
      <c r="AK45" s="111"/>
      <c r="AL45" s="111"/>
      <c r="AM45" s="112"/>
      <c r="AN45" s="110"/>
      <c r="AO45" s="111"/>
      <c r="AP45" s="111"/>
      <c r="AQ45" s="187"/>
      <c r="AR45" s="110"/>
      <c r="AS45" s="111"/>
      <c r="AT45" s="111"/>
      <c r="AU45" s="187"/>
      <c r="AV45" s="110"/>
      <c r="AW45" s="111"/>
      <c r="AX45" s="111"/>
      <c r="AY45" s="111"/>
      <c r="AZ45" s="112"/>
      <c r="BA45" s="110"/>
      <c r="BB45" s="111"/>
      <c r="BC45" s="111"/>
      <c r="BD45" s="112"/>
      <c r="BE45" s="289">
        <f t="shared" si="0"/>
        <v>0</v>
      </c>
    </row>
    <row r="46" spans="1:57" ht="12" hidden="1" customHeight="1" x14ac:dyDescent="0.25">
      <c r="B46" s="58" t="s">
        <v>67</v>
      </c>
      <c r="C46" s="375"/>
      <c r="E46" s="110"/>
      <c r="F46" s="111"/>
      <c r="G46" s="111"/>
      <c r="H46" s="187"/>
      <c r="I46" s="110"/>
      <c r="J46" s="111"/>
      <c r="K46" s="111"/>
      <c r="L46" s="111"/>
      <c r="M46" s="112"/>
      <c r="N46" s="113"/>
      <c r="O46" s="111"/>
      <c r="P46" s="111"/>
      <c r="Q46" s="112"/>
      <c r="R46" s="110"/>
      <c r="S46" s="111"/>
      <c r="T46" s="111"/>
      <c r="U46" s="187"/>
      <c r="V46" s="110"/>
      <c r="W46" s="111"/>
      <c r="X46" s="111"/>
      <c r="Y46" s="187"/>
      <c r="Z46" s="110"/>
      <c r="AA46" s="111"/>
      <c r="AB46" s="111"/>
      <c r="AC46" s="111"/>
      <c r="AD46" s="112"/>
      <c r="AE46" s="110"/>
      <c r="AF46" s="111"/>
      <c r="AG46" s="111"/>
      <c r="AH46" s="187"/>
      <c r="AI46" s="110"/>
      <c r="AJ46" s="111"/>
      <c r="AK46" s="111"/>
      <c r="AL46" s="111"/>
      <c r="AM46" s="112"/>
      <c r="AN46" s="110"/>
      <c r="AO46" s="111"/>
      <c r="AP46" s="111"/>
      <c r="AQ46" s="187"/>
      <c r="AR46" s="110"/>
      <c r="AS46" s="111"/>
      <c r="AT46" s="111"/>
      <c r="AU46" s="187"/>
      <c r="AV46" s="110"/>
      <c r="AW46" s="111"/>
      <c r="AX46" s="111"/>
      <c r="AY46" s="111"/>
      <c r="AZ46" s="112"/>
      <c r="BA46" s="110"/>
      <c r="BB46" s="111"/>
      <c r="BC46" s="111"/>
      <c r="BD46" s="112"/>
      <c r="BE46" s="289">
        <f t="shared" si="0"/>
        <v>0</v>
      </c>
    </row>
    <row r="47" spans="1:57" ht="12" customHeight="1" x14ac:dyDescent="0.25">
      <c r="B47" s="6"/>
      <c r="C47" s="375" t="s">
        <v>197</v>
      </c>
      <c r="D47" s="358" t="s">
        <v>189</v>
      </c>
      <c r="E47" s="110"/>
      <c r="F47" s="111"/>
      <c r="G47" s="111"/>
      <c r="H47" s="187"/>
      <c r="I47" s="110"/>
      <c r="J47" s="111"/>
      <c r="K47" s="111"/>
      <c r="L47" s="111"/>
      <c r="M47" s="112"/>
      <c r="N47" s="113"/>
      <c r="O47" s="111"/>
      <c r="P47" s="111"/>
      <c r="Q47" s="112"/>
      <c r="R47" s="110"/>
      <c r="S47" s="111"/>
      <c r="T47" s="111"/>
      <c r="U47" s="187"/>
      <c r="V47" s="110"/>
      <c r="W47" s="111"/>
      <c r="X47" s="111"/>
      <c r="Y47" s="187"/>
      <c r="Z47" s="110"/>
      <c r="AA47" s="111"/>
      <c r="AB47" s="111"/>
      <c r="AC47" s="111"/>
      <c r="AD47" s="112"/>
      <c r="AE47" s="110"/>
      <c r="AF47" s="111"/>
      <c r="AG47" s="111"/>
      <c r="AH47" s="187"/>
      <c r="AI47" s="110"/>
      <c r="AJ47" s="111"/>
      <c r="AK47" s="111"/>
      <c r="AL47" s="111"/>
      <c r="AM47" s="112"/>
      <c r="AN47" s="110"/>
      <c r="AO47" s="111"/>
      <c r="AP47" s="111"/>
      <c r="AQ47" s="187"/>
      <c r="AR47" s="110"/>
      <c r="AS47" s="111"/>
      <c r="AT47" s="111"/>
      <c r="AU47" s="187"/>
      <c r="AV47" s="110"/>
      <c r="AW47" s="111"/>
      <c r="AX47" s="111"/>
      <c r="AY47" s="111"/>
      <c r="AZ47" s="112"/>
      <c r="BA47" s="110"/>
      <c r="BB47" s="111"/>
      <c r="BC47" s="111"/>
      <c r="BD47" s="112"/>
      <c r="BE47" s="289">
        <f t="shared" si="0"/>
        <v>0</v>
      </c>
    </row>
    <row r="48" spans="1:57" ht="12" customHeight="1" x14ac:dyDescent="0.25">
      <c r="B48" s="6"/>
      <c r="C48" s="375" t="s">
        <v>250</v>
      </c>
      <c r="D48" s="358" t="s">
        <v>193</v>
      </c>
      <c r="E48" s="110"/>
      <c r="F48" s="111"/>
      <c r="G48" s="111"/>
      <c r="H48" s="187"/>
      <c r="I48" s="110"/>
      <c r="J48" s="111"/>
      <c r="K48" s="111"/>
      <c r="L48" s="111"/>
      <c r="M48" s="112"/>
      <c r="N48" s="113"/>
      <c r="O48" s="111"/>
      <c r="P48" s="111"/>
      <c r="Q48" s="112"/>
      <c r="R48" s="110"/>
      <c r="S48" s="111"/>
      <c r="T48" s="111"/>
      <c r="U48" s="187"/>
      <c r="V48" s="110"/>
      <c r="W48" s="111"/>
      <c r="X48" s="111"/>
      <c r="Y48" s="187"/>
      <c r="Z48" s="110"/>
      <c r="AA48" s="111"/>
      <c r="AB48" s="111"/>
      <c r="AC48" s="111"/>
      <c r="AD48" s="112"/>
      <c r="AE48" s="110"/>
      <c r="AF48" s="111"/>
      <c r="AG48" s="111"/>
      <c r="AH48" s="187"/>
      <c r="AI48" s="110"/>
      <c r="AJ48" s="111"/>
      <c r="AK48" s="111"/>
      <c r="AL48" s="111"/>
      <c r="AM48" s="112"/>
      <c r="AN48" s="110"/>
      <c r="AO48" s="111"/>
      <c r="AP48" s="111"/>
      <c r="AQ48" s="187"/>
      <c r="AR48" s="110"/>
      <c r="AS48" s="111"/>
      <c r="AT48" s="111"/>
      <c r="AU48" s="187"/>
      <c r="AV48" s="110"/>
      <c r="AW48" s="111"/>
      <c r="AX48" s="111"/>
      <c r="AY48" s="111"/>
      <c r="AZ48" s="112"/>
      <c r="BA48" s="110"/>
      <c r="BB48" s="111"/>
      <c r="BC48" s="111"/>
      <c r="BD48" s="112"/>
    </row>
    <row r="49" spans="2:58" ht="12" customHeight="1" x14ac:dyDescent="0.25">
      <c r="B49" s="6"/>
      <c r="C49" s="375" t="s">
        <v>198</v>
      </c>
      <c r="D49" s="358" t="s">
        <v>189</v>
      </c>
      <c r="E49" s="110"/>
      <c r="F49" s="111"/>
      <c r="G49" s="111"/>
      <c r="H49" s="187"/>
      <c r="I49" s="110"/>
      <c r="J49" s="111"/>
      <c r="K49" s="111"/>
      <c r="L49" s="111"/>
      <c r="M49" s="112"/>
      <c r="N49" s="113"/>
      <c r="O49" s="111"/>
      <c r="P49" s="111"/>
      <c r="Q49" s="112"/>
      <c r="R49" s="110"/>
      <c r="S49" s="111"/>
      <c r="T49" s="111"/>
      <c r="U49" s="187"/>
      <c r="V49" s="110"/>
      <c r="W49" s="111"/>
      <c r="X49" s="111"/>
      <c r="Y49" s="187"/>
      <c r="Z49" s="110"/>
      <c r="AA49" s="111"/>
      <c r="AB49" s="111"/>
      <c r="AC49" s="111"/>
      <c r="AD49" s="112"/>
      <c r="AE49" s="110"/>
      <c r="AF49" s="111"/>
      <c r="AG49" s="111"/>
      <c r="AH49" s="187"/>
      <c r="AI49" s="110"/>
      <c r="AJ49" s="111"/>
      <c r="AK49" s="111"/>
      <c r="AL49" s="111"/>
      <c r="AM49" s="112"/>
      <c r="AN49" s="110"/>
      <c r="AO49" s="111"/>
      <c r="AP49" s="111"/>
      <c r="AQ49" s="187"/>
      <c r="AR49" s="110"/>
      <c r="AS49" s="111"/>
      <c r="AT49" s="111"/>
      <c r="AU49" s="187"/>
      <c r="AV49" s="110"/>
      <c r="AW49" s="111"/>
      <c r="AX49" s="111"/>
      <c r="AY49" s="111"/>
      <c r="AZ49" s="112"/>
      <c r="BA49" s="110"/>
      <c r="BB49" s="111"/>
      <c r="BC49" s="111"/>
      <c r="BD49" s="112"/>
      <c r="BE49" s="289">
        <f t="shared" si="0"/>
        <v>0</v>
      </c>
    </row>
    <row r="50" spans="2:58" ht="12" hidden="1" customHeight="1" x14ac:dyDescent="0.25">
      <c r="B50" s="58" t="s">
        <v>64</v>
      </c>
      <c r="C50" s="375"/>
      <c r="E50" s="110"/>
      <c r="F50" s="111"/>
      <c r="G50" s="111"/>
      <c r="H50" s="187"/>
      <c r="I50" s="110"/>
      <c r="J50" s="111"/>
      <c r="K50" s="111"/>
      <c r="L50" s="111"/>
      <c r="M50" s="112"/>
      <c r="N50" s="113"/>
      <c r="O50" s="111"/>
      <c r="P50" s="111"/>
      <c r="Q50" s="112"/>
      <c r="R50" s="110"/>
      <c r="S50" s="111"/>
      <c r="T50" s="111"/>
      <c r="U50" s="187"/>
      <c r="V50" s="110"/>
      <c r="W50" s="111"/>
      <c r="X50" s="111"/>
      <c r="Y50" s="187"/>
      <c r="Z50" s="110"/>
      <c r="AA50" s="111"/>
      <c r="AB50" s="111"/>
      <c r="AC50" s="111"/>
      <c r="AD50" s="112"/>
      <c r="AE50" s="110"/>
      <c r="AF50" s="111"/>
      <c r="AG50" s="111"/>
      <c r="AH50" s="187"/>
      <c r="AI50" s="110"/>
      <c r="AJ50" s="111"/>
      <c r="AK50" s="111"/>
      <c r="AL50" s="111"/>
      <c r="AM50" s="112"/>
      <c r="AN50" s="110"/>
      <c r="AO50" s="111"/>
      <c r="AP50" s="111"/>
      <c r="AQ50" s="187"/>
      <c r="AR50" s="110"/>
      <c r="AS50" s="111"/>
      <c r="AT50" s="111"/>
      <c r="AU50" s="187"/>
      <c r="AV50" s="110"/>
      <c r="AW50" s="111"/>
      <c r="AX50" s="111"/>
      <c r="AY50" s="111"/>
      <c r="AZ50" s="112"/>
      <c r="BA50" s="110"/>
      <c r="BB50" s="111"/>
      <c r="BC50" s="111"/>
      <c r="BD50" s="112"/>
      <c r="BE50" s="289">
        <f t="shared" si="0"/>
        <v>0</v>
      </c>
    </row>
    <row r="51" spans="2:58" ht="12" customHeight="1" x14ac:dyDescent="0.25">
      <c r="B51" s="6"/>
      <c r="C51" s="375" t="s">
        <v>199</v>
      </c>
      <c r="D51" s="358" t="s">
        <v>192</v>
      </c>
      <c r="E51" s="110"/>
      <c r="F51" s="111"/>
      <c r="G51" s="111"/>
      <c r="H51" s="187"/>
      <c r="I51" s="110"/>
      <c r="J51" s="111"/>
      <c r="K51" s="111"/>
      <c r="L51" s="111"/>
      <c r="M51" s="112"/>
      <c r="N51" s="113"/>
      <c r="O51" s="111"/>
      <c r="P51" s="111"/>
      <c r="Q51" s="112"/>
      <c r="R51" s="110"/>
      <c r="S51" s="111"/>
      <c r="T51" s="111"/>
      <c r="U51" s="187"/>
      <c r="V51" s="110"/>
      <c r="W51" s="111"/>
      <c r="X51" s="111"/>
      <c r="Y51" s="187"/>
      <c r="Z51" s="110"/>
      <c r="AA51" s="111"/>
      <c r="AB51" s="111"/>
      <c r="AC51" s="111"/>
      <c r="AD51" s="112"/>
      <c r="AE51" s="110"/>
      <c r="AF51" s="111"/>
      <c r="AG51" s="111"/>
      <c r="AH51" s="187"/>
      <c r="AI51" s="110"/>
      <c r="AJ51" s="111"/>
      <c r="AK51" s="111"/>
      <c r="AL51" s="111"/>
      <c r="AM51" s="112"/>
      <c r="AN51" s="110"/>
      <c r="AO51" s="111"/>
      <c r="AP51" s="111"/>
      <c r="AQ51" s="187"/>
      <c r="AR51" s="110"/>
      <c r="AS51" s="111"/>
      <c r="AT51" s="111"/>
      <c r="AU51" s="187"/>
      <c r="AV51" s="110"/>
      <c r="AW51" s="111"/>
      <c r="AX51" s="111"/>
      <c r="AY51" s="111"/>
      <c r="AZ51" s="112"/>
      <c r="BA51" s="110"/>
      <c r="BB51" s="111"/>
      <c r="BC51" s="111"/>
      <c r="BD51" s="112"/>
      <c r="BE51" s="289">
        <f t="shared" si="0"/>
        <v>0</v>
      </c>
    </row>
    <row r="52" spans="2:58" ht="12" customHeight="1" x14ac:dyDescent="0.25">
      <c r="B52" s="6"/>
      <c r="C52" s="375" t="s">
        <v>200</v>
      </c>
      <c r="D52" s="358" t="s">
        <v>189</v>
      </c>
      <c r="E52" s="110"/>
      <c r="F52" s="111"/>
      <c r="G52" s="111"/>
      <c r="H52" s="187"/>
      <c r="I52" s="110"/>
      <c r="J52" s="111"/>
      <c r="K52" s="111"/>
      <c r="L52" s="111"/>
      <c r="M52" s="112"/>
      <c r="N52" s="113"/>
      <c r="O52" s="111"/>
      <c r="P52" s="111"/>
      <c r="Q52" s="112"/>
      <c r="R52" s="110"/>
      <c r="S52" s="111"/>
      <c r="T52" s="111"/>
      <c r="U52" s="187"/>
      <c r="V52" s="110"/>
      <c r="W52" s="111"/>
      <c r="X52" s="111"/>
      <c r="Y52" s="187"/>
      <c r="Z52" s="110"/>
      <c r="AA52" s="111"/>
      <c r="AB52" s="111"/>
      <c r="AC52" s="111"/>
      <c r="AD52" s="112"/>
      <c r="AE52" s="110"/>
      <c r="AF52" s="111"/>
      <c r="AG52" s="111"/>
      <c r="AH52" s="187"/>
      <c r="AI52" s="110"/>
      <c r="AJ52" s="111"/>
      <c r="AK52" s="111"/>
      <c r="AL52" s="111"/>
      <c r="AM52" s="112"/>
      <c r="AN52" s="110"/>
      <c r="AO52" s="111"/>
      <c r="AP52" s="111"/>
      <c r="AQ52" s="187"/>
      <c r="AR52" s="110"/>
      <c r="AS52" s="111"/>
      <c r="AT52" s="111"/>
      <c r="AU52" s="187"/>
      <c r="AV52" s="110"/>
      <c r="AW52" s="111"/>
      <c r="AX52" s="111"/>
      <c r="AY52" s="111"/>
      <c r="AZ52" s="112"/>
      <c r="BA52" s="110"/>
      <c r="BB52" s="111"/>
      <c r="BC52" s="111"/>
      <c r="BD52" s="112"/>
      <c r="BE52" s="289">
        <f t="shared" si="0"/>
        <v>0</v>
      </c>
    </row>
    <row r="53" spans="2:58" ht="12" customHeight="1" x14ac:dyDescent="0.25">
      <c r="B53" s="6"/>
      <c r="C53" s="375" t="s">
        <v>201</v>
      </c>
      <c r="D53" s="358" t="s">
        <v>192</v>
      </c>
      <c r="E53" s="110"/>
      <c r="F53" s="111"/>
      <c r="G53" s="111"/>
      <c r="H53" s="187"/>
      <c r="I53" s="110"/>
      <c r="J53" s="111"/>
      <c r="K53" s="111"/>
      <c r="L53" s="111"/>
      <c r="M53" s="112"/>
      <c r="N53" s="113"/>
      <c r="O53" s="111"/>
      <c r="P53" s="111"/>
      <c r="Q53" s="112"/>
      <c r="R53" s="110"/>
      <c r="S53" s="111"/>
      <c r="T53" s="111"/>
      <c r="U53" s="187"/>
      <c r="V53" s="110"/>
      <c r="W53" s="111"/>
      <c r="X53" s="111"/>
      <c r="Y53" s="187"/>
      <c r="Z53" s="110"/>
      <c r="AA53" s="111"/>
      <c r="AB53" s="111"/>
      <c r="AC53" s="111"/>
      <c r="AD53" s="112"/>
      <c r="AE53" s="110"/>
      <c r="AF53" s="111"/>
      <c r="AG53" s="111"/>
      <c r="AH53" s="187"/>
      <c r="AI53" s="110"/>
      <c r="AJ53" s="111"/>
      <c r="AK53" s="111"/>
      <c r="AL53" s="111"/>
      <c r="AM53" s="112"/>
      <c r="AN53" s="110"/>
      <c r="AO53" s="111"/>
      <c r="AP53" s="111"/>
      <c r="AQ53" s="187"/>
      <c r="AR53" s="110"/>
      <c r="AS53" s="111"/>
      <c r="AT53" s="111"/>
      <c r="AU53" s="187"/>
      <c r="AV53" s="110"/>
      <c r="AW53" s="111"/>
      <c r="AX53" s="111"/>
      <c r="AY53" s="111"/>
      <c r="AZ53" s="112"/>
      <c r="BA53" s="110"/>
      <c r="BB53" s="111"/>
      <c r="BC53" s="111"/>
      <c r="BD53" s="112"/>
      <c r="BE53" s="289">
        <f t="shared" si="0"/>
        <v>0</v>
      </c>
    </row>
    <row r="54" spans="2:58" ht="12" hidden="1" customHeight="1" x14ac:dyDescent="0.25">
      <c r="B54" s="58" t="s">
        <v>63</v>
      </c>
      <c r="C54" s="375"/>
      <c r="E54" s="110"/>
      <c r="F54" s="111"/>
      <c r="G54" s="111"/>
      <c r="H54" s="187"/>
      <c r="I54" s="110"/>
      <c r="J54" s="111"/>
      <c r="K54" s="111"/>
      <c r="L54" s="111"/>
      <c r="M54" s="112"/>
      <c r="N54" s="113"/>
      <c r="O54" s="111"/>
      <c r="P54" s="111"/>
      <c r="Q54" s="112"/>
      <c r="R54" s="110"/>
      <c r="S54" s="111"/>
      <c r="T54" s="111"/>
      <c r="U54" s="187"/>
      <c r="V54" s="110"/>
      <c r="W54" s="111"/>
      <c r="X54" s="111"/>
      <c r="Y54" s="187"/>
      <c r="Z54" s="110"/>
      <c r="AA54" s="111"/>
      <c r="AB54" s="111"/>
      <c r="AC54" s="111"/>
      <c r="AD54" s="112"/>
      <c r="AE54" s="110"/>
      <c r="AF54" s="111"/>
      <c r="AG54" s="111"/>
      <c r="AH54" s="187"/>
      <c r="AI54" s="110"/>
      <c r="AJ54" s="111"/>
      <c r="AK54" s="111"/>
      <c r="AL54" s="111"/>
      <c r="AM54" s="112"/>
      <c r="AN54" s="110"/>
      <c r="AO54" s="111"/>
      <c r="AP54" s="111"/>
      <c r="AQ54" s="187"/>
      <c r="AR54" s="110"/>
      <c r="AS54" s="111"/>
      <c r="AT54" s="111"/>
      <c r="AU54" s="187"/>
      <c r="AV54" s="110"/>
      <c r="AW54" s="111"/>
      <c r="AX54" s="111"/>
      <c r="AY54" s="111"/>
      <c r="AZ54" s="112"/>
      <c r="BA54" s="110"/>
      <c r="BB54" s="111"/>
      <c r="BC54" s="111"/>
      <c r="BD54" s="112"/>
      <c r="BE54" s="289">
        <f t="shared" si="0"/>
        <v>0</v>
      </c>
    </row>
    <row r="55" spans="2:58" ht="12" customHeight="1" x14ac:dyDescent="0.25">
      <c r="B55" s="6"/>
      <c r="C55" s="375"/>
      <c r="E55" s="110"/>
      <c r="F55" s="111"/>
      <c r="G55" s="111"/>
      <c r="H55" s="187"/>
      <c r="I55" s="110"/>
      <c r="J55" s="111"/>
      <c r="K55" s="111"/>
      <c r="L55" s="111"/>
      <c r="M55" s="112"/>
      <c r="N55" s="113"/>
      <c r="O55" s="111"/>
      <c r="P55" s="111"/>
      <c r="Q55" s="112"/>
      <c r="R55" s="110"/>
      <c r="S55" s="111"/>
      <c r="T55" s="111"/>
      <c r="U55" s="187"/>
      <c r="V55" s="110"/>
      <c r="W55" s="111"/>
      <c r="X55" s="111"/>
      <c r="Y55" s="187"/>
      <c r="Z55" s="110"/>
      <c r="AA55" s="111"/>
      <c r="AB55" s="111"/>
      <c r="AC55" s="111"/>
      <c r="AD55" s="112"/>
      <c r="AE55" s="110"/>
      <c r="AF55" s="111"/>
      <c r="AG55" s="111"/>
      <c r="AH55" s="187"/>
      <c r="AI55" s="110"/>
      <c r="AJ55" s="111"/>
      <c r="AK55" s="111"/>
      <c r="AL55" s="111"/>
      <c r="AM55" s="112"/>
      <c r="AN55" s="110"/>
      <c r="AO55" s="111"/>
      <c r="AP55" s="111"/>
      <c r="AQ55" s="187"/>
      <c r="AR55" s="110"/>
      <c r="AS55" s="111"/>
      <c r="AT55" s="111"/>
      <c r="AU55" s="187"/>
      <c r="AV55" s="110"/>
      <c r="AW55" s="111"/>
      <c r="AX55" s="111"/>
      <c r="AY55" s="111"/>
      <c r="AZ55" s="112"/>
      <c r="BA55" s="110"/>
      <c r="BB55" s="111"/>
      <c r="BC55" s="111"/>
      <c r="BD55" s="112"/>
      <c r="BE55" s="289">
        <f t="shared" si="0"/>
        <v>0</v>
      </c>
      <c r="BF55" s="10"/>
    </row>
    <row r="56" spans="2:58" ht="12" customHeight="1" thickBot="1" x14ac:dyDescent="0.3">
      <c r="B56" s="3"/>
      <c r="C56" s="383"/>
      <c r="E56" s="147"/>
      <c r="F56" s="148"/>
      <c r="G56" s="148"/>
      <c r="H56" s="193"/>
      <c r="I56" s="147"/>
      <c r="J56" s="148"/>
      <c r="K56" s="148"/>
      <c r="L56" s="148"/>
      <c r="M56" s="149"/>
      <c r="N56" s="176"/>
      <c r="O56" s="148"/>
      <c r="P56" s="148"/>
      <c r="Q56" s="149"/>
      <c r="R56" s="147"/>
      <c r="S56" s="148"/>
      <c r="T56" s="148"/>
      <c r="U56" s="193"/>
      <c r="V56" s="147"/>
      <c r="W56" s="148"/>
      <c r="X56" s="148"/>
      <c r="Y56" s="193"/>
      <c r="Z56" s="147"/>
      <c r="AA56" s="148"/>
      <c r="AB56" s="148"/>
      <c r="AC56" s="148"/>
      <c r="AD56" s="149"/>
      <c r="AE56" s="147"/>
      <c r="AF56" s="148"/>
      <c r="AG56" s="148"/>
      <c r="AH56" s="193"/>
      <c r="AI56" s="147"/>
      <c r="AJ56" s="148"/>
      <c r="AK56" s="148"/>
      <c r="AL56" s="148"/>
      <c r="AM56" s="149"/>
      <c r="AN56" s="147"/>
      <c r="AO56" s="148"/>
      <c r="AP56" s="148"/>
      <c r="AQ56" s="193"/>
      <c r="AR56" s="147"/>
      <c r="AS56" s="148"/>
      <c r="AT56" s="148"/>
      <c r="AU56" s="193"/>
      <c r="AV56" s="147"/>
      <c r="AW56" s="148"/>
      <c r="AX56" s="148"/>
      <c r="AY56" s="148"/>
      <c r="AZ56" s="149"/>
      <c r="BA56" s="147"/>
      <c r="BB56" s="148"/>
      <c r="BC56" s="148"/>
      <c r="BD56" s="149"/>
      <c r="BE56" s="289">
        <f t="shared" si="0"/>
        <v>0</v>
      </c>
    </row>
    <row r="57" spans="2:58" ht="12" customHeight="1" thickBot="1" x14ac:dyDescent="0.3">
      <c r="B57" s="36"/>
      <c r="C57" s="368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</row>
    <row r="58" spans="2:58" ht="12" customHeight="1" thickBot="1" x14ac:dyDescent="0.3">
      <c r="B58" s="4"/>
      <c r="C58" s="372" t="s">
        <v>243</v>
      </c>
      <c r="E58" s="89">
        <v>1</v>
      </c>
      <c r="F58" s="90">
        <v>2</v>
      </c>
      <c r="G58" s="90">
        <v>3</v>
      </c>
      <c r="H58" s="90">
        <v>4</v>
      </c>
      <c r="I58" s="90">
        <v>5</v>
      </c>
      <c r="J58" s="90">
        <v>6</v>
      </c>
      <c r="K58" s="90">
        <v>7</v>
      </c>
      <c r="L58" s="90">
        <v>8</v>
      </c>
      <c r="M58" s="90">
        <v>9</v>
      </c>
      <c r="N58" s="90">
        <v>10</v>
      </c>
      <c r="O58" s="90">
        <v>11</v>
      </c>
      <c r="P58" s="90">
        <v>12</v>
      </c>
      <c r="Q58" s="90">
        <v>13</v>
      </c>
      <c r="R58" s="90">
        <v>14</v>
      </c>
      <c r="S58" s="90">
        <v>15</v>
      </c>
      <c r="T58" s="90">
        <v>16</v>
      </c>
      <c r="U58" s="90">
        <v>17</v>
      </c>
      <c r="V58" s="90">
        <v>18</v>
      </c>
      <c r="W58" s="90">
        <v>19</v>
      </c>
      <c r="X58" s="90">
        <v>20</v>
      </c>
      <c r="Y58" s="90">
        <v>21</v>
      </c>
      <c r="Z58" s="90">
        <v>22</v>
      </c>
      <c r="AA58" s="90">
        <v>23</v>
      </c>
      <c r="AB58" s="90">
        <v>24</v>
      </c>
      <c r="AC58" s="90">
        <v>25</v>
      </c>
      <c r="AD58" s="90">
        <v>26</v>
      </c>
      <c r="AE58" s="90">
        <v>27</v>
      </c>
      <c r="AF58" s="90">
        <v>28</v>
      </c>
      <c r="AG58" s="90">
        <v>29</v>
      </c>
      <c r="AH58" s="90">
        <v>30</v>
      </c>
      <c r="AI58" s="90">
        <v>31</v>
      </c>
      <c r="AJ58" s="90">
        <v>32</v>
      </c>
      <c r="AK58" s="90">
        <v>33</v>
      </c>
      <c r="AL58" s="90">
        <v>34</v>
      </c>
      <c r="AM58" s="90">
        <v>35</v>
      </c>
      <c r="AN58" s="90">
        <v>36</v>
      </c>
      <c r="AO58" s="90">
        <v>37</v>
      </c>
      <c r="AP58" s="90">
        <v>38</v>
      </c>
      <c r="AQ58" s="90">
        <v>39</v>
      </c>
      <c r="AR58" s="90">
        <v>40</v>
      </c>
      <c r="AS58" s="90">
        <v>41</v>
      </c>
      <c r="AT58" s="90">
        <v>42</v>
      </c>
      <c r="AU58" s="90">
        <v>43</v>
      </c>
      <c r="AV58" s="90">
        <v>44</v>
      </c>
      <c r="AW58" s="90">
        <v>45</v>
      </c>
      <c r="AX58" s="90">
        <v>46</v>
      </c>
      <c r="AY58" s="90">
        <v>47</v>
      </c>
      <c r="AZ58" s="90">
        <v>48</v>
      </c>
      <c r="BA58" s="90">
        <v>49</v>
      </c>
      <c r="BB58" s="90">
        <v>50</v>
      </c>
      <c r="BC58" s="90">
        <v>51</v>
      </c>
      <c r="BD58" s="90">
        <v>52</v>
      </c>
    </row>
    <row r="59" spans="2:58" ht="44.25" customHeight="1" x14ac:dyDescent="0.25">
      <c r="B59" s="6"/>
      <c r="C59" s="375" t="s">
        <v>274</v>
      </c>
      <c r="D59" s="358" t="s">
        <v>192</v>
      </c>
      <c r="E59" s="154"/>
      <c r="F59" s="107"/>
      <c r="G59" s="107"/>
      <c r="H59" s="186"/>
      <c r="I59" s="154"/>
      <c r="J59" s="107"/>
      <c r="K59" s="107"/>
      <c r="L59" s="107"/>
      <c r="M59" s="108"/>
      <c r="N59" s="177"/>
      <c r="O59" s="107"/>
      <c r="P59" s="107"/>
      <c r="Q59" s="108"/>
      <c r="R59" s="154"/>
      <c r="S59" s="107"/>
      <c r="T59" s="107"/>
      <c r="U59" s="108"/>
      <c r="V59" s="154"/>
      <c r="W59" s="107"/>
      <c r="X59" s="107"/>
      <c r="Y59" s="186"/>
      <c r="Z59" s="154"/>
      <c r="AA59" s="107"/>
      <c r="AB59" s="107"/>
      <c r="AC59" s="107"/>
      <c r="AD59" s="186"/>
      <c r="AE59" s="154"/>
      <c r="AF59" s="107"/>
      <c r="AG59" s="107"/>
      <c r="AH59" s="186"/>
      <c r="AI59" s="154"/>
      <c r="AJ59" s="107"/>
      <c r="AK59" s="107"/>
      <c r="AL59" s="107"/>
      <c r="AM59" s="108"/>
      <c r="AN59" s="177"/>
      <c r="AO59" s="107"/>
      <c r="AP59" s="107"/>
      <c r="AQ59" s="186"/>
      <c r="AR59" s="154"/>
      <c r="AS59" s="107"/>
      <c r="AT59" s="107"/>
      <c r="AU59" s="108"/>
      <c r="AV59" s="177"/>
      <c r="AW59" s="107"/>
      <c r="AX59" s="107"/>
      <c r="AY59" s="107"/>
      <c r="AZ59" s="108"/>
      <c r="BA59" s="177"/>
      <c r="BB59" s="107"/>
      <c r="BC59" s="107"/>
      <c r="BD59" s="107"/>
      <c r="BE59" s="289">
        <f t="shared" ref="BE59:BE60" si="1">52-COUNTBLANK(E59:BD59)</f>
        <v>0</v>
      </c>
    </row>
    <row r="60" spans="2:58" ht="12" customHeight="1" thickBot="1" x14ac:dyDescent="0.3">
      <c r="B60" s="9"/>
      <c r="C60" s="384"/>
      <c r="E60" s="147"/>
      <c r="F60" s="148"/>
      <c r="G60" s="148"/>
      <c r="H60" s="193"/>
      <c r="I60" s="147"/>
      <c r="J60" s="148"/>
      <c r="K60" s="148"/>
      <c r="L60" s="148"/>
      <c r="M60" s="149"/>
      <c r="N60" s="176"/>
      <c r="O60" s="148"/>
      <c r="P60" s="148"/>
      <c r="Q60" s="149"/>
      <c r="R60" s="147"/>
      <c r="S60" s="148"/>
      <c r="T60" s="148"/>
      <c r="U60" s="149"/>
      <c r="V60" s="147"/>
      <c r="W60" s="148"/>
      <c r="X60" s="148"/>
      <c r="Y60" s="193"/>
      <c r="Z60" s="147"/>
      <c r="AA60" s="148"/>
      <c r="AB60" s="148"/>
      <c r="AC60" s="148"/>
      <c r="AD60" s="193"/>
      <c r="AE60" s="147"/>
      <c r="AF60" s="148"/>
      <c r="AG60" s="148"/>
      <c r="AH60" s="193"/>
      <c r="AI60" s="147"/>
      <c r="AJ60" s="148"/>
      <c r="AK60" s="148"/>
      <c r="AL60" s="148"/>
      <c r="AM60" s="149"/>
      <c r="AN60" s="176"/>
      <c r="AO60" s="148"/>
      <c r="AP60" s="148"/>
      <c r="AQ60" s="193"/>
      <c r="AR60" s="147"/>
      <c r="AS60" s="148"/>
      <c r="AT60" s="148"/>
      <c r="AU60" s="149"/>
      <c r="AV60" s="176"/>
      <c r="AW60" s="148"/>
      <c r="AX60" s="148"/>
      <c r="AY60" s="148"/>
      <c r="AZ60" s="149"/>
      <c r="BA60" s="176"/>
      <c r="BB60" s="148"/>
      <c r="BC60" s="148"/>
      <c r="BD60" s="148"/>
      <c r="BE60" s="289">
        <f t="shared" si="1"/>
        <v>0</v>
      </c>
    </row>
    <row r="61" spans="2:58" ht="12" customHeight="1" thickBot="1" x14ac:dyDescent="0.3">
      <c r="B61" s="8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</row>
    <row r="62" spans="2:58" ht="12" customHeight="1" thickBot="1" x14ac:dyDescent="0.3">
      <c r="B62" s="4"/>
      <c r="C62" s="372" t="s">
        <v>61</v>
      </c>
      <c r="E62" s="89">
        <v>1</v>
      </c>
      <c r="F62" s="90">
        <v>2</v>
      </c>
      <c r="G62" s="90">
        <v>3</v>
      </c>
      <c r="H62" s="90">
        <v>4</v>
      </c>
      <c r="I62" s="90">
        <v>5</v>
      </c>
      <c r="J62" s="90">
        <v>6</v>
      </c>
      <c r="K62" s="90">
        <v>7</v>
      </c>
      <c r="L62" s="90">
        <v>8</v>
      </c>
      <c r="M62" s="90">
        <v>9</v>
      </c>
      <c r="N62" s="90">
        <v>10</v>
      </c>
      <c r="O62" s="90">
        <v>11</v>
      </c>
      <c r="P62" s="90">
        <v>12</v>
      </c>
      <c r="Q62" s="90">
        <v>13</v>
      </c>
      <c r="R62" s="90">
        <v>14</v>
      </c>
      <c r="S62" s="90">
        <v>15</v>
      </c>
      <c r="T62" s="90">
        <v>16</v>
      </c>
      <c r="U62" s="90">
        <v>17</v>
      </c>
      <c r="V62" s="90">
        <v>18</v>
      </c>
      <c r="W62" s="90">
        <v>19</v>
      </c>
      <c r="X62" s="90">
        <v>20</v>
      </c>
      <c r="Y62" s="90">
        <v>21</v>
      </c>
      <c r="Z62" s="90">
        <v>22</v>
      </c>
      <c r="AA62" s="90">
        <v>23</v>
      </c>
      <c r="AB62" s="90">
        <v>24</v>
      </c>
      <c r="AC62" s="90">
        <v>25</v>
      </c>
      <c r="AD62" s="90">
        <v>26</v>
      </c>
      <c r="AE62" s="90">
        <v>27</v>
      </c>
      <c r="AF62" s="90">
        <v>28</v>
      </c>
      <c r="AG62" s="90">
        <v>29</v>
      </c>
      <c r="AH62" s="90">
        <v>30</v>
      </c>
      <c r="AI62" s="90">
        <v>31</v>
      </c>
      <c r="AJ62" s="90">
        <v>32</v>
      </c>
      <c r="AK62" s="90">
        <v>33</v>
      </c>
      <c r="AL62" s="90">
        <v>34</v>
      </c>
      <c r="AM62" s="90">
        <v>35</v>
      </c>
      <c r="AN62" s="90">
        <v>36</v>
      </c>
      <c r="AO62" s="90">
        <v>37</v>
      </c>
      <c r="AP62" s="90">
        <v>38</v>
      </c>
      <c r="AQ62" s="90">
        <v>39</v>
      </c>
      <c r="AR62" s="90">
        <v>40</v>
      </c>
      <c r="AS62" s="90">
        <v>41</v>
      </c>
      <c r="AT62" s="90">
        <v>42</v>
      </c>
      <c r="AU62" s="90">
        <v>43</v>
      </c>
      <c r="AV62" s="90">
        <v>44</v>
      </c>
      <c r="AW62" s="90">
        <v>45</v>
      </c>
      <c r="AX62" s="90">
        <v>46</v>
      </c>
      <c r="AY62" s="90">
        <v>47</v>
      </c>
      <c r="AZ62" s="90">
        <v>48</v>
      </c>
      <c r="BA62" s="90">
        <v>49</v>
      </c>
      <c r="BB62" s="90">
        <v>50</v>
      </c>
      <c r="BC62" s="90">
        <v>51</v>
      </c>
      <c r="BD62" s="90">
        <v>52</v>
      </c>
    </row>
    <row r="63" spans="2:58" ht="12" customHeight="1" x14ac:dyDescent="0.25">
      <c r="B63" s="6"/>
      <c r="C63" s="386" t="s">
        <v>97</v>
      </c>
      <c r="D63" s="358" t="s">
        <v>190</v>
      </c>
      <c r="E63" s="154"/>
      <c r="F63" s="107"/>
      <c r="G63" s="107"/>
      <c r="H63" s="186"/>
      <c r="I63" s="154"/>
      <c r="J63" s="107"/>
      <c r="K63" s="107"/>
      <c r="L63" s="107"/>
      <c r="M63" s="108"/>
      <c r="N63" s="177"/>
      <c r="O63" s="107"/>
      <c r="P63" s="107"/>
      <c r="Q63" s="108"/>
      <c r="R63" s="154"/>
      <c r="S63" s="107"/>
      <c r="T63" s="107"/>
      <c r="U63" s="108"/>
      <c r="V63" s="154"/>
      <c r="W63" s="107"/>
      <c r="X63" s="107"/>
      <c r="Y63" s="186"/>
      <c r="Z63" s="154"/>
      <c r="AA63" s="107"/>
      <c r="AB63" s="107"/>
      <c r="AC63" s="107"/>
      <c r="AD63" s="186"/>
      <c r="AE63" s="154"/>
      <c r="AF63" s="107"/>
      <c r="AG63" s="107"/>
      <c r="AH63" s="186"/>
      <c r="AI63" s="154"/>
      <c r="AJ63" s="107"/>
      <c r="AK63" s="107"/>
      <c r="AL63" s="107"/>
      <c r="AM63" s="108"/>
      <c r="AN63" s="177"/>
      <c r="AO63" s="107"/>
      <c r="AP63" s="107"/>
      <c r="AQ63" s="186"/>
      <c r="AR63" s="154"/>
      <c r="AS63" s="107"/>
      <c r="AT63" s="107"/>
      <c r="AU63" s="108"/>
      <c r="AV63" s="177"/>
      <c r="AW63" s="107"/>
      <c r="AX63" s="107"/>
      <c r="AY63" s="107"/>
      <c r="AZ63" s="108"/>
      <c r="BA63" s="177"/>
      <c r="BB63" s="107"/>
      <c r="BC63" s="107"/>
      <c r="BD63" s="107"/>
      <c r="BE63" s="289">
        <f t="shared" si="0"/>
        <v>0</v>
      </c>
    </row>
    <row r="64" spans="2:58" ht="12" customHeight="1" x14ac:dyDescent="0.25">
      <c r="B64" s="6"/>
      <c r="C64" s="386" t="s">
        <v>202</v>
      </c>
      <c r="D64" s="358" t="s">
        <v>189</v>
      </c>
      <c r="E64" s="365"/>
      <c r="F64" s="224"/>
      <c r="G64" s="224"/>
      <c r="H64" s="366"/>
      <c r="I64" s="365"/>
      <c r="J64" s="224"/>
      <c r="K64" s="224"/>
      <c r="L64" s="224"/>
      <c r="M64" s="367"/>
      <c r="N64" s="357"/>
      <c r="O64" s="224"/>
      <c r="P64" s="224"/>
      <c r="Q64" s="367"/>
      <c r="R64" s="365"/>
      <c r="S64" s="224"/>
      <c r="T64" s="224"/>
      <c r="U64" s="367"/>
      <c r="V64" s="365"/>
      <c r="W64" s="224"/>
      <c r="X64" s="224"/>
      <c r="Y64" s="366"/>
      <c r="Z64" s="365"/>
      <c r="AA64" s="224"/>
      <c r="AB64" s="224"/>
      <c r="AC64" s="224"/>
      <c r="AD64" s="366"/>
      <c r="AE64" s="365"/>
      <c r="AF64" s="224"/>
      <c r="AG64" s="224"/>
      <c r="AH64" s="366"/>
      <c r="AI64" s="365"/>
      <c r="AJ64" s="224"/>
      <c r="AK64" s="224"/>
      <c r="AL64" s="224"/>
      <c r="AM64" s="367"/>
      <c r="AN64" s="357"/>
      <c r="AO64" s="224"/>
      <c r="AP64" s="224"/>
      <c r="AQ64" s="366"/>
      <c r="AR64" s="365"/>
      <c r="AS64" s="224"/>
      <c r="AT64" s="224"/>
      <c r="AU64" s="367"/>
      <c r="AV64" s="357"/>
      <c r="AW64" s="224"/>
      <c r="AX64" s="224"/>
      <c r="AY64" s="224"/>
      <c r="AZ64" s="367"/>
      <c r="BA64" s="357"/>
      <c r="BB64" s="224"/>
      <c r="BC64" s="224"/>
      <c r="BD64" s="224"/>
    </row>
    <row r="65" spans="2:57" ht="12" customHeight="1" x14ac:dyDescent="0.25">
      <c r="B65" s="6"/>
      <c r="C65" s="378" t="s">
        <v>205</v>
      </c>
      <c r="D65" s="358" t="s">
        <v>192</v>
      </c>
      <c r="E65" s="110"/>
      <c r="F65" s="111"/>
      <c r="G65" s="111"/>
      <c r="H65" s="187"/>
      <c r="I65" s="110"/>
      <c r="J65" s="111"/>
      <c r="K65" s="111"/>
      <c r="L65" s="111"/>
      <c r="M65" s="112"/>
      <c r="N65" s="113"/>
      <c r="O65" s="111"/>
      <c r="P65" s="111"/>
      <c r="Q65" s="112"/>
      <c r="R65" s="110"/>
      <c r="S65" s="111"/>
      <c r="T65" s="111"/>
      <c r="U65" s="112"/>
      <c r="V65" s="110"/>
      <c r="W65" s="111"/>
      <c r="X65" s="111"/>
      <c r="Y65" s="187"/>
      <c r="Z65" s="110"/>
      <c r="AA65" s="111"/>
      <c r="AB65" s="111"/>
      <c r="AC65" s="111"/>
      <c r="AD65" s="187"/>
      <c r="AE65" s="110"/>
      <c r="AF65" s="111"/>
      <c r="AG65" s="111"/>
      <c r="AH65" s="187"/>
      <c r="AI65" s="110"/>
      <c r="AJ65" s="111"/>
      <c r="AK65" s="111"/>
      <c r="AL65" s="111"/>
      <c r="AM65" s="112"/>
      <c r="AN65" s="113"/>
      <c r="AO65" s="111"/>
      <c r="AP65" s="111"/>
      <c r="AQ65" s="187"/>
      <c r="AR65" s="110"/>
      <c r="AS65" s="111"/>
      <c r="AT65" s="111"/>
      <c r="AU65" s="112"/>
      <c r="AV65" s="113"/>
      <c r="AW65" s="111"/>
      <c r="AX65" s="111"/>
      <c r="AY65" s="111"/>
      <c r="AZ65" s="112"/>
      <c r="BA65" s="113"/>
      <c r="BB65" s="111"/>
      <c r="BC65" s="111"/>
      <c r="BD65" s="111"/>
      <c r="BE65" s="289">
        <f t="shared" si="0"/>
        <v>0</v>
      </c>
    </row>
    <row r="66" spans="2:57" ht="12" hidden="1" customHeight="1" x14ac:dyDescent="0.25">
      <c r="B66" s="57" t="s">
        <v>60</v>
      </c>
      <c r="C66" s="387"/>
      <c r="E66" s="110"/>
      <c r="F66" s="111"/>
      <c r="G66" s="111"/>
      <c r="H66" s="187"/>
      <c r="I66" s="110"/>
      <c r="J66" s="111"/>
      <c r="K66" s="111"/>
      <c r="L66" s="111"/>
      <c r="M66" s="112"/>
      <c r="N66" s="113"/>
      <c r="O66" s="111"/>
      <c r="P66" s="111"/>
      <c r="Q66" s="112"/>
      <c r="R66" s="110"/>
      <c r="S66" s="111"/>
      <c r="T66" s="111"/>
      <c r="U66" s="112"/>
      <c r="V66" s="110"/>
      <c r="W66" s="111"/>
      <c r="X66" s="111"/>
      <c r="Y66" s="187"/>
      <c r="Z66" s="110"/>
      <c r="AA66" s="111"/>
      <c r="AB66" s="111"/>
      <c r="AC66" s="111"/>
      <c r="AD66" s="187"/>
      <c r="AE66" s="110"/>
      <c r="AF66" s="111"/>
      <c r="AG66" s="111"/>
      <c r="AH66" s="187"/>
      <c r="AI66" s="110"/>
      <c r="AJ66" s="111"/>
      <c r="AK66" s="111"/>
      <c r="AL66" s="111"/>
      <c r="AM66" s="112"/>
      <c r="AN66" s="113"/>
      <c r="AO66" s="111"/>
      <c r="AP66" s="111"/>
      <c r="AQ66" s="187"/>
      <c r="AR66" s="110"/>
      <c r="AS66" s="111"/>
      <c r="AT66" s="111"/>
      <c r="AU66" s="112"/>
      <c r="AV66" s="113"/>
      <c r="AW66" s="111"/>
      <c r="AX66" s="111"/>
      <c r="AY66" s="111"/>
      <c r="AZ66" s="112"/>
      <c r="BA66" s="113"/>
      <c r="BB66" s="111"/>
      <c r="BC66" s="111"/>
      <c r="BD66" s="111"/>
      <c r="BE66" s="289">
        <f t="shared" si="0"/>
        <v>0</v>
      </c>
    </row>
    <row r="67" spans="2:57" ht="12" hidden="1" customHeight="1" x14ac:dyDescent="0.25">
      <c r="B67" s="57" t="s">
        <v>59</v>
      </c>
      <c r="C67" s="387"/>
      <c r="E67" s="110"/>
      <c r="F67" s="111"/>
      <c r="G67" s="111"/>
      <c r="H67" s="187"/>
      <c r="I67" s="110"/>
      <c r="J67" s="111"/>
      <c r="K67" s="111"/>
      <c r="L67" s="111"/>
      <c r="M67" s="112"/>
      <c r="N67" s="113"/>
      <c r="O67" s="111"/>
      <c r="P67" s="111"/>
      <c r="Q67" s="112"/>
      <c r="R67" s="110"/>
      <c r="S67" s="111"/>
      <c r="T67" s="111"/>
      <c r="U67" s="112"/>
      <c r="V67" s="110"/>
      <c r="W67" s="111"/>
      <c r="X67" s="111"/>
      <c r="Y67" s="187"/>
      <c r="Z67" s="110"/>
      <c r="AA67" s="111"/>
      <c r="AB67" s="111"/>
      <c r="AC67" s="111"/>
      <c r="AD67" s="187"/>
      <c r="AE67" s="110"/>
      <c r="AF67" s="111"/>
      <c r="AG67" s="111"/>
      <c r="AH67" s="187"/>
      <c r="AI67" s="110"/>
      <c r="AJ67" s="111"/>
      <c r="AK67" s="111"/>
      <c r="AL67" s="111"/>
      <c r="AM67" s="112"/>
      <c r="AN67" s="113"/>
      <c r="AO67" s="111"/>
      <c r="AP67" s="111"/>
      <c r="AQ67" s="187"/>
      <c r="AR67" s="110"/>
      <c r="AS67" s="111"/>
      <c r="AT67" s="111"/>
      <c r="AU67" s="112"/>
      <c r="AV67" s="113"/>
      <c r="AW67" s="111"/>
      <c r="AX67" s="111"/>
      <c r="AY67" s="111"/>
      <c r="AZ67" s="112"/>
      <c r="BA67" s="113"/>
      <c r="BB67" s="111"/>
      <c r="BC67" s="111"/>
      <c r="BD67" s="111"/>
      <c r="BE67" s="289">
        <f t="shared" si="0"/>
        <v>0</v>
      </c>
    </row>
    <row r="68" spans="2:57" ht="12" customHeight="1" x14ac:dyDescent="0.25">
      <c r="B68" s="6"/>
      <c r="C68" s="379" t="s">
        <v>98</v>
      </c>
      <c r="D68" s="358" t="s">
        <v>190</v>
      </c>
      <c r="E68" s="110"/>
      <c r="F68" s="111"/>
      <c r="G68" s="111"/>
      <c r="H68" s="187"/>
      <c r="I68" s="110"/>
      <c r="J68" s="111"/>
      <c r="K68" s="111"/>
      <c r="L68" s="111"/>
      <c r="M68" s="112"/>
      <c r="N68" s="113"/>
      <c r="O68" s="111"/>
      <c r="P68" s="111"/>
      <c r="Q68" s="112"/>
      <c r="R68" s="110"/>
      <c r="S68" s="111"/>
      <c r="T68" s="111"/>
      <c r="U68" s="112"/>
      <c r="V68" s="110"/>
      <c r="W68" s="111"/>
      <c r="X68" s="111"/>
      <c r="Y68" s="187"/>
      <c r="Z68" s="110"/>
      <c r="AA68" s="111"/>
      <c r="AB68" s="111"/>
      <c r="AC68" s="111"/>
      <c r="AD68" s="187"/>
      <c r="AE68" s="110"/>
      <c r="AF68" s="111"/>
      <c r="AG68" s="111"/>
      <c r="AH68" s="187"/>
      <c r="AI68" s="110"/>
      <c r="AJ68" s="111"/>
      <c r="AK68" s="111"/>
      <c r="AL68" s="111"/>
      <c r="AM68" s="112"/>
      <c r="AN68" s="113"/>
      <c r="AO68" s="111"/>
      <c r="AP68" s="111"/>
      <c r="AQ68" s="187"/>
      <c r="AR68" s="110"/>
      <c r="AS68" s="111"/>
      <c r="AT68" s="111"/>
      <c r="AU68" s="112"/>
      <c r="AV68" s="113"/>
      <c r="AW68" s="111"/>
      <c r="AX68" s="111"/>
      <c r="AY68" s="111"/>
      <c r="AZ68" s="112"/>
      <c r="BA68" s="113"/>
      <c r="BB68" s="111"/>
      <c r="BC68" s="111"/>
      <c r="BD68" s="111"/>
      <c r="BE68" s="289">
        <f t="shared" si="0"/>
        <v>0</v>
      </c>
    </row>
    <row r="69" spans="2:57" ht="12" customHeight="1" x14ac:dyDescent="0.25">
      <c r="B69" s="6"/>
      <c r="C69" s="379" t="s">
        <v>203</v>
      </c>
      <c r="D69" s="358" t="s">
        <v>189</v>
      </c>
      <c r="E69" s="110"/>
      <c r="F69" s="111"/>
      <c r="G69" s="111"/>
      <c r="H69" s="187"/>
      <c r="I69" s="110"/>
      <c r="J69" s="111"/>
      <c r="K69" s="111"/>
      <c r="L69" s="111"/>
      <c r="M69" s="112"/>
      <c r="N69" s="113"/>
      <c r="O69" s="111"/>
      <c r="P69" s="111"/>
      <c r="Q69" s="112"/>
      <c r="R69" s="110"/>
      <c r="S69" s="111"/>
      <c r="T69" s="111"/>
      <c r="U69" s="112"/>
      <c r="V69" s="110"/>
      <c r="W69" s="111"/>
      <c r="X69" s="111"/>
      <c r="Y69" s="187"/>
      <c r="Z69" s="110"/>
      <c r="AA69" s="111"/>
      <c r="AB69" s="111"/>
      <c r="AC69" s="111"/>
      <c r="AD69" s="187"/>
      <c r="AE69" s="110"/>
      <c r="AF69" s="111"/>
      <c r="AG69" s="111"/>
      <c r="AH69" s="187"/>
      <c r="AI69" s="110"/>
      <c r="AJ69" s="111"/>
      <c r="AK69" s="111"/>
      <c r="AL69" s="111"/>
      <c r="AM69" s="112"/>
      <c r="AN69" s="113"/>
      <c r="AO69" s="111"/>
      <c r="AP69" s="111"/>
      <c r="AQ69" s="187"/>
      <c r="AR69" s="110"/>
      <c r="AS69" s="111"/>
      <c r="AT69" s="111"/>
      <c r="AU69" s="112"/>
      <c r="AV69" s="113"/>
      <c r="AW69" s="111"/>
      <c r="AX69" s="111"/>
      <c r="AY69" s="111"/>
      <c r="AZ69" s="112"/>
      <c r="BA69" s="113"/>
      <c r="BB69" s="111"/>
      <c r="BC69" s="111"/>
      <c r="BD69" s="111"/>
    </row>
    <row r="70" spans="2:57" ht="12" customHeight="1" x14ac:dyDescent="0.25">
      <c r="B70" s="6"/>
      <c r="C70" s="378" t="s">
        <v>204</v>
      </c>
      <c r="D70" s="358" t="s">
        <v>192</v>
      </c>
      <c r="E70" s="110"/>
      <c r="F70" s="111"/>
      <c r="G70" s="111"/>
      <c r="H70" s="187"/>
      <c r="I70" s="110"/>
      <c r="J70" s="111"/>
      <c r="K70" s="111"/>
      <c r="L70" s="111"/>
      <c r="M70" s="112"/>
      <c r="N70" s="113"/>
      <c r="O70" s="111"/>
      <c r="P70" s="111"/>
      <c r="Q70" s="112"/>
      <c r="R70" s="110"/>
      <c r="S70" s="111"/>
      <c r="T70" s="111"/>
      <c r="U70" s="112"/>
      <c r="V70" s="110"/>
      <c r="W70" s="111"/>
      <c r="X70" s="111"/>
      <c r="Y70" s="187"/>
      <c r="Z70" s="110"/>
      <c r="AA70" s="111"/>
      <c r="AB70" s="111"/>
      <c r="AC70" s="111"/>
      <c r="AD70" s="187"/>
      <c r="AE70" s="110"/>
      <c r="AF70" s="111"/>
      <c r="AG70" s="111"/>
      <c r="AH70" s="187"/>
      <c r="AI70" s="110"/>
      <c r="AJ70" s="111"/>
      <c r="AK70" s="111"/>
      <c r="AL70" s="111"/>
      <c r="AM70" s="112"/>
      <c r="AN70" s="113"/>
      <c r="AO70" s="111"/>
      <c r="AP70" s="111"/>
      <c r="AQ70" s="187"/>
      <c r="AR70" s="110"/>
      <c r="AS70" s="111"/>
      <c r="AT70" s="111"/>
      <c r="AU70" s="112"/>
      <c r="AV70" s="113"/>
      <c r="AW70" s="111"/>
      <c r="AX70" s="111"/>
      <c r="AY70" s="111"/>
      <c r="AZ70" s="112"/>
      <c r="BA70" s="113"/>
      <c r="BB70" s="111"/>
      <c r="BC70" s="111"/>
      <c r="BD70" s="111"/>
    </row>
    <row r="71" spans="2:57" ht="12" customHeight="1" x14ac:dyDescent="0.25">
      <c r="B71" s="6"/>
      <c r="C71" s="379" t="s">
        <v>99</v>
      </c>
      <c r="D71" s="358" t="s">
        <v>190</v>
      </c>
      <c r="E71" s="110"/>
      <c r="F71" s="111"/>
      <c r="G71" s="111"/>
      <c r="H71" s="187"/>
      <c r="I71" s="110"/>
      <c r="J71" s="111"/>
      <c r="K71" s="111"/>
      <c r="L71" s="111"/>
      <c r="M71" s="112"/>
      <c r="N71" s="113"/>
      <c r="O71" s="111"/>
      <c r="P71" s="111"/>
      <c r="Q71" s="112"/>
      <c r="R71" s="110"/>
      <c r="S71" s="111"/>
      <c r="T71" s="111"/>
      <c r="U71" s="112"/>
      <c r="V71" s="110"/>
      <c r="W71" s="111"/>
      <c r="X71" s="111"/>
      <c r="Y71" s="187"/>
      <c r="Z71" s="110"/>
      <c r="AA71" s="111"/>
      <c r="AB71" s="111"/>
      <c r="AC71" s="111"/>
      <c r="AD71" s="187"/>
      <c r="AE71" s="110"/>
      <c r="AF71" s="111"/>
      <c r="AG71" s="111"/>
      <c r="AH71" s="187"/>
      <c r="AI71" s="110"/>
      <c r="AJ71" s="111"/>
      <c r="AK71" s="111"/>
      <c r="AL71" s="111"/>
      <c r="AM71" s="112"/>
      <c r="AN71" s="113"/>
      <c r="AO71" s="111"/>
      <c r="AP71" s="111"/>
      <c r="AQ71" s="187"/>
      <c r="AR71" s="110"/>
      <c r="AS71" s="111"/>
      <c r="AT71" s="111"/>
      <c r="AU71" s="112"/>
      <c r="AV71" s="113"/>
      <c r="AW71" s="111"/>
      <c r="AX71" s="111"/>
      <c r="AY71" s="111"/>
      <c r="AZ71" s="112"/>
      <c r="BA71" s="113"/>
      <c r="BB71" s="111"/>
      <c r="BC71" s="111"/>
      <c r="BD71" s="111"/>
      <c r="BE71" s="289">
        <f t="shared" si="0"/>
        <v>0</v>
      </c>
    </row>
    <row r="72" spans="2:57" ht="12" hidden="1" customHeight="1" x14ac:dyDescent="0.25">
      <c r="B72" s="57" t="s">
        <v>58</v>
      </c>
      <c r="C72" s="387"/>
      <c r="E72" s="110"/>
      <c r="F72" s="111"/>
      <c r="G72" s="111"/>
      <c r="H72" s="187"/>
      <c r="I72" s="110"/>
      <c r="J72" s="111"/>
      <c r="K72" s="111"/>
      <c r="L72" s="111"/>
      <c r="M72" s="112"/>
      <c r="N72" s="113"/>
      <c r="O72" s="111"/>
      <c r="P72" s="111"/>
      <c r="Q72" s="112"/>
      <c r="R72" s="110"/>
      <c r="S72" s="111"/>
      <c r="T72" s="111"/>
      <c r="U72" s="112"/>
      <c r="V72" s="110"/>
      <c r="W72" s="111"/>
      <c r="X72" s="111"/>
      <c r="Y72" s="187"/>
      <c r="Z72" s="110"/>
      <c r="AA72" s="111"/>
      <c r="AB72" s="111"/>
      <c r="AC72" s="111"/>
      <c r="AD72" s="187"/>
      <c r="AE72" s="110"/>
      <c r="AF72" s="111"/>
      <c r="AG72" s="111"/>
      <c r="AH72" s="187"/>
      <c r="AI72" s="110"/>
      <c r="AJ72" s="111"/>
      <c r="AK72" s="111"/>
      <c r="AL72" s="111"/>
      <c r="AM72" s="112"/>
      <c r="AN72" s="113"/>
      <c r="AO72" s="111"/>
      <c r="AP72" s="111"/>
      <c r="AQ72" s="187"/>
      <c r="AR72" s="110"/>
      <c r="AS72" s="111"/>
      <c r="AT72" s="111"/>
      <c r="AU72" s="112"/>
      <c r="AV72" s="113"/>
      <c r="AW72" s="111"/>
      <c r="AX72" s="111"/>
      <c r="AY72" s="111"/>
      <c r="AZ72" s="112"/>
      <c r="BA72" s="113"/>
      <c r="BB72" s="111"/>
      <c r="BC72" s="111"/>
      <c r="BD72" s="111"/>
      <c r="BE72" s="289">
        <f t="shared" si="0"/>
        <v>0</v>
      </c>
    </row>
    <row r="73" spans="2:57" ht="12" customHeight="1" x14ac:dyDescent="0.25">
      <c r="B73" s="6"/>
      <c r="C73" s="379" t="s">
        <v>57</v>
      </c>
      <c r="D73" s="358" t="s">
        <v>189</v>
      </c>
      <c r="E73" s="110"/>
      <c r="F73" s="111"/>
      <c r="G73" s="111"/>
      <c r="H73" s="187"/>
      <c r="I73" s="110"/>
      <c r="J73" s="111"/>
      <c r="K73" s="111"/>
      <c r="L73" s="111"/>
      <c r="M73" s="112"/>
      <c r="N73" s="113"/>
      <c r="O73" s="111"/>
      <c r="P73" s="111"/>
      <c r="Q73" s="112"/>
      <c r="R73" s="110"/>
      <c r="S73" s="111"/>
      <c r="T73" s="111"/>
      <c r="U73" s="112"/>
      <c r="V73" s="110"/>
      <c r="W73" s="111"/>
      <c r="X73" s="111"/>
      <c r="Y73" s="187"/>
      <c r="Z73" s="110"/>
      <c r="AA73" s="111"/>
      <c r="AB73" s="111"/>
      <c r="AC73" s="111"/>
      <c r="AD73" s="187"/>
      <c r="AE73" s="110"/>
      <c r="AF73" s="111"/>
      <c r="AG73" s="111"/>
      <c r="AH73" s="187"/>
      <c r="AI73" s="110"/>
      <c r="AJ73" s="111"/>
      <c r="AK73" s="111"/>
      <c r="AL73" s="111"/>
      <c r="AM73" s="112"/>
      <c r="AN73" s="113"/>
      <c r="AO73" s="111"/>
      <c r="AP73" s="111"/>
      <c r="AQ73" s="187"/>
      <c r="AR73" s="110"/>
      <c r="AS73" s="111"/>
      <c r="AT73" s="111"/>
      <c r="AU73" s="112"/>
      <c r="AV73" s="113"/>
      <c r="AW73" s="111"/>
      <c r="AX73" s="111"/>
      <c r="AY73" s="111"/>
      <c r="AZ73" s="112"/>
      <c r="BA73" s="113"/>
      <c r="BB73" s="111"/>
      <c r="BC73" s="111"/>
      <c r="BD73" s="111"/>
      <c r="BE73" s="289">
        <f t="shared" si="0"/>
        <v>0</v>
      </c>
    </row>
    <row r="74" spans="2:57" ht="12" customHeight="1" x14ac:dyDescent="0.25">
      <c r="B74" s="6"/>
      <c r="C74" s="378" t="s">
        <v>206</v>
      </c>
      <c r="D74" s="358" t="s">
        <v>192</v>
      </c>
      <c r="E74" s="110"/>
      <c r="F74" s="111"/>
      <c r="G74" s="111"/>
      <c r="H74" s="187"/>
      <c r="I74" s="110"/>
      <c r="J74" s="111"/>
      <c r="K74" s="111"/>
      <c r="L74" s="111"/>
      <c r="M74" s="112"/>
      <c r="N74" s="113"/>
      <c r="O74" s="111"/>
      <c r="P74" s="111"/>
      <c r="Q74" s="112"/>
      <c r="R74" s="110"/>
      <c r="S74" s="111"/>
      <c r="T74" s="111"/>
      <c r="U74" s="112"/>
      <c r="V74" s="110"/>
      <c r="W74" s="111"/>
      <c r="X74" s="111"/>
      <c r="Y74" s="187"/>
      <c r="Z74" s="110"/>
      <c r="AA74" s="111"/>
      <c r="AB74" s="111"/>
      <c r="AC74" s="111"/>
      <c r="AD74" s="187"/>
      <c r="AE74" s="110"/>
      <c r="AF74" s="111"/>
      <c r="AG74" s="111"/>
      <c r="AH74" s="187"/>
      <c r="AI74" s="110"/>
      <c r="AJ74" s="111"/>
      <c r="AK74" s="111"/>
      <c r="AL74" s="111"/>
      <c r="AM74" s="112"/>
      <c r="AN74" s="113"/>
      <c r="AO74" s="111"/>
      <c r="AP74" s="111"/>
      <c r="AQ74" s="187"/>
      <c r="AR74" s="110"/>
      <c r="AS74" s="111"/>
      <c r="AT74" s="111"/>
      <c r="AU74" s="112"/>
      <c r="AV74" s="113"/>
      <c r="AW74" s="111"/>
      <c r="AX74" s="111"/>
      <c r="AY74" s="111"/>
      <c r="AZ74" s="112"/>
      <c r="BA74" s="113"/>
      <c r="BB74" s="111"/>
      <c r="BC74" s="111"/>
      <c r="BD74" s="111"/>
      <c r="BE74" s="289">
        <f t="shared" si="0"/>
        <v>0</v>
      </c>
    </row>
    <row r="75" spans="2:57" ht="12" hidden="1" customHeight="1" x14ac:dyDescent="0.25">
      <c r="B75" s="57" t="s">
        <v>56</v>
      </c>
      <c r="C75" s="387"/>
      <c r="E75" s="110"/>
      <c r="F75" s="111"/>
      <c r="G75" s="111"/>
      <c r="H75" s="187"/>
      <c r="I75" s="110"/>
      <c r="J75" s="111"/>
      <c r="K75" s="111"/>
      <c r="L75" s="111"/>
      <c r="M75" s="112"/>
      <c r="N75" s="113"/>
      <c r="O75" s="111"/>
      <c r="P75" s="111"/>
      <c r="Q75" s="112"/>
      <c r="R75" s="110"/>
      <c r="S75" s="111"/>
      <c r="T75" s="111"/>
      <c r="U75" s="112"/>
      <c r="V75" s="110"/>
      <c r="W75" s="111"/>
      <c r="X75" s="111"/>
      <c r="Y75" s="187"/>
      <c r="Z75" s="110"/>
      <c r="AA75" s="111"/>
      <c r="AB75" s="111"/>
      <c r="AC75" s="111"/>
      <c r="AD75" s="187"/>
      <c r="AE75" s="110"/>
      <c r="AF75" s="111"/>
      <c r="AG75" s="111"/>
      <c r="AH75" s="187"/>
      <c r="AI75" s="110"/>
      <c r="AJ75" s="111"/>
      <c r="AK75" s="111"/>
      <c r="AL75" s="111"/>
      <c r="AM75" s="112"/>
      <c r="AN75" s="113"/>
      <c r="AO75" s="111"/>
      <c r="AP75" s="111"/>
      <c r="AQ75" s="187"/>
      <c r="AR75" s="110"/>
      <c r="AS75" s="111"/>
      <c r="AT75" s="111"/>
      <c r="AU75" s="112"/>
      <c r="AV75" s="113"/>
      <c r="AW75" s="111"/>
      <c r="AX75" s="111"/>
      <c r="AY75" s="111"/>
      <c r="AZ75" s="112"/>
      <c r="BA75" s="113"/>
      <c r="BB75" s="111"/>
      <c r="BC75" s="111"/>
      <c r="BD75" s="111"/>
      <c r="BE75" s="289">
        <f t="shared" si="0"/>
        <v>0</v>
      </c>
    </row>
    <row r="76" spans="2:57" ht="12" customHeight="1" x14ac:dyDescent="0.25">
      <c r="B76" s="6"/>
      <c r="C76" s="375" t="s">
        <v>207</v>
      </c>
      <c r="D76" s="358" t="s">
        <v>189</v>
      </c>
      <c r="E76" s="110"/>
      <c r="F76" s="111"/>
      <c r="G76" s="111"/>
      <c r="H76" s="187"/>
      <c r="I76" s="110"/>
      <c r="J76" s="111"/>
      <c r="K76" s="111"/>
      <c r="L76" s="111"/>
      <c r="M76" s="112"/>
      <c r="N76" s="113"/>
      <c r="O76" s="111"/>
      <c r="P76" s="111"/>
      <c r="Q76" s="112"/>
      <c r="R76" s="110"/>
      <c r="S76" s="111"/>
      <c r="T76" s="111"/>
      <c r="U76" s="112"/>
      <c r="V76" s="110"/>
      <c r="W76" s="111"/>
      <c r="X76" s="111"/>
      <c r="Y76" s="187"/>
      <c r="Z76" s="110"/>
      <c r="AA76" s="111"/>
      <c r="AB76" s="111"/>
      <c r="AC76" s="111"/>
      <c r="AD76" s="187"/>
      <c r="AE76" s="110"/>
      <c r="AF76" s="111"/>
      <c r="AG76" s="111"/>
      <c r="AH76" s="187"/>
      <c r="AI76" s="110"/>
      <c r="AJ76" s="111"/>
      <c r="AK76" s="111"/>
      <c r="AL76" s="111"/>
      <c r="AM76" s="112"/>
      <c r="AN76" s="113"/>
      <c r="AO76" s="111"/>
      <c r="AP76" s="111"/>
      <c r="AQ76" s="187"/>
      <c r="AR76" s="110"/>
      <c r="AS76" s="111"/>
      <c r="AT76" s="111"/>
      <c r="AU76" s="112"/>
      <c r="AV76" s="113"/>
      <c r="AW76" s="111"/>
      <c r="AX76" s="111"/>
      <c r="AY76" s="111"/>
      <c r="AZ76" s="112"/>
      <c r="BA76" s="113"/>
      <c r="BB76" s="111"/>
      <c r="BC76" s="111"/>
      <c r="BD76" s="111"/>
      <c r="BE76" s="289">
        <f t="shared" si="0"/>
        <v>0</v>
      </c>
    </row>
    <row r="77" spans="2:57" ht="12" customHeight="1" x14ac:dyDescent="0.25">
      <c r="B77" s="6"/>
      <c r="C77" s="375" t="s">
        <v>208</v>
      </c>
      <c r="D77" s="358" t="s">
        <v>193</v>
      </c>
      <c r="E77" s="110"/>
      <c r="F77" s="111"/>
      <c r="G77" s="111"/>
      <c r="H77" s="187"/>
      <c r="I77" s="110"/>
      <c r="J77" s="111"/>
      <c r="K77" s="111"/>
      <c r="L77" s="111"/>
      <c r="M77" s="112"/>
      <c r="N77" s="113"/>
      <c r="O77" s="111"/>
      <c r="P77" s="111"/>
      <c r="Q77" s="112"/>
      <c r="R77" s="110"/>
      <c r="S77" s="111"/>
      <c r="T77" s="111"/>
      <c r="U77" s="112"/>
      <c r="V77" s="110"/>
      <c r="W77" s="111"/>
      <c r="X77" s="111"/>
      <c r="Y77" s="187"/>
      <c r="Z77" s="110"/>
      <c r="AA77" s="111"/>
      <c r="AB77" s="111"/>
      <c r="AC77" s="111"/>
      <c r="AD77" s="187"/>
      <c r="AE77" s="110"/>
      <c r="AF77" s="111"/>
      <c r="AG77" s="111"/>
      <c r="AH77" s="187"/>
      <c r="AI77" s="110"/>
      <c r="AJ77" s="111"/>
      <c r="AK77" s="111"/>
      <c r="AL77" s="111"/>
      <c r="AM77" s="112"/>
      <c r="AN77" s="113"/>
      <c r="AO77" s="111"/>
      <c r="AP77" s="111"/>
      <c r="AQ77" s="187"/>
      <c r="AR77" s="110"/>
      <c r="AS77" s="111"/>
      <c r="AT77" s="111"/>
      <c r="AU77" s="112"/>
      <c r="AV77" s="113"/>
      <c r="AW77" s="111"/>
      <c r="AX77" s="111"/>
      <c r="AY77" s="111"/>
      <c r="AZ77" s="112"/>
      <c r="BA77" s="113"/>
      <c r="BB77" s="111"/>
      <c r="BC77" s="111"/>
      <c r="BD77" s="111"/>
      <c r="BE77" s="289">
        <f t="shared" si="0"/>
        <v>0</v>
      </c>
    </row>
    <row r="78" spans="2:57" ht="12" hidden="1" customHeight="1" x14ac:dyDescent="0.25">
      <c r="B78" s="57" t="s">
        <v>55</v>
      </c>
      <c r="C78" s="387"/>
      <c r="E78" s="110"/>
      <c r="F78" s="111"/>
      <c r="G78" s="111"/>
      <c r="H78" s="187"/>
      <c r="I78" s="110"/>
      <c r="J78" s="111"/>
      <c r="K78" s="111"/>
      <c r="L78" s="111"/>
      <c r="M78" s="112"/>
      <c r="N78" s="113"/>
      <c r="O78" s="111"/>
      <c r="P78" s="111"/>
      <c r="Q78" s="112"/>
      <c r="R78" s="110"/>
      <c r="S78" s="111"/>
      <c r="T78" s="111"/>
      <c r="U78" s="112"/>
      <c r="V78" s="110"/>
      <c r="W78" s="111"/>
      <c r="X78" s="111"/>
      <c r="Y78" s="187"/>
      <c r="Z78" s="110"/>
      <c r="AA78" s="111"/>
      <c r="AB78" s="111"/>
      <c r="AC78" s="111"/>
      <c r="AD78" s="187"/>
      <c r="AE78" s="110"/>
      <c r="AF78" s="111"/>
      <c r="AG78" s="111"/>
      <c r="AH78" s="187"/>
      <c r="AI78" s="110"/>
      <c r="AJ78" s="111"/>
      <c r="AK78" s="111"/>
      <c r="AL78" s="111"/>
      <c r="AM78" s="112"/>
      <c r="AN78" s="113"/>
      <c r="AO78" s="111"/>
      <c r="AP78" s="111"/>
      <c r="AQ78" s="187"/>
      <c r="AR78" s="110"/>
      <c r="AS78" s="111"/>
      <c r="AT78" s="111"/>
      <c r="AU78" s="112"/>
      <c r="AV78" s="113"/>
      <c r="AW78" s="111"/>
      <c r="AX78" s="111"/>
      <c r="AY78" s="111"/>
      <c r="AZ78" s="112"/>
      <c r="BA78" s="113"/>
      <c r="BB78" s="111"/>
      <c r="BC78" s="111"/>
      <c r="BD78" s="111"/>
      <c r="BE78" s="289">
        <f t="shared" si="0"/>
        <v>0</v>
      </c>
    </row>
    <row r="79" spans="2:57" ht="12" customHeight="1" x14ac:dyDescent="0.25">
      <c r="B79" s="6"/>
      <c r="C79" s="379" t="s">
        <v>272</v>
      </c>
      <c r="D79" s="358" t="s">
        <v>189</v>
      </c>
      <c r="E79" s="110"/>
      <c r="F79" s="111"/>
      <c r="G79" s="111"/>
      <c r="H79" s="187"/>
      <c r="I79" s="110"/>
      <c r="J79" s="111"/>
      <c r="K79" s="111"/>
      <c r="L79" s="111"/>
      <c r="M79" s="112"/>
      <c r="N79" s="113"/>
      <c r="O79" s="111"/>
      <c r="P79" s="111"/>
      <c r="Q79" s="112"/>
      <c r="R79" s="110"/>
      <c r="S79" s="111"/>
      <c r="T79" s="111"/>
      <c r="U79" s="112"/>
      <c r="V79" s="110"/>
      <c r="W79" s="111"/>
      <c r="X79" s="111"/>
      <c r="Y79" s="187"/>
      <c r="Z79" s="110"/>
      <c r="AA79" s="111"/>
      <c r="AB79" s="111"/>
      <c r="AC79" s="111"/>
      <c r="AD79" s="187"/>
      <c r="AE79" s="110"/>
      <c r="AF79" s="111"/>
      <c r="AG79" s="111"/>
      <c r="AH79" s="187"/>
      <c r="AI79" s="110"/>
      <c r="AJ79" s="111"/>
      <c r="AK79" s="111"/>
      <c r="AL79" s="111"/>
      <c r="AM79" s="112"/>
      <c r="AN79" s="113"/>
      <c r="AO79" s="111"/>
      <c r="AP79" s="111"/>
      <c r="AQ79" s="187"/>
      <c r="AR79" s="110"/>
      <c r="AS79" s="111"/>
      <c r="AT79" s="111"/>
      <c r="AU79" s="112"/>
      <c r="AV79" s="113"/>
      <c r="AW79" s="111"/>
      <c r="AX79" s="111"/>
      <c r="AY79" s="111"/>
      <c r="AZ79" s="112"/>
      <c r="BA79" s="113"/>
      <c r="BB79" s="111"/>
      <c r="BC79" s="111"/>
      <c r="BD79" s="111"/>
      <c r="BE79" s="289">
        <f t="shared" si="0"/>
        <v>0</v>
      </c>
    </row>
    <row r="80" spans="2:57" ht="12" customHeight="1" thickBot="1" x14ac:dyDescent="0.3">
      <c r="B80" s="9"/>
      <c r="C80" s="384" t="s">
        <v>273</v>
      </c>
      <c r="D80" s="358" t="s">
        <v>192</v>
      </c>
      <c r="E80" s="147"/>
      <c r="F80" s="148"/>
      <c r="G80" s="148"/>
      <c r="H80" s="193"/>
      <c r="I80" s="147"/>
      <c r="J80" s="148"/>
      <c r="K80" s="148"/>
      <c r="L80" s="148"/>
      <c r="M80" s="149"/>
      <c r="N80" s="176"/>
      <c r="O80" s="148"/>
      <c r="P80" s="148"/>
      <c r="Q80" s="149"/>
      <c r="R80" s="147"/>
      <c r="S80" s="148"/>
      <c r="T80" s="148"/>
      <c r="U80" s="149"/>
      <c r="V80" s="147"/>
      <c r="W80" s="148"/>
      <c r="X80" s="148"/>
      <c r="Y80" s="193"/>
      <c r="Z80" s="147"/>
      <c r="AA80" s="148"/>
      <c r="AB80" s="148"/>
      <c r="AC80" s="148"/>
      <c r="AD80" s="193"/>
      <c r="AE80" s="147"/>
      <c r="AF80" s="148"/>
      <c r="AG80" s="148"/>
      <c r="AH80" s="193"/>
      <c r="AI80" s="147"/>
      <c r="AJ80" s="148"/>
      <c r="AK80" s="148"/>
      <c r="AL80" s="148"/>
      <c r="AM80" s="149"/>
      <c r="AN80" s="176"/>
      <c r="AO80" s="148"/>
      <c r="AP80" s="148"/>
      <c r="AQ80" s="193"/>
      <c r="AR80" s="147"/>
      <c r="AS80" s="148"/>
      <c r="AT80" s="148"/>
      <c r="AU80" s="149"/>
      <c r="AV80" s="176"/>
      <c r="AW80" s="148"/>
      <c r="AX80" s="148"/>
      <c r="AY80" s="148"/>
      <c r="AZ80" s="149"/>
      <c r="BA80" s="176"/>
      <c r="BB80" s="148"/>
      <c r="BC80" s="148"/>
      <c r="BD80" s="148"/>
      <c r="BE80" s="289">
        <f t="shared" si="0"/>
        <v>0</v>
      </c>
    </row>
    <row r="81" spans="2:57" ht="12" customHeight="1" thickBot="1" x14ac:dyDescent="0.3">
      <c r="B81" s="36"/>
      <c r="C81" s="368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/>
      <c r="S81" s="19"/>
      <c r="T81" s="19"/>
      <c r="U81" s="19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</row>
    <row r="82" spans="2:57" ht="16.5" thickBot="1" x14ac:dyDescent="0.3">
      <c r="B82" s="4"/>
      <c r="C82" s="372" t="s">
        <v>53</v>
      </c>
      <c r="E82" s="89">
        <v>1</v>
      </c>
      <c r="F82" s="90">
        <v>2</v>
      </c>
      <c r="G82" s="90">
        <v>3</v>
      </c>
      <c r="H82" s="225">
        <v>4</v>
      </c>
      <c r="I82" s="89">
        <v>5</v>
      </c>
      <c r="J82" s="90">
        <v>6</v>
      </c>
      <c r="K82" s="90">
        <v>7</v>
      </c>
      <c r="L82" s="90">
        <v>8</v>
      </c>
      <c r="M82" s="230">
        <v>9</v>
      </c>
      <c r="N82" s="89">
        <v>10</v>
      </c>
      <c r="O82" s="90">
        <v>11</v>
      </c>
      <c r="P82" s="90">
        <v>12</v>
      </c>
      <c r="Q82" s="230">
        <v>13</v>
      </c>
      <c r="R82" s="89">
        <v>14</v>
      </c>
      <c r="S82" s="90">
        <v>15</v>
      </c>
      <c r="T82" s="90">
        <v>16</v>
      </c>
      <c r="U82" s="230">
        <v>17</v>
      </c>
      <c r="V82" s="89">
        <v>18</v>
      </c>
      <c r="W82" s="90">
        <v>19</v>
      </c>
      <c r="X82" s="90">
        <v>20</v>
      </c>
      <c r="Y82" s="230">
        <v>21</v>
      </c>
      <c r="Z82" s="89">
        <v>22</v>
      </c>
      <c r="AA82" s="90">
        <v>23</v>
      </c>
      <c r="AB82" s="90">
        <v>24</v>
      </c>
      <c r="AC82" s="90">
        <v>25</v>
      </c>
      <c r="AD82" s="230">
        <v>26</v>
      </c>
      <c r="AE82" s="89">
        <v>27</v>
      </c>
      <c r="AF82" s="90">
        <v>28</v>
      </c>
      <c r="AG82" s="90">
        <v>29</v>
      </c>
      <c r="AH82" s="230">
        <v>30</v>
      </c>
      <c r="AI82" s="89">
        <v>31</v>
      </c>
      <c r="AJ82" s="90">
        <v>32</v>
      </c>
      <c r="AK82" s="90">
        <v>33</v>
      </c>
      <c r="AL82" s="90">
        <v>34</v>
      </c>
      <c r="AM82" s="230">
        <v>35</v>
      </c>
      <c r="AN82" s="89">
        <v>36</v>
      </c>
      <c r="AO82" s="90">
        <v>37</v>
      </c>
      <c r="AP82" s="90">
        <v>38</v>
      </c>
      <c r="AQ82" s="230">
        <v>39</v>
      </c>
      <c r="AR82" s="89">
        <v>40</v>
      </c>
      <c r="AS82" s="90">
        <v>41</v>
      </c>
      <c r="AT82" s="90">
        <v>42</v>
      </c>
      <c r="AU82" s="90">
        <v>43</v>
      </c>
      <c r="AV82" s="90">
        <v>44</v>
      </c>
      <c r="AW82" s="90">
        <v>45</v>
      </c>
      <c r="AX82" s="90">
        <v>46</v>
      </c>
      <c r="AY82" s="90">
        <v>47</v>
      </c>
      <c r="AZ82" s="230">
        <v>48</v>
      </c>
      <c r="BA82" s="89">
        <v>49</v>
      </c>
      <c r="BB82" s="90">
        <v>50</v>
      </c>
      <c r="BC82" s="90">
        <v>51</v>
      </c>
      <c r="BD82" s="230">
        <v>52</v>
      </c>
    </row>
    <row r="83" spans="2:57" x14ac:dyDescent="0.25">
      <c r="B83" s="6"/>
      <c r="C83" s="378" t="s">
        <v>209</v>
      </c>
      <c r="D83" s="358" t="s">
        <v>189</v>
      </c>
      <c r="E83" s="154"/>
      <c r="F83" s="107"/>
      <c r="G83" s="107"/>
      <c r="H83" s="186"/>
      <c r="I83" s="154"/>
      <c r="J83" s="107"/>
      <c r="K83" s="107"/>
      <c r="L83" s="107"/>
      <c r="M83" s="108"/>
      <c r="N83" s="154"/>
      <c r="O83" s="107"/>
      <c r="P83" s="107"/>
      <c r="Q83" s="108"/>
      <c r="R83" s="154"/>
      <c r="S83" s="107"/>
      <c r="T83" s="107"/>
      <c r="U83" s="108"/>
      <c r="V83" s="154"/>
      <c r="W83" s="107"/>
      <c r="X83" s="107"/>
      <c r="Y83" s="108"/>
      <c r="Z83" s="154"/>
      <c r="AA83" s="107"/>
      <c r="AB83" s="107"/>
      <c r="AC83" s="107"/>
      <c r="AD83" s="108"/>
      <c r="AE83" s="154"/>
      <c r="AF83" s="107"/>
      <c r="AG83" s="107"/>
      <c r="AH83" s="108"/>
      <c r="AI83" s="154"/>
      <c r="AJ83" s="107"/>
      <c r="AK83" s="107"/>
      <c r="AL83" s="107"/>
      <c r="AM83" s="108"/>
      <c r="AN83" s="154"/>
      <c r="AO83" s="107"/>
      <c r="AP83" s="107"/>
      <c r="AQ83" s="108"/>
      <c r="AR83" s="154"/>
      <c r="AS83" s="107"/>
      <c r="AT83" s="107"/>
      <c r="AU83" s="107"/>
      <c r="AV83" s="107"/>
      <c r="AW83" s="107"/>
      <c r="AX83" s="107"/>
      <c r="AY83" s="107"/>
      <c r="AZ83" s="108"/>
      <c r="BA83" s="154"/>
      <c r="BB83" s="107"/>
      <c r="BC83" s="107"/>
      <c r="BD83" s="108"/>
      <c r="BE83" s="289">
        <f t="shared" ref="BE83:BE151" si="2">52-COUNTBLANK(E83:BD83)</f>
        <v>0</v>
      </c>
    </row>
    <row r="84" spans="2:57" ht="12" customHeight="1" x14ac:dyDescent="0.25">
      <c r="B84" s="6"/>
      <c r="C84" s="378" t="s">
        <v>101</v>
      </c>
      <c r="D84" s="358" t="s">
        <v>189</v>
      </c>
      <c r="E84" s="110"/>
      <c r="F84" s="111"/>
      <c r="G84" s="111"/>
      <c r="H84" s="187"/>
      <c r="I84" s="110"/>
      <c r="J84" s="111"/>
      <c r="K84" s="111"/>
      <c r="L84" s="111"/>
      <c r="M84" s="112"/>
      <c r="N84" s="110"/>
      <c r="O84" s="111"/>
      <c r="P84" s="111"/>
      <c r="Q84" s="112"/>
      <c r="R84" s="110"/>
      <c r="S84" s="111"/>
      <c r="T84" s="111"/>
      <c r="U84" s="112"/>
      <c r="V84" s="110"/>
      <c r="W84" s="111"/>
      <c r="X84" s="111"/>
      <c r="Y84" s="112"/>
      <c r="Z84" s="110"/>
      <c r="AA84" s="111"/>
      <c r="AB84" s="111"/>
      <c r="AC84" s="111"/>
      <c r="AD84" s="112"/>
      <c r="AE84" s="110"/>
      <c r="AF84" s="111"/>
      <c r="AG84" s="111"/>
      <c r="AH84" s="112"/>
      <c r="AI84" s="110"/>
      <c r="AJ84" s="111"/>
      <c r="AK84" s="111"/>
      <c r="AL84" s="111"/>
      <c r="AM84" s="112"/>
      <c r="AN84" s="110"/>
      <c r="AO84" s="111"/>
      <c r="AP84" s="111"/>
      <c r="AQ84" s="112"/>
      <c r="AR84" s="110"/>
      <c r="AS84" s="111"/>
      <c r="AT84" s="111"/>
      <c r="AU84" s="111"/>
      <c r="AV84" s="111"/>
      <c r="AW84" s="111"/>
      <c r="AX84" s="111"/>
      <c r="AY84" s="111"/>
      <c r="AZ84" s="112"/>
      <c r="BA84" s="110"/>
      <c r="BB84" s="111"/>
      <c r="BC84" s="111"/>
      <c r="BD84" s="112"/>
      <c r="BE84" s="289">
        <f t="shared" si="2"/>
        <v>0</v>
      </c>
    </row>
    <row r="85" spans="2:57" ht="12" customHeight="1" thickBot="1" x14ac:dyDescent="0.3">
      <c r="B85" s="3"/>
      <c r="C85" s="383" t="s">
        <v>210</v>
      </c>
      <c r="D85" s="358" t="s">
        <v>192</v>
      </c>
      <c r="E85" s="147"/>
      <c r="F85" s="148"/>
      <c r="G85" s="148"/>
      <c r="H85" s="193"/>
      <c r="I85" s="147"/>
      <c r="J85" s="148"/>
      <c r="K85" s="148"/>
      <c r="L85" s="148"/>
      <c r="M85" s="149"/>
      <c r="N85" s="147"/>
      <c r="O85" s="148"/>
      <c r="P85" s="148"/>
      <c r="Q85" s="149"/>
      <c r="R85" s="147"/>
      <c r="S85" s="148"/>
      <c r="T85" s="148"/>
      <c r="U85" s="149"/>
      <c r="V85" s="147"/>
      <c r="W85" s="148"/>
      <c r="X85" s="148"/>
      <c r="Y85" s="149"/>
      <c r="Z85" s="147"/>
      <c r="AA85" s="148"/>
      <c r="AB85" s="148"/>
      <c r="AC85" s="148"/>
      <c r="AD85" s="149"/>
      <c r="AE85" s="147"/>
      <c r="AF85" s="148"/>
      <c r="AG85" s="148"/>
      <c r="AH85" s="149"/>
      <c r="AI85" s="147"/>
      <c r="AJ85" s="148"/>
      <c r="AK85" s="148"/>
      <c r="AL85" s="148"/>
      <c r="AM85" s="149"/>
      <c r="AN85" s="147"/>
      <c r="AO85" s="148"/>
      <c r="AP85" s="148"/>
      <c r="AQ85" s="149"/>
      <c r="AR85" s="147"/>
      <c r="AS85" s="148"/>
      <c r="AT85" s="148"/>
      <c r="AU85" s="148"/>
      <c r="AV85" s="148"/>
      <c r="AW85" s="148"/>
      <c r="AX85" s="148"/>
      <c r="AY85" s="148"/>
      <c r="AZ85" s="149"/>
      <c r="BA85" s="147"/>
      <c r="BB85" s="148"/>
      <c r="BC85" s="148"/>
      <c r="BD85" s="149"/>
      <c r="BE85" s="289">
        <f t="shared" si="2"/>
        <v>0</v>
      </c>
    </row>
    <row r="86" spans="2:57" ht="12" customHeight="1" thickBot="1" x14ac:dyDescent="0.3">
      <c r="B86" s="8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</row>
    <row r="87" spans="2:57" ht="16.5" thickBot="1" x14ac:dyDescent="0.3">
      <c r="B87" s="4"/>
      <c r="C87" s="372" t="s">
        <v>51</v>
      </c>
      <c r="E87" s="80">
        <v>1</v>
      </c>
      <c r="F87" s="81">
        <v>2</v>
      </c>
      <c r="G87" s="81">
        <v>3</v>
      </c>
      <c r="H87" s="228">
        <v>4</v>
      </c>
      <c r="I87" s="80">
        <v>5</v>
      </c>
      <c r="J87" s="81">
        <v>6</v>
      </c>
      <c r="K87" s="81">
        <v>7</v>
      </c>
      <c r="L87" s="81">
        <v>8</v>
      </c>
      <c r="M87" s="228">
        <v>9</v>
      </c>
      <c r="N87" s="80">
        <v>10</v>
      </c>
      <c r="O87" s="81">
        <v>11</v>
      </c>
      <c r="P87" s="81">
        <v>12</v>
      </c>
      <c r="Q87" s="228">
        <v>13</v>
      </c>
      <c r="R87" s="80">
        <v>14</v>
      </c>
      <c r="S87" s="81">
        <v>15</v>
      </c>
      <c r="T87" s="81">
        <v>16</v>
      </c>
      <c r="U87" s="228">
        <v>17</v>
      </c>
      <c r="V87" s="80">
        <v>18</v>
      </c>
      <c r="W87" s="81">
        <v>19</v>
      </c>
      <c r="X87" s="81">
        <v>20</v>
      </c>
      <c r="Y87" s="228">
        <v>21</v>
      </c>
      <c r="Z87" s="80">
        <v>22</v>
      </c>
      <c r="AA87" s="81">
        <v>23</v>
      </c>
      <c r="AB87" s="81">
        <v>24</v>
      </c>
      <c r="AC87" s="81">
        <v>25</v>
      </c>
      <c r="AD87" s="228">
        <v>26</v>
      </c>
      <c r="AE87" s="80">
        <v>27</v>
      </c>
      <c r="AF87" s="81">
        <v>28</v>
      </c>
      <c r="AG87" s="81">
        <v>29</v>
      </c>
      <c r="AH87" s="228">
        <v>30</v>
      </c>
      <c r="AI87" s="80">
        <v>31</v>
      </c>
      <c r="AJ87" s="81">
        <v>32</v>
      </c>
      <c r="AK87" s="81">
        <v>33</v>
      </c>
      <c r="AL87" s="81">
        <v>34</v>
      </c>
      <c r="AM87" s="228">
        <v>35</v>
      </c>
      <c r="AN87" s="80">
        <v>36</v>
      </c>
      <c r="AO87" s="81">
        <v>37</v>
      </c>
      <c r="AP87" s="81">
        <v>38</v>
      </c>
      <c r="AQ87" s="208">
        <v>39</v>
      </c>
      <c r="AR87" s="80">
        <v>40</v>
      </c>
      <c r="AS87" s="81">
        <v>41</v>
      </c>
      <c r="AT87" s="81">
        <v>42</v>
      </c>
      <c r="AU87" s="228">
        <v>43</v>
      </c>
      <c r="AV87" s="290">
        <v>44</v>
      </c>
      <c r="AW87" s="81">
        <v>45</v>
      </c>
      <c r="AX87" s="81">
        <v>46</v>
      </c>
      <c r="AY87" s="81">
        <v>47</v>
      </c>
      <c r="AZ87" s="228">
        <v>48</v>
      </c>
      <c r="BA87" s="94">
        <v>49</v>
      </c>
      <c r="BB87" s="95">
        <v>50</v>
      </c>
      <c r="BC87" s="95">
        <v>51</v>
      </c>
      <c r="BD87" s="231">
        <v>52</v>
      </c>
    </row>
    <row r="88" spans="2:57" ht="8.25" hidden="1" customHeight="1" thickBot="1" x14ac:dyDescent="0.3">
      <c r="B88" s="56" t="s">
        <v>50</v>
      </c>
      <c r="C88" s="388"/>
      <c r="E88" s="66"/>
      <c r="F88" s="67"/>
      <c r="G88" s="67"/>
      <c r="H88" s="291"/>
      <c r="I88" s="66"/>
      <c r="J88" s="67"/>
      <c r="K88" s="67"/>
      <c r="L88" s="67"/>
      <c r="M88" s="291"/>
      <c r="N88" s="66"/>
      <c r="O88" s="67"/>
      <c r="P88" s="67"/>
      <c r="Q88" s="291"/>
      <c r="R88" s="66"/>
      <c r="S88" s="67"/>
      <c r="T88" s="67"/>
      <c r="U88" s="291"/>
      <c r="V88" s="66"/>
      <c r="W88" s="67"/>
      <c r="X88" s="67"/>
      <c r="Y88" s="291"/>
      <c r="Z88" s="66"/>
      <c r="AA88" s="67"/>
      <c r="AB88" s="67"/>
      <c r="AC88" s="67"/>
      <c r="AD88" s="291"/>
      <c r="AE88" s="66"/>
      <c r="AF88" s="67"/>
      <c r="AG88" s="67"/>
      <c r="AH88" s="291"/>
      <c r="AI88" s="66"/>
      <c r="AJ88" s="67"/>
      <c r="AK88" s="67"/>
      <c r="AL88" s="67"/>
      <c r="AM88" s="291"/>
      <c r="AN88" s="66"/>
      <c r="AO88" s="67"/>
      <c r="AP88" s="67"/>
      <c r="AQ88" s="67"/>
      <c r="AR88" s="66"/>
      <c r="AS88" s="67"/>
      <c r="AT88" s="67"/>
      <c r="AU88" s="291"/>
      <c r="AV88" s="67"/>
      <c r="AW88" s="67"/>
      <c r="AX88" s="67"/>
      <c r="AY88" s="67"/>
      <c r="AZ88" s="291"/>
      <c r="BA88" s="292"/>
      <c r="BB88" s="209"/>
      <c r="BC88" s="209"/>
      <c r="BD88" s="293"/>
      <c r="BE88" s="289">
        <f t="shared" si="2"/>
        <v>0</v>
      </c>
    </row>
    <row r="89" spans="2:57" ht="12.75" customHeight="1" x14ac:dyDescent="0.25">
      <c r="B89" s="294"/>
      <c r="C89" s="389" t="s">
        <v>211</v>
      </c>
      <c r="D89" s="358" t="s">
        <v>212</v>
      </c>
      <c r="E89" s="341"/>
      <c r="F89" s="342"/>
      <c r="G89" s="342"/>
      <c r="H89" s="343"/>
      <c r="I89" s="341"/>
      <c r="J89" s="342"/>
      <c r="K89" s="342"/>
      <c r="L89" s="342"/>
      <c r="M89" s="343"/>
      <c r="N89" s="341"/>
      <c r="O89" s="342"/>
      <c r="P89" s="342"/>
      <c r="Q89" s="343"/>
      <c r="R89" s="341"/>
      <c r="S89" s="342"/>
      <c r="T89" s="342"/>
      <c r="U89" s="343"/>
      <c r="V89" s="341"/>
      <c r="W89" s="342"/>
      <c r="X89" s="342"/>
      <c r="Y89" s="343"/>
      <c r="Z89" s="341"/>
      <c r="AA89" s="342"/>
      <c r="AB89" s="342"/>
      <c r="AC89" s="342"/>
      <c r="AD89" s="343"/>
      <c r="AE89" s="341"/>
      <c r="AF89" s="342"/>
      <c r="AG89" s="342"/>
      <c r="AH89" s="343"/>
      <c r="AI89" s="341"/>
      <c r="AJ89" s="342"/>
      <c r="AK89" s="342"/>
      <c r="AL89" s="342"/>
      <c r="AM89" s="343"/>
      <c r="AN89" s="341"/>
      <c r="AO89" s="342"/>
      <c r="AP89" s="342"/>
      <c r="AQ89" s="344"/>
      <c r="AR89" s="341"/>
      <c r="AS89" s="342"/>
      <c r="AT89" s="342"/>
      <c r="AU89" s="343"/>
      <c r="AV89" s="345"/>
      <c r="AW89" s="342"/>
      <c r="AX89" s="342"/>
      <c r="AY89" s="342"/>
      <c r="AZ89" s="343"/>
      <c r="BA89" s="341"/>
      <c r="BB89" s="342"/>
      <c r="BC89" s="342"/>
      <c r="BD89" s="343"/>
      <c r="BE89" s="289">
        <f t="shared" si="2"/>
        <v>0</v>
      </c>
    </row>
    <row r="90" spans="2:57" ht="12" customHeight="1" x14ac:dyDescent="0.25">
      <c r="B90" s="6"/>
      <c r="C90" s="379" t="s">
        <v>48</v>
      </c>
      <c r="D90" s="358" t="s">
        <v>189</v>
      </c>
      <c r="E90" s="346"/>
      <c r="F90" s="111"/>
      <c r="G90" s="111"/>
      <c r="H90" s="112"/>
      <c r="I90" s="110"/>
      <c r="J90" s="347"/>
      <c r="K90" s="111"/>
      <c r="L90" s="111"/>
      <c r="M90" s="112"/>
      <c r="N90" s="346"/>
      <c r="O90" s="111"/>
      <c r="P90" s="111"/>
      <c r="Q90" s="112"/>
      <c r="R90" s="346"/>
      <c r="S90" s="111"/>
      <c r="T90" s="111"/>
      <c r="U90" s="112"/>
      <c r="V90" s="110"/>
      <c r="W90" s="347"/>
      <c r="X90" s="111"/>
      <c r="Y90" s="112"/>
      <c r="Z90" s="110"/>
      <c r="AA90" s="347"/>
      <c r="AB90" s="111"/>
      <c r="AC90" s="111"/>
      <c r="AD90" s="112"/>
      <c r="AE90" s="346"/>
      <c r="AF90" s="111"/>
      <c r="AG90" s="111"/>
      <c r="AH90" s="112"/>
      <c r="AI90" s="110"/>
      <c r="AJ90" s="347"/>
      <c r="AK90" s="111"/>
      <c r="AL90" s="111"/>
      <c r="AM90" s="112"/>
      <c r="AN90" s="346"/>
      <c r="AO90" s="111"/>
      <c r="AP90" s="111"/>
      <c r="AQ90" s="187"/>
      <c r="AR90" s="110"/>
      <c r="AS90" s="347"/>
      <c r="AT90" s="111"/>
      <c r="AU90" s="112"/>
      <c r="AV90" s="113"/>
      <c r="AW90" s="347"/>
      <c r="AX90" s="111"/>
      <c r="AY90" s="111"/>
      <c r="AZ90" s="112"/>
      <c r="BA90" s="346"/>
      <c r="BB90" s="111"/>
      <c r="BC90" s="111"/>
      <c r="BD90" s="112"/>
      <c r="BE90" s="289">
        <f t="shared" si="2"/>
        <v>0</v>
      </c>
    </row>
    <row r="91" spans="2:57" ht="12" customHeight="1" x14ac:dyDescent="0.25">
      <c r="B91" s="6"/>
      <c r="C91" s="379" t="s">
        <v>213</v>
      </c>
      <c r="D91" s="358" t="s">
        <v>192</v>
      </c>
      <c r="E91" s="110"/>
      <c r="F91" s="111"/>
      <c r="G91" s="111"/>
      <c r="H91" s="112"/>
      <c r="I91" s="110"/>
      <c r="J91" s="111"/>
      <c r="K91" s="111"/>
      <c r="L91" s="111"/>
      <c r="M91" s="112"/>
      <c r="N91" s="110"/>
      <c r="O91" s="111"/>
      <c r="P91" s="111"/>
      <c r="Q91" s="112"/>
      <c r="R91" s="110"/>
      <c r="S91" s="111"/>
      <c r="T91" s="111"/>
      <c r="U91" s="112"/>
      <c r="V91" s="110"/>
      <c r="W91" s="111"/>
      <c r="X91" s="111"/>
      <c r="Y91" s="112"/>
      <c r="Z91" s="110"/>
      <c r="AA91" s="111"/>
      <c r="AB91" s="111"/>
      <c r="AC91" s="347"/>
      <c r="AD91" s="112"/>
      <c r="AE91" s="110"/>
      <c r="AF91" s="111"/>
      <c r="AG91" s="111"/>
      <c r="AH91" s="112"/>
      <c r="AI91" s="110"/>
      <c r="AJ91" s="111"/>
      <c r="AK91" s="111"/>
      <c r="AL91" s="111"/>
      <c r="AM91" s="112"/>
      <c r="AN91" s="110"/>
      <c r="AO91" s="111"/>
      <c r="AP91" s="111"/>
      <c r="AQ91" s="187"/>
      <c r="AR91" s="110"/>
      <c r="AS91" s="111"/>
      <c r="AT91" s="111"/>
      <c r="AU91" s="112"/>
      <c r="AV91" s="113"/>
      <c r="AW91" s="111"/>
      <c r="AX91" s="111"/>
      <c r="AY91" s="111"/>
      <c r="AZ91" s="112"/>
      <c r="BA91" s="110"/>
      <c r="BB91" s="111"/>
      <c r="BC91" s="347"/>
      <c r="BD91" s="112"/>
      <c r="BE91" s="289">
        <f t="shared" si="2"/>
        <v>0</v>
      </c>
    </row>
    <row r="92" spans="2:57" ht="12" hidden="1" customHeight="1" x14ac:dyDescent="0.25">
      <c r="B92" s="6" t="s">
        <v>46</v>
      </c>
      <c r="C92" s="388"/>
      <c r="E92" s="110"/>
      <c r="F92" s="111"/>
      <c r="G92" s="111"/>
      <c r="H92" s="112"/>
      <c r="I92" s="110"/>
      <c r="J92" s="111"/>
      <c r="K92" s="111"/>
      <c r="L92" s="111"/>
      <c r="M92" s="112"/>
      <c r="N92" s="110"/>
      <c r="O92" s="111"/>
      <c r="P92" s="111"/>
      <c r="Q92" s="112"/>
      <c r="R92" s="110"/>
      <c r="S92" s="111"/>
      <c r="T92" s="111"/>
      <c r="U92" s="112"/>
      <c r="V92" s="110"/>
      <c r="W92" s="111"/>
      <c r="X92" s="111"/>
      <c r="Y92" s="112"/>
      <c r="Z92" s="110"/>
      <c r="AA92" s="111"/>
      <c r="AB92" s="111"/>
      <c r="AC92" s="111"/>
      <c r="AD92" s="112"/>
      <c r="AE92" s="110"/>
      <c r="AF92" s="111"/>
      <c r="AG92" s="111"/>
      <c r="AH92" s="112"/>
      <c r="AI92" s="110"/>
      <c r="AJ92" s="111"/>
      <c r="AK92" s="111"/>
      <c r="AL92" s="111"/>
      <c r="AM92" s="112"/>
      <c r="AN92" s="110"/>
      <c r="AO92" s="111"/>
      <c r="AP92" s="111"/>
      <c r="AQ92" s="187"/>
      <c r="AR92" s="110"/>
      <c r="AS92" s="111"/>
      <c r="AT92" s="111"/>
      <c r="AU92" s="112"/>
      <c r="AV92" s="113"/>
      <c r="AW92" s="111"/>
      <c r="AX92" s="111"/>
      <c r="AY92" s="111"/>
      <c r="AZ92" s="112"/>
      <c r="BA92" s="110"/>
      <c r="BB92" s="111"/>
      <c r="BC92" s="111"/>
      <c r="BD92" s="112"/>
      <c r="BE92" s="289">
        <f t="shared" si="2"/>
        <v>0</v>
      </c>
    </row>
    <row r="93" spans="2:57" ht="12" customHeight="1" thickBot="1" x14ac:dyDescent="0.3">
      <c r="B93" s="6"/>
      <c r="C93" s="378" t="s">
        <v>217</v>
      </c>
      <c r="D93" s="358" t="s">
        <v>191</v>
      </c>
      <c r="E93" s="318"/>
      <c r="F93" s="348"/>
      <c r="G93" s="348"/>
      <c r="H93" s="349"/>
      <c r="I93" s="318"/>
      <c r="J93" s="348"/>
      <c r="K93" s="348"/>
      <c r="L93" s="348"/>
      <c r="M93" s="349"/>
      <c r="N93" s="318"/>
      <c r="O93" s="148"/>
      <c r="P93" s="348"/>
      <c r="Q93" s="349"/>
      <c r="R93" s="318"/>
      <c r="S93" s="348"/>
      <c r="T93" s="348"/>
      <c r="U93" s="349"/>
      <c r="V93" s="318"/>
      <c r="W93" s="348"/>
      <c r="X93" s="348"/>
      <c r="Y93" s="349"/>
      <c r="Z93" s="318"/>
      <c r="AA93" s="348"/>
      <c r="AB93" s="348"/>
      <c r="AC93" s="348"/>
      <c r="AD93" s="349"/>
      <c r="AE93" s="318"/>
      <c r="AF93" s="348"/>
      <c r="AG93" s="348"/>
      <c r="AH93" s="349"/>
      <c r="AI93" s="318"/>
      <c r="AJ93" s="348"/>
      <c r="AK93" s="348"/>
      <c r="AL93" s="348"/>
      <c r="AM93" s="349"/>
      <c r="AN93" s="318"/>
      <c r="AO93" s="348"/>
      <c r="AP93" s="348"/>
      <c r="AQ93" s="350"/>
      <c r="AR93" s="318"/>
      <c r="AS93" s="348"/>
      <c r="AT93" s="348"/>
      <c r="AU93" s="349"/>
      <c r="AV93" s="351"/>
      <c r="AW93" s="348"/>
      <c r="AX93" s="348"/>
      <c r="AY93" s="348"/>
      <c r="AZ93" s="349"/>
      <c r="BA93" s="318"/>
      <c r="BB93" s="348"/>
      <c r="BC93" s="348"/>
      <c r="BD93" s="349"/>
      <c r="BE93" s="289">
        <f t="shared" si="2"/>
        <v>0</v>
      </c>
    </row>
    <row r="94" spans="2:57" s="2" customFormat="1" ht="12" customHeight="1" x14ac:dyDescent="0.25">
      <c r="B94" s="6"/>
      <c r="C94" s="378" t="s">
        <v>214</v>
      </c>
      <c r="D94" s="358" t="s">
        <v>192</v>
      </c>
      <c r="E94" s="110"/>
      <c r="F94" s="111"/>
      <c r="G94" s="111"/>
      <c r="H94" s="112"/>
      <c r="I94" s="110"/>
      <c r="J94" s="111"/>
      <c r="K94" s="111"/>
      <c r="L94" s="111"/>
      <c r="M94" s="112"/>
      <c r="N94" s="110"/>
      <c r="O94" s="111"/>
      <c r="P94" s="111"/>
      <c r="Q94" s="112"/>
      <c r="R94" s="110"/>
      <c r="S94" s="111"/>
      <c r="T94" s="111"/>
      <c r="U94" s="112"/>
      <c r="V94" s="110"/>
      <c r="W94" s="111"/>
      <c r="X94" s="111"/>
      <c r="Y94" s="112"/>
      <c r="Z94" s="110"/>
      <c r="AA94" s="111"/>
      <c r="AB94" s="111"/>
      <c r="AC94" s="111"/>
      <c r="AD94" s="112"/>
      <c r="AE94" s="110"/>
      <c r="AF94" s="111"/>
      <c r="AG94" s="111"/>
      <c r="AH94" s="112"/>
      <c r="AI94" s="110"/>
      <c r="AJ94" s="111"/>
      <c r="AK94" s="111"/>
      <c r="AL94" s="111"/>
      <c r="AM94" s="112"/>
      <c r="AN94" s="110"/>
      <c r="AO94" s="111"/>
      <c r="AP94" s="111"/>
      <c r="AQ94" s="187"/>
      <c r="AR94" s="110"/>
      <c r="AS94" s="111"/>
      <c r="AT94" s="111"/>
      <c r="AU94" s="112"/>
      <c r="AV94" s="113"/>
      <c r="AW94" s="111"/>
      <c r="AX94" s="111"/>
      <c r="AY94" s="111"/>
      <c r="AZ94" s="112"/>
      <c r="BA94" s="110"/>
      <c r="BB94" s="111"/>
      <c r="BC94" s="111"/>
      <c r="BD94" s="112"/>
      <c r="BE94" s="289">
        <f t="shared" si="2"/>
        <v>0</v>
      </c>
    </row>
    <row r="95" spans="2:57" s="2" customFormat="1" ht="12" customHeight="1" x14ac:dyDescent="0.25">
      <c r="B95" s="6"/>
      <c r="C95" s="378" t="s">
        <v>218</v>
      </c>
      <c r="D95" s="358" t="s">
        <v>189</v>
      </c>
      <c r="E95" s="110"/>
      <c r="F95" s="111"/>
      <c r="G95" s="111"/>
      <c r="H95" s="112"/>
      <c r="I95" s="110"/>
      <c r="J95" s="111"/>
      <c r="K95" s="111"/>
      <c r="L95" s="111"/>
      <c r="M95" s="112"/>
      <c r="N95" s="110"/>
      <c r="O95" s="111"/>
      <c r="P95" s="111"/>
      <c r="Q95" s="112"/>
      <c r="R95" s="110"/>
      <c r="S95" s="111"/>
      <c r="T95" s="111"/>
      <c r="U95" s="112"/>
      <c r="V95" s="110"/>
      <c r="W95" s="111"/>
      <c r="X95" s="111"/>
      <c r="Y95" s="112"/>
      <c r="Z95" s="110"/>
      <c r="AA95" s="111"/>
      <c r="AB95" s="111"/>
      <c r="AC95" s="111"/>
      <c r="AD95" s="112"/>
      <c r="AE95" s="110"/>
      <c r="AF95" s="111"/>
      <c r="AG95" s="111"/>
      <c r="AH95" s="112"/>
      <c r="AI95" s="110"/>
      <c r="AJ95" s="111"/>
      <c r="AK95" s="111"/>
      <c r="AL95" s="111"/>
      <c r="AM95" s="112"/>
      <c r="AN95" s="110"/>
      <c r="AO95" s="111"/>
      <c r="AP95" s="111"/>
      <c r="AQ95" s="187"/>
      <c r="AR95" s="110"/>
      <c r="AS95" s="111"/>
      <c r="AT95" s="111"/>
      <c r="AU95" s="112"/>
      <c r="AV95" s="113"/>
      <c r="AW95" s="111"/>
      <c r="AX95" s="111"/>
      <c r="AY95" s="111"/>
      <c r="AZ95" s="112"/>
      <c r="BA95" s="110"/>
      <c r="BB95" s="111"/>
      <c r="BC95" s="111"/>
      <c r="BD95" s="112"/>
      <c r="BE95" s="289">
        <f t="shared" si="2"/>
        <v>0</v>
      </c>
    </row>
    <row r="96" spans="2:57" s="2" customFormat="1" ht="12" customHeight="1" x14ac:dyDescent="0.25">
      <c r="B96" s="6"/>
      <c r="C96" s="378"/>
      <c r="D96" s="358"/>
      <c r="E96" s="110"/>
      <c r="F96" s="111"/>
      <c r="G96" s="111"/>
      <c r="H96" s="112"/>
      <c r="I96" s="110"/>
      <c r="J96" s="111"/>
      <c r="K96" s="111"/>
      <c r="L96" s="111"/>
      <c r="M96" s="112"/>
      <c r="N96" s="110"/>
      <c r="O96" s="111"/>
      <c r="P96" s="111"/>
      <c r="Q96" s="112"/>
      <c r="R96" s="110"/>
      <c r="S96" s="111"/>
      <c r="T96" s="111"/>
      <c r="U96" s="112"/>
      <c r="V96" s="110"/>
      <c r="W96" s="111"/>
      <c r="X96" s="111"/>
      <c r="Y96" s="112"/>
      <c r="Z96" s="110"/>
      <c r="AA96" s="111"/>
      <c r="AB96" s="111"/>
      <c r="AC96" s="111"/>
      <c r="AD96" s="112"/>
      <c r="AE96" s="110"/>
      <c r="AF96" s="111"/>
      <c r="AG96" s="111"/>
      <c r="AH96" s="112"/>
      <c r="AI96" s="110"/>
      <c r="AJ96" s="111"/>
      <c r="AK96" s="111"/>
      <c r="AL96" s="111"/>
      <c r="AM96" s="112"/>
      <c r="AN96" s="110"/>
      <c r="AO96" s="111"/>
      <c r="AP96" s="111"/>
      <c r="AQ96" s="187"/>
      <c r="AR96" s="110"/>
      <c r="AS96" s="111"/>
      <c r="AT96" s="111"/>
      <c r="AU96" s="112"/>
      <c r="AV96" s="113"/>
      <c r="AW96" s="111"/>
      <c r="AX96" s="111"/>
      <c r="AY96" s="111"/>
      <c r="AZ96" s="112"/>
      <c r="BA96" s="110"/>
      <c r="BB96" s="111"/>
      <c r="BC96" s="111"/>
      <c r="BD96" s="112"/>
      <c r="BE96" s="289">
        <f t="shared" si="2"/>
        <v>0</v>
      </c>
    </row>
    <row r="97" spans="2:57" s="2" customFormat="1" ht="12" customHeight="1" x14ac:dyDescent="0.25">
      <c r="B97" s="6"/>
      <c r="C97" s="378"/>
      <c r="D97" s="358"/>
      <c r="E97" s="110"/>
      <c r="F97" s="111"/>
      <c r="G97" s="111"/>
      <c r="H97" s="112"/>
      <c r="I97" s="110"/>
      <c r="J97" s="111"/>
      <c r="K97" s="111"/>
      <c r="L97" s="111"/>
      <c r="M97" s="112"/>
      <c r="N97" s="110"/>
      <c r="O97" s="111"/>
      <c r="P97" s="111"/>
      <c r="Q97" s="112"/>
      <c r="R97" s="110"/>
      <c r="S97" s="111"/>
      <c r="T97" s="111"/>
      <c r="U97" s="112"/>
      <c r="V97" s="110"/>
      <c r="W97" s="111"/>
      <c r="X97" s="111"/>
      <c r="Y97" s="112"/>
      <c r="Z97" s="110"/>
      <c r="AA97" s="111"/>
      <c r="AB97" s="111"/>
      <c r="AC97" s="111"/>
      <c r="AD97" s="112"/>
      <c r="AE97" s="110"/>
      <c r="AF97" s="111"/>
      <c r="AG97" s="111"/>
      <c r="AH97" s="112"/>
      <c r="AI97" s="110"/>
      <c r="AJ97" s="111"/>
      <c r="AK97" s="111"/>
      <c r="AL97" s="111"/>
      <c r="AM97" s="112"/>
      <c r="AN97" s="110"/>
      <c r="AO97" s="111"/>
      <c r="AP97" s="111"/>
      <c r="AQ97" s="187"/>
      <c r="AR97" s="110"/>
      <c r="AS97" s="111"/>
      <c r="AT97" s="111"/>
      <c r="AU97" s="112"/>
      <c r="AV97" s="113"/>
      <c r="AW97" s="111"/>
      <c r="AX97" s="111"/>
      <c r="AY97" s="111"/>
      <c r="AZ97" s="112"/>
      <c r="BA97" s="110"/>
      <c r="BB97" s="111"/>
      <c r="BC97" s="111"/>
      <c r="BD97" s="112"/>
      <c r="BE97" s="289">
        <f t="shared" si="2"/>
        <v>0</v>
      </c>
    </row>
    <row r="98" spans="2:57" s="2" customFormat="1" ht="12" customHeight="1" thickBot="1" x14ac:dyDescent="0.3">
      <c r="B98" s="3"/>
      <c r="C98" s="390"/>
      <c r="D98" s="358"/>
      <c r="E98" s="147"/>
      <c r="F98" s="148"/>
      <c r="G98" s="148"/>
      <c r="H98" s="149"/>
      <c r="I98" s="147"/>
      <c r="J98" s="148"/>
      <c r="K98" s="148"/>
      <c r="L98" s="148"/>
      <c r="M98" s="149"/>
      <c r="N98" s="147"/>
      <c r="O98" s="148"/>
      <c r="P98" s="148"/>
      <c r="Q98" s="149"/>
      <c r="R98" s="147"/>
      <c r="S98" s="148"/>
      <c r="T98" s="148"/>
      <c r="U98" s="149"/>
      <c r="V98" s="147"/>
      <c r="W98" s="148"/>
      <c r="X98" s="148"/>
      <c r="Y98" s="149"/>
      <c r="Z98" s="147"/>
      <c r="AA98" s="148"/>
      <c r="AB98" s="148"/>
      <c r="AC98" s="148"/>
      <c r="AD98" s="149"/>
      <c r="AE98" s="147"/>
      <c r="AF98" s="148"/>
      <c r="AG98" s="148"/>
      <c r="AH98" s="149"/>
      <c r="AI98" s="147"/>
      <c r="AJ98" s="148"/>
      <c r="AK98" s="148"/>
      <c r="AL98" s="148"/>
      <c r="AM98" s="149"/>
      <c r="AN98" s="147"/>
      <c r="AO98" s="148"/>
      <c r="AP98" s="148"/>
      <c r="AQ98" s="193"/>
      <c r="AR98" s="147"/>
      <c r="AS98" s="148"/>
      <c r="AT98" s="148"/>
      <c r="AU98" s="149"/>
      <c r="AV98" s="176"/>
      <c r="AW98" s="148"/>
      <c r="AX98" s="148"/>
      <c r="AY98" s="148"/>
      <c r="AZ98" s="149"/>
      <c r="BA98" s="147"/>
      <c r="BB98" s="148"/>
      <c r="BC98" s="148"/>
      <c r="BD98" s="149"/>
      <c r="BE98" s="289">
        <f t="shared" si="2"/>
        <v>0</v>
      </c>
    </row>
    <row r="99" spans="2:57" ht="12" customHeight="1" thickBot="1" x14ac:dyDescent="0.3">
      <c r="B99" s="8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 spans="2:57" ht="12" customHeight="1" thickBot="1" x14ac:dyDescent="0.3">
      <c r="B100" s="4"/>
      <c r="C100" s="372" t="s">
        <v>174</v>
      </c>
      <c r="E100" s="80">
        <v>1</v>
      </c>
      <c r="F100" s="81">
        <v>2</v>
      </c>
      <c r="G100" s="81">
        <v>3</v>
      </c>
      <c r="H100" s="228">
        <v>4</v>
      </c>
      <c r="I100" s="290">
        <v>5</v>
      </c>
      <c r="J100" s="81">
        <v>6</v>
      </c>
      <c r="K100" s="81">
        <v>7</v>
      </c>
      <c r="L100" s="81">
        <v>8</v>
      </c>
      <c r="M100" s="81">
        <v>9</v>
      </c>
      <c r="N100" s="81">
        <v>10</v>
      </c>
      <c r="O100" s="81">
        <v>11</v>
      </c>
      <c r="P100" s="81">
        <v>12</v>
      </c>
      <c r="Q100" s="81">
        <v>13</v>
      </c>
      <c r="R100" s="81">
        <v>14</v>
      </c>
      <c r="S100" s="81">
        <v>15</v>
      </c>
      <c r="T100" s="81">
        <v>16</v>
      </c>
      <c r="U100" s="81">
        <v>17</v>
      </c>
      <c r="V100" s="81">
        <v>18</v>
      </c>
      <c r="W100" s="81">
        <v>19</v>
      </c>
      <c r="X100" s="81">
        <v>20</v>
      </c>
      <c r="Y100" s="81">
        <v>21</v>
      </c>
      <c r="Z100" s="81">
        <v>22</v>
      </c>
      <c r="AA100" s="81">
        <v>23</v>
      </c>
      <c r="AB100" s="81">
        <v>24</v>
      </c>
      <c r="AC100" s="81">
        <v>25</v>
      </c>
      <c r="AD100" s="81">
        <v>26</v>
      </c>
      <c r="AE100" s="81">
        <v>27</v>
      </c>
      <c r="AF100" s="81">
        <v>28</v>
      </c>
      <c r="AG100" s="81">
        <v>29</v>
      </c>
      <c r="AH100" s="81">
        <v>30</v>
      </c>
      <c r="AI100" s="81">
        <v>31</v>
      </c>
      <c r="AJ100" s="81">
        <v>32</v>
      </c>
      <c r="AK100" s="81">
        <v>33</v>
      </c>
      <c r="AL100" s="81">
        <v>34</v>
      </c>
      <c r="AM100" s="81">
        <v>35</v>
      </c>
      <c r="AN100" s="81">
        <v>36</v>
      </c>
      <c r="AO100" s="81">
        <v>37</v>
      </c>
      <c r="AP100" s="81">
        <v>38</v>
      </c>
      <c r="AQ100" s="81">
        <v>39</v>
      </c>
      <c r="AR100" s="81">
        <v>40</v>
      </c>
      <c r="AS100" s="81">
        <v>41</v>
      </c>
      <c r="AT100" s="81">
        <v>42</v>
      </c>
      <c r="AU100" s="81">
        <v>43</v>
      </c>
      <c r="AV100" s="81">
        <v>44</v>
      </c>
      <c r="AW100" s="81">
        <v>45</v>
      </c>
      <c r="AX100" s="81">
        <v>46</v>
      </c>
      <c r="AY100" s="81">
        <v>47</v>
      </c>
      <c r="AZ100" s="81">
        <v>48</v>
      </c>
      <c r="BA100" s="81">
        <v>49</v>
      </c>
      <c r="BB100" s="81">
        <v>50</v>
      </c>
      <c r="BC100" s="81">
        <v>51</v>
      </c>
      <c r="BD100" s="81">
        <v>52</v>
      </c>
    </row>
    <row r="101" spans="2:57" ht="12" hidden="1" customHeight="1" x14ac:dyDescent="0.25">
      <c r="B101" s="16" t="s">
        <v>44</v>
      </c>
      <c r="C101" s="391"/>
      <c r="E101" s="68"/>
      <c r="F101" s="69"/>
      <c r="G101" s="69"/>
      <c r="H101" s="232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289">
        <f t="shared" si="2"/>
        <v>0</v>
      </c>
    </row>
    <row r="102" spans="2:57" ht="12" customHeight="1" x14ac:dyDescent="0.25">
      <c r="B102" s="6"/>
      <c r="C102" s="379" t="s">
        <v>219</v>
      </c>
      <c r="D102" s="358" t="s">
        <v>191</v>
      </c>
      <c r="E102" s="154"/>
      <c r="F102" s="107"/>
      <c r="G102" s="107"/>
      <c r="H102" s="186"/>
      <c r="I102" s="154"/>
      <c r="J102" s="107"/>
      <c r="K102" s="107"/>
      <c r="L102" s="107"/>
      <c r="M102" s="186"/>
      <c r="N102" s="154"/>
      <c r="O102" s="107"/>
      <c r="P102" s="107"/>
      <c r="Q102" s="186"/>
      <c r="R102" s="154"/>
      <c r="S102" s="107"/>
      <c r="T102" s="107"/>
      <c r="U102" s="186"/>
      <c r="V102" s="154"/>
      <c r="W102" s="107"/>
      <c r="X102" s="107"/>
      <c r="Y102" s="186"/>
      <c r="Z102" s="154"/>
      <c r="AA102" s="107"/>
      <c r="AB102" s="107"/>
      <c r="AC102" s="107"/>
      <c r="AD102" s="186"/>
      <c r="AE102" s="154"/>
      <c r="AF102" s="107"/>
      <c r="AG102" s="107"/>
      <c r="AH102" s="186"/>
      <c r="AI102" s="154"/>
      <c r="AJ102" s="107"/>
      <c r="AK102" s="107"/>
      <c r="AL102" s="107"/>
      <c r="AM102" s="186"/>
      <c r="AN102" s="154"/>
      <c r="AO102" s="107"/>
      <c r="AP102" s="107"/>
      <c r="AQ102" s="186"/>
      <c r="AR102" s="154"/>
      <c r="AS102" s="107"/>
      <c r="AT102" s="107"/>
      <c r="AU102" s="186"/>
      <c r="AV102" s="154"/>
      <c r="AW102" s="107"/>
      <c r="AX102" s="107"/>
      <c r="AY102" s="107"/>
      <c r="AZ102" s="186"/>
      <c r="BA102" s="154"/>
      <c r="BB102" s="107"/>
      <c r="BC102" s="107"/>
      <c r="BD102" s="108"/>
      <c r="BE102" s="289">
        <f t="shared" si="2"/>
        <v>0</v>
      </c>
    </row>
    <row r="103" spans="2:57" ht="12" customHeight="1" x14ac:dyDescent="0.25">
      <c r="B103" s="6"/>
      <c r="C103" s="379" t="s">
        <v>220</v>
      </c>
      <c r="D103" s="358" t="s">
        <v>191</v>
      </c>
      <c r="E103" s="365"/>
      <c r="F103" s="224"/>
      <c r="G103" s="224"/>
      <c r="H103" s="366"/>
      <c r="I103" s="365"/>
      <c r="J103" s="224"/>
      <c r="K103" s="224"/>
      <c r="L103" s="224"/>
      <c r="M103" s="366"/>
      <c r="N103" s="365"/>
      <c r="O103" s="224"/>
      <c r="P103" s="224"/>
      <c r="Q103" s="366"/>
      <c r="R103" s="365"/>
      <c r="S103" s="224"/>
      <c r="T103" s="224"/>
      <c r="U103" s="366"/>
      <c r="V103" s="365"/>
      <c r="W103" s="224"/>
      <c r="X103" s="224"/>
      <c r="Y103" s="366"/>
      <c r="Z103" s="365"/>
      <c r="AA103" s="224"/>
      <c r="AB103" s="224"/>
      <c r="AC103" s="224"/>
      <c r="AD103" s="366"/>
      <c r="AE103" s="365"/>
      <c r="AF103" s="224"/>
      <c r="AG103" s="224"/>
      <c r="AH103" s="366"/>
      <c r="AI103" s="365"/>
      <c r="AJ103" s="224"/>
      <c r="AK103" s="224"/>
      <c r="AL103" s="224"/>
      <c r="AM103" s="366"/>
      <c r="AN103" s="365"/>
      <c r="AO103" s="224"/>
      <c r="AP103" s="224"/>
      <c r="AQ103" s="366"/>
      <c r="AR103" s="365"/>
      <c r="AS103" s="224"/>
      <c r="AT103" s="224"/>
      <c r="AU103" s="366"/>
      <c r="AV103" s="365"/>
      <c r="AW103" s="224"/>
      <c r="AX103" s="224"/>
      <c r="AY103" s="224"/>
      <c r="AZ103" s="366"/>
      <c r="BA103" s="365"/>
      <c r="BB103" s="224"/>
      <c r="BC103" s="224"/>
      <c r="BD103" s="367"/>
    </row>
    <row r="104" spans="2:57" ht="12" customHeight="1" x14ac:dyDescent="0.25">
      <c r="B104" s="6"/>
      <c r="C104" s="379" t="s">
        <v>221</v>
      </c>
      <c r="D104" s="358" t="s">
        <v>191</v>
      </c>
      <c r="E104" s="365"/>
      <c r="F104" s="224"/>
      <c r="G104" s="224"/>
      <c r="H104" s="366"/>
      <c r="I104" s="365"/>
      <c r="J104" s="224"/>
      <c r="K104" s="224"/>
      <c r="L104" s="224"/>
      <c r="M104" s="366"/>
      <c r="N104" s="365"/>
      <c r="O104" s="224"/>
      <c r="P104" s="224"/>
      <c r="Q104" s="366"/>
      <c r="R104" s="365"/>
      <c r="S104" s="224"/>
      <c r="T104" s="224"/>
      <c r="U104" s="366"/>
      <c r="V104" s="365"/>
      <c r="W104" s="224"/>
      <c r="X104" s="224"/>
      <c r="Y104" s="366"/>
      <c r="Z104" s="365"/>
      <c r="AA104" s="224"/>
      <c r="AB104" s="224"/>
      <c r="AC104" s="224"/>
      <c r="AD104" s="366"/>
      <c r="AE104" s="365"/>
      <c r="AF104" s="224"/>
      <c r="AG104" s="224"/>
      <c r="AH104" s="366"/>
      <c r="AI104" s="365"/>
      <c r="AJ104" s="224"/>
      <c r="AK104" s="224"/>
      <c r="AL104" s="224"/>
      <c r="AM104" s="366"/>
      <c r="AN104" s="365"/>
      <c r="AO104" s="224"/>
      <c r="AP104" s="224"/>
      <c r="AQ104" s="366"/>
      <c r="AR104" s="365"/>
      <c r="AS104" s="224"/>
      <c r="AT104" s="224"/>
      <c r="AU104" s="366"/>
      <c r="AV104" s="365"/>
      <c r="AW104" s="224"/>
      <c r="AX104" s="224"/>
      <c r="AY104" s="224"/>
      <c r="AZ104" s="366"/>
      <c r="BA104" s="365"/>
      <c r="BB104" s="224"/>
      <c r="BC104" s="224"/>
      <c r="BD104" s="367"/>
    </row>
    <row r="105" spans="2:57" ht="12" customHeight="1" x14ac:dyDescent="0.25">
      <c r="B105" s="6"/>
      <c r="C105" s="379" t="s">
        <v>252</v>
      </c>
      <c r="D105" s="358" t="s">
        <v>192</v>
      </c>
      <c r="E105" s="365"/>
      <c r="F105" s="224"/>
      <c r="G105" s="224"/>
      <c r="H105" s="366"/>
      <c r="I105" s="365"/>
      <c r="J105" s="224"/>
      <c r="K105" s="224"/>
      <c r="L105" s="224"/>
      <c r="M105" s="366"/>
      <c r="N105" s="365"/>
      <c r="O105" s="224"/>
      <c r="P105" s="224"/>
      <c r="Q105" s="366"/>
      <c r="R105" s="365"/>
      <c r="S105" s="224"/>
      <c r="T105" s="224"/>
      <c r="U105" s="366"/>
      <c r="V105" s="365"/>
      <c r="W105" s="224"/>
      <c r="X105" s="224"/>
      <c r="Y105" s="366"/>
      <c r="Z105" s="365"/>
      <c r="AA105" s="224"/>
      <c r="AB105" s="224"/>
      <c r="AC105" s="224"/>
      <c r="AD105" s="366"/>
      <c r="AE105" s="365"/>
      <c r="AF105" s="224"/>
      <c r="AG105" s="224"/>
      <c r="AH105" s="366"/>
      <c r="AI105" s="365"/>
      <c r="AJ105" s="224"/>
      <c r="AK105" s="224"/>
      <c r="AL105" s="224"/>
      <c r="AM105" s="366"/>
      <c r="AN105" s="365"/>
      <c r="AO105" s="224"/>
      <c r="AP105" s="224"/>
      <c r="AQ105" s="366"/>
      <c r="AR105" s="365"/>
      <c r="AS105" s="224"/>
      <c r="AT105" s="224"/>
      <c r="AU105" s="366"/>
      <c r="AV105" s="365"/>
      <c r="AW105" s="224"/>
      <c r="AX105" s="224"/>
      <c r="AY105" s="224"/>
      <c r="AZ105" s="366"/>
      <c r="BA105" s="365"/>
      <c r="BB105" s="224"/>
      <c r="BC105" s="224"/>
      <c r="BD105" s="367"/>
    </row>
    <row r="106" spans="2:57" ht="12" customHeight="1" x14ac:dyDescent="0.25">
      <c r="B106" s="6"/>
      <c r="C106" s="379" t="s">
        <v>253</v>
      </c>
      <c r="D106" s="358" t="s">
        <v>192</v>
      </c>
      <c r="E106" s="365"/>
      <c r="F106" s="224"/>
      <c r="G106" s="224"/>
      <c r="H106" s="366"/>
      <c r="I106" s="365"/>
      <c r="J106" s="224"/>
      <c r="K106" s="224"/>
      <c r="L106" s="224"/>
      <c r="M106" s="366"/>
      <c r="N106" s="365"/>
      <c r="O106" s="224"/>
      <c r="P106" s="224"/>
      <c r="Q106" s="366"/>
      <c r="R106" s="365"/>
      <c r="S106" s="224"/>
      <c r="T106" s="224"/>
      <c r="U106" s="366"/>
      <c r="V106" s="365"/>
      <c r="W106" s="224"/>
      <c r="X106" s="224"/>
      <c r="Y106" s="366"/>
      <c r="Z106" s="365"/>
      <c r="AA106" s="224"/>
      <c r="AB106" s="224"/>
      <c r="AC106" s="224"/>
      <c r="AD106" s="366"/>
      <c r="AE106" s="365"/>
      <c r="AF106" s="224"/>
      <c r="AG106" s="224"/>
      <c r="AH106" s="366"/>
      <c r="AI106" s="365"/>
      <c r="AJ106" s="224"/>
      <c r="AK106" s="224"/>
      <c r="AL106" s="224"/>
      <c r="AM106" s="366"/>
      <c r="AN106" s="365"/>
      <c r="AO106" s="224"/>
      <c r="AP106" s="224"/>
      <c r="AQ106" s="366"/>
      <c r="AR106" s="365"/>
      <c r="AS106" s="224"/>
      <c r="AT106" s="224"/>
      <c r="AU106" s="366"/>
      <c r="AV106" s="365"/>
      <c r="AW106" s="224"/>
      <c r="AX106" s="224"/>
      <c r="AY106" s="224"/>
      <c r="AZ106" s="366"/>
      <c r="BA106" s="365"/>
      <c r="BB106" s="224"/>
      <c r="BC106" s="224"/>
      <c r="BD106" s="367"/>
    </row>
    <row r="107" spans="2:57" ht="12" customHeight="1" x14ac:dyDescent="0.25">
      <c r="B107" s="6"/>
      <c r="C107" s="379" t="s">
        <v>222</v>
      </c>
      <c r="D107" s="358" t="s">
        <v>192</v>
      </c>
      <c r="E107" s="365"/>
      <c r="F107" s="224"/>
      <c r="G107" s="224"/>
      <c r="H107" s="366"/>
      <c r="I107" s="365"/>
      <c r="J107" s="224"/>
      <c r="K107" s="224"/>
      <c r="L107" s="224"/>
      <c r="M107" s="366"/>
      <c r="N107" s="365"/>
      <c r="O107" s="224"/>
      <c r="P107" s="224"/>
      <c r="Q107" s="366"/>
      <c r="R107" s="365"/>
      <c r="S107" s="224"/>
      <c r="T107" s="224"/>
      <c r="U107" s="366"/>
      <c r="V107" s="365"/>
      <c r="W107" s="224"/>
      <c r="X107" s="224"/>
      <c r="Y107" s="366"/>
      <c r="Z107" s="365"/>
      <c r="AA107" s="224"/>
      <c r="AB107" s="224"/>
      <c r="AC107" s="224"/>
      <c r="AD107" s="366"/>
      <c r="AE107" s="365"/>
      <c r="AF107" s="224"/>
      <c r="AG107" s="224"/>
      <c r="AH107" s="366"/>
      <c r="AI107" s="365"/>
      <c r="AJ107" s="224"/>
      <c r="AK107" s="224"/>
      <c r="AL107" s="224"/>
      <c r="AM107" s="366"/>
      <c r="AN107" s="365"/>
      <c r="AO107" s="224"/>
      <c r="AP107" s="224"/>
      <c r="AQ107" s="366"/>
      <c r="AR107" s="365"/>
      <c r="AS107" s="224"/>
      <c r="AT107" s="224"/>
      <c r="AU107" s="366"/>
      <c r="AV107" s="365"/>
      <c r="AW107" s="224"/>
      <c r="AX107" s="224"/>
      <c r="AY107" s="224"/>
      <c r="AZ107" s="366"/>
      <c r="BA107" s="365"/>
      <c r="BB107" s="224"/>
      <c r="BC107" s="224"/>
      <c r="BD107" s="367"/>
    </row>
    <row r="108" spans="2:57" ht="12" customHeight="1" x14ac:dyDescent="0.25">
      <c r="B108" s="6"/>
      <c r="C108" s="375" t="s">
        <v>223</v>
      </c>
      <c r="D108" s="358" t="s">
        <v>189</v>
      </c>
      <c r="E108" s="110"/>
      <c r="F108" s="111"/>
      <c r="G108" s="111"/>
      <c r="H108" s="187"/>
      <c r="I108" s="110"/>
      <c r="J108" s="111"/>
      <c r="K108" s="111"/>
      <c r="L108" s="111"/>
      <c r="M108" s="187"/>
      <c r="N108" s="110"/>
      <c r="O108" s="111"/>
      <c r="P108" s="111"/>
      <c r="Q108" s="187"/>
      <c r="R108" s="110"/>
      <c r="S108" s="111"/>
      <c r="T108" s="111"/>
      <c r="U108" s="187"/>
      <c r="V108" s="110"/>
      <c r="W108" s="111"/>
      <c r="X108" s="111"/>
      <c r="Y108" s="187"/>
      <c r="Z108" s="110"/>
      <c r="AA108" s="111"/>
      <c r="AB108" s="111"/>
      <c r="AC108" s="111"/>
      <c r="AD108" s="187"/>
      <c r="AE108" s="110"/>
      <c r="AF108" s="111"/>
      <c r="AG108" s="111"/>
      <c r="AH108" s="187"/>
      <c r="AI108" s="110"/>
      <c r="AJ108" s="111"/>
      <c r="AK108" s="111"/>
      <c r="AL108" s="111"/>
      <c r="AM108" s="187"/>
      <c r="AN108" s="110"/>
      <c r="AO108" s="111"/>
      <c r="AP108" s="111"/>
      <c r="AQ108" s="187"/>
      <c r="AR108" s="110"/>
      <c r="AS108" s="111"/>
      <c r="AT108" s="111"/>
      <c r="AU108" s="187"/>
      <c r="AV108" s="110"/>
      <c r="AW108" s="111"/>
      <c r="AX108" s="111"/>
      <c r="AY108" s="111"/>
      <c r="AZ108" s="187"/>
      <c r="BA108" s="110"/>
      <c r="BB108" s="111"/>
      <c r="BC108" s="111"/>
      <c r="BD108" s="112"/>
      <c r="BE108" s="289">
        <f t="shared" si="2"/>
        <v>0</v>
      </c>
    </row>
    <row r="109" spans="2:57" ht="12" customHeight="1" x14ac:dyDescent="0.25">
      <c r="B109" s="6"/>
      <c r="C109" s="379" t="s">
        <v>224</v>
      </c>
      <c r="D109" s="358" t="s">
        <v>192</v>
      </c>
      <c r="E109" s="110"/>
      <c r="F109" s="111"/>
      <c r="G109" s="111"/>
      <c r="H109" s="187"/>
      <c r="I109" s="110"/>
      <c r="J109" s="111"/>
      <c r="K109" s="111"/>
      <c r="L109" s="111"/>
      <c r="M109" s="187"/>
      <c r="N109" s="110"/>
      <c r="O109" s="111"/>
      <c r="P109" s="111"/>
      <c r="Q109" s="187"/>
      <c r="R109" s="110"/>
      <c r="S109" s="111"/>
      <c r="T109" s="111"/>
      <c r="U109" s="187"/>
      <c r="V109" s="110"/>
      <c r="W109" s="111"/>
      <c r="X109" s="111"/>
      <c r="Y109" s="187"/>
      <c r="Z109" s="110"/>
      <c r="AA109" s="111"/>
      <c r="AB109" s="111"/>
      <c r="AC109" s="111"/>
      <c r="AD109" s="187"/>
      <c r="AE109" s="110"/>
      <c r="AF109" s="111"/>
      <c r="AG109" s="111"/>
      <c r="AH109" s="187"/>
      <c r="AI109" s="110"/>
      <c r="AJ109" s="111"/>
      <c r="AK109" s="111"/>
      <c r="AL109" s="111"/>
      <c r="AM109" s="187"/>
      <c r="AN109" s="110"/>
      <c r="AO109" s="111"/>
      <c r="AP109" s="111"/>
      <c r="AQ109" s="187"/>
      <c r="AR109" s="110"/>
      <c r="AS109" s="111"/>
      <c r="AT109" s="111"/>
      <c r="AU109" s="187"/>
      <c r="AV109" s="110"/>
      <c r="AW109" s="111"/>
      <c r="AX109" s="111"/>
      <c r="AY109" s="111"/>
      <c r="AZ109" s="187"/>
      <c r="BA109" s="110"/>
      <c r="BB109" s="111"/>
      <c r="BC109" s="111"/>
      <c r="BD109" s="112"/>
      <c r="BE109" s="289">
        <f t="shared" si="2"/>
        <v>0</v>
      </c>
    </row>
    <row r="110" spans="2:57" ht="12" customHeight="1" x14ac:dyDescent="0.25">
      <c r="B110" s="6"/>
      <c r="C110" s="375"/>
      <c r="E110" s="110"/>
      <c r="F110" s="111"/>
      <c r="G110" s="111"/>
      <c r="H110" s="187"/>
      <c r="I110" s="110"/>
      <c r="J110" s="111"/>
      <c r="K110" s="111"/>
      <c r="L110" s="111"/>
      <c r="M110" s="187"/>
      <c r="N110" s="110"/>
      <c r="O110" s="111"/>
      <c r="P110" s="111"/>
      <c r="Q110" s="187"/>
      <c r="R110" s="110"/>
      <c r="S110" s="111"/>
      <c r="T110" s="111"/>
      <c r="U110" s="187"/>
      <c r="V110" s="110"/>
      <c r="W110" s="111"/>
      <c r="X110" s="111"/>
      <c r="Y110" s="187"/>
      <c r="Z110" s="110"/>
      <c r="AA110" s="111"/>
      <c r="AB110" s="111"/>
      <c r="AC110" s="111"/>
      <c r="AD110" s="187"/>
      <c r="AE110" s="110"/>
      <c r="AF110" s="111"/>
      <c r="AG110" s="111"/>
      <c r="AH110" s="187"/>
      <c r="AI110" s="110"/>
      <c r="AJ110" s="111"/>
      <c r="AK110" s="111"/>
      <c r="AL110" s="111"/>
      <c r="AM110" s="187"/>
      <c r="AN110" s="110"/>
      <c r="AO110" s="111"/>
      <c r="AP110" s="111"/>
      <c r="AQ110" s="187"/>
      <c r="AR110" s="110"/>
      <c r="AS110" s="111"/>
      <c r="AT110" s="111"/>
      <c r="AU110" s="187"/>
      <c r="AV110" s="110"/>
      <c r="AW110" s="111"/>
      <c r="AX110" s="111"/>
      <c r="AY110" s="111"/>
      <c r="AZ110" s="187"/>
      <c r="BA110" s="110"/>
      <c r="BB110" s="111"/>
      <c r="BC110" s="111"/>
      <c r="BD110" s="112"/>
      <c r="BE110" s="289">
        <f t="shared" si="2"/>
        <v>0</v>
      </c>
    </row>
    <row r="111" spans="2:57" ht="15" hidden="1" customHeight="1" x14ac:dyDescent="0.25">
      <c r="B111" s="16" t="s">
        <v>43</v>
      </c>
      <c r="C111" s="392"/>
      <c r="E111" s="110"/>
      <c r="F111" s="111"/>
      <c r="G111" s="111"/>
      <c r="H111" s="187"/>
      <c r="I111" s="110"/>
      <c r="J111" s="111"/>
      <c r="K111" s="111"/>
      <c r="L111" s="111"/>
      <c r="M111" s="187"/>
      <c r="N111" s="110"/>
      <c r="O111" s="111"/>
      <c r="P111" s="111"/>
      <c r="Q111" s="187"/>
      <c r="R111" s="110"/>
      <c r="S111" s="111"/>
      <c r="T111" s="111"/>
      <c r="U111" s="187"/>
      <c r="V111" s="110"/>
      <c r="W111" s="111"/>
      <c r="X111" s="111"/>
      <c r="Y111" s="187"/>
      <c r="Z111" s="110"/>
      <c r="AA111" s="111"/>
      <c r="AB111" s="111"/>
      <c r="AC111" s="111"/>
      <c r="AD111" s="187"/>
      <c r="AE111" s="110"/>
      <c r="AF111" s="111"/>
      <c r="AG111" s="111"/>
      <c r="AH111" s="187"/>
      <c r="AI111" s="110"/>
      <c r="AJ111" s="111"/>
      <c r="AK111" s="111"/>
      <c r="AL111" s="111"/>
      <c r="AM111" s="187"/>
      <c r="AN111" s="110"/>
      <c r="AO111" s="111"/>
      <c r="AP111" s="111"/>
      <c r="AQ111" s="187"/>
      <c r="AR111" s="110"/>
      <c r="AS111" s="111"/>
      <c r="AT111" s="111"/>
      <c r="AU111" s="187"/>
      <c r="AV111" s="110"/>
      <c r="AW111" s="111"/>
      <c r="AX111" s="111"/>
      <c r="AY111" s="111"/>
      <c r="AZ111" s="187"/>
      <c r="BA111" s="110"/>
      <c r="BB111" s="111"/>
      <c r="BC111" s="111"/>
      <c r="BD111" s="112"/>
      <c r="BE111" s="289">
        <f t="shared" si="2"/>
        <v>0</v>
      </c>
    </row>
    <row r="112" spans="2:57" ht="12" customHeight="1" x14ac:dyDescent="0.25">
      <c r="B112" s="6"/>
      <c r="C112" s="378"/>
      <c r="E112" s="110"/>
      <c r="F112" s="111"/>
      <c r="G112" s="111"/>
      <c r="H112" s="187"/>
      <c r="I112" s="110"/>
      <c r="J112" s="111"/>
      <c r="K112" s="111"/>
      <c r="L112" s="111"/>
      <c r="M112" s="187"/>
      <c r="N112" s="110"/>
      <c r="O112" s="111"/>
      <c r="P112" s="111"/>
      <c r="Q112" s="187"/>
      <c r="R112" s="110"/>
      <c r="S112" s="111"/>
      <c r="T112" s="111"/>
      <c r="U112" s="187"/>
      <c r="V112" s="110"/>
      <c r="W112" s="111"/>
      <c r="X112" s="111"/>
      <c r="Y112" s="187"/>
      <c r="Z112" s="110"/>
      <c r="AA112" s="111"/>
      <c r="AB112" s="111"/>
      <c r="AC112" s="111"/>
      <c r="AD112" s="187"/>
      <c r="AE112" s="110"/>
      <c r="AF112" s="111"/>
      <c r="AG112" s="111"/>
      <c r="AH112" s="187"/>
      <c r="AI112" s="110"/>
      <c r="AJ112" s="111"/>
      <c r="AK112" s="111"/>
      <c r="AL112" s="111"/>
      <c r="AM112" s="187"/>
      <c r="AN112" s="110"/>
      <c r="AO112" s="111"/>
      <c r="AP112" s="111"/>
      <c r="AQ112" s="187"/>
      <c r="AR112" s="110"/>
      <c r="AS112" s="111"/>
      <c r="AT112" s="111"/>
      <c r="AU112" s="187"/>
      <c r="AV112" s="110"/>
      <c r="AW112" s="111"/>
      <c r="AX112" s="111"/>
      <c r="AY112" s="111"/>
      <c r="AZ112" s="187"/>
      <c r="BA112" s="110"/>
      <c r="BB112" s="111"/>
      <c r="BC112" s="111"/>
      <c r="BD112" s="112"/>
      <c r="BE112" s="289">
        <f t="shared" si="2"/>
        <v>0</v>
      </c>
    </row>
    <row r="113" spans="2:57" ht="12" hidden="1" customHeight="1" x14ac:dyDescent="0.25">
      <c r="B113" s="16" t="s">
        <v>42</v>
      </c>
      <c r="C113" s="392"/>
      <c r="E113" s="110"/>
      <c r="F113" s="111"/>
      <c r="G113" s="111"/>
      <c r="H113" s="187"/>
      <c r="I113" s="110"/>
      <c r="J113" s="111"/>
      <c r="K113" s="111"/>
      <c r="L113" s="111"/>
      <c r="M113" s="187"/>
      <c r="N113" s="110"/>
      <c r="O113" s="111"/>
      <c r="P113" s="111"/>
      <c r="Q113" s="187"/>
      <c r="R113" s="110"/>
      <c r="S113" s="111"/>
      <c r="T113" s="111"/>
      <c r="U113" s="187"/>
      <c r="V113" s="110"/>
      <c r="W113" s="111"/>
      <c r="X113" s="111"/>
      <c r="Y113" s="187"/>
      <c r="Z113" s="110"/>
      <c r="AA113" s="111"/>
      <c r="AB113" s="111"/>
      <c r="AC113" s="111"/>
      <c r="AD113" s="187"/>
      <c r="AE113" s="110"/>
      <c r="AF113" s="111"/>
      <c r="AG113" s="111"/>
      <c r="AH113" s="187"/>
      <c r="AI113" s="110"/>
      <c r="AJ113" s="111"/>
      <c r="AK113" s="111"/>
      <c r="AL113" s="111"/>
      <c r="AM113" s="187"/>
      <c r="AN113" s="110"/>
      <c r="AO113" s="111"/>
      <c r="AP113" s="111"/>
      <c r="AQ113" s="187"/>
      <c r="AR113" s="110"/>
      <c r="AS113" s="111"/>
      <c r="AT113" s="111"/>
      <c r="AU113" s="187"/>
      <c r="AV113" s="110"/>
      <c r="AW113" s="111"/>
      <c r="AX113" s="111"/>
      <c r="AY113" s="111"/>
      <c r="AZ113" s="187"/>
      <c r="BA113" s="110"/>
      <c r="BB113" s="111"/>
      <c r="BC113" s="111"/>
      <c r="BD113" s="112"/>
      <c r="BE113" s="289">
        <f t="shared" si="2"/>
        <v>0</v>
      </c>
    </row>
    <row r="114" spans="2:57" ht="12" customHeight="1" x14ac:dyDescent="0.25">
      <c r="B114" s="6"/>
      <c r="C114" s="379"/>
      <c r="E114" s="110"/>
      <c r="F114" s="111"/>
      <c r="G114" s="111"/>
      <c r="H114" s="187"/>
      <c r="I114" s="110"/>
      <c r="J114" s="111"/>
      <c r="K114" s="111"/>
      <c r="L114" s="111"/>
      <c r="M114" s="187"/>
      <c r="N114" s="110"/>
      <c r="O114" s="111"/>
      <c r="P114" s="111"/>
      <c r="Q114" s="187"/>
      <c r="R114" s="110"/>
      <c r="S114" s="111"/>
      <c r="T114" s="111"/>
      <c r="U114" s="187"/>
      <c r="V114" s="110"/>
      <c r="W114" s="111"/>
      <c r="X114" s="111"/>
      <c r="Y114" s="187"/>
      <c r="Z114" s="110"/>
      <c r="AA114" s="111"/>
      <c r="AB114" s="111"/>
      <c r="AC114" s="111"/>
      <c r="AD114" s="187"/>
      <c r="AE114" s="110"/>
      <c r="AF114" s="111"/>
      <c r="AG114" s="111"/>
      <c r="AH114" s="187"/>
      <c r="AI114" s="110"/>
      <c r="AJ114" s="111"/>
      <c r="AK114" s="111"/>
      <c r="AL114" s="111"/>
      <c r="AM114" s="187"/>
      <c r="AN114" s="110"/>
      <c r="AO114" s="111"/>
      <c r="AP114" s="111"/>
      <c r="AQ114" s="187"/>
      <c r="AR114" s="110"/>
      <c r="AS114" s="111"/>
      <c r="AT114" s="111"/>
      <c r="AU114" s="187"/>
      <c r="AV114" s="110"/>
      <c r="AW114" s="111"/>
      <c r="AX114" s="111"/>
      <c r="AY114" s="111"/>
      <c r="AZ114" s="187"/>
      <c r="BA114" s="110"/>
      <c r="BB114" s="111"/>
      <c r="BC114" s="111"/>
      <c r="BD114" s="112"/>
      <c r="BE114" s="289">
        <f t="shared" si="2"/>
        <v>0</v>
      </c>
    </row>
    <row r="115" spans="2:57" ht="12" customHeight="1" thickBot="1" x14ac:dyDescent="0.3">
      <c r="B115" s="3"/>
      <c r="C115" s="390"/>
      <c r="E115" s="147"/>
      <c r="F115" s="148"/>
      <c r="G115" s="148"/>
      <c r="H115" s="193"/>
      <c r="I115" s="147"/>
      <c r="J115" s="148"/>
      <c r="K115" s="148"/>
      <c r="L115" s="148"/>
      <c r="M115" s="193"/>
      <c r="N115" s="147"/>
      <c r="O115" s="148"/>
      <c r="P115" s="148"/>
      <c r="Q115" s="193"/>
      <c r="R115" s="147"/>
      <c r="S115" s="148"/>
      <c r="T115" s="148"/>
      <c r="U115" s="193"/>
      <c r="V115" s="147"/>
      <c r="W115" s="148"/>
      <c r="X115" s="148"/>
      <c r="Y115" s="193"/>
      <c r="Z115" s="147"/>
      <c r="AA115" s="148"/>
      <c r="AB115" s="148"/>
      <c r="AC115" s="148"/>
      <c r="AD115" s="193"/>
      <c r="AE115" s="147"/>
      <c r="AF115" s="148"/>
      <c r="AG115" s="148"/>
      <c r="AH115" s="193"/>
      <c r="AI115" s="147"/>
      <c r="AJ115" s="148"/>
      <c r="AK115" s="148"/>
      <c r="AL115" s="148"/>
      <c r="AM115" s="193"/>
      <c r="AN115" s="147"/>
      <c r="AO115" s="148"/>
      <c r="AP115" s="148"/>
      <c r="AQ115" s="193"/>
      <c r="AR115" s="147"/>
      <c r="AS115" s="148"/>
      <c r="AT115" s="148"/>
      <c r="AU115" s="193"/>
      <c r="AV115" s="147"/>
      <c r="AW115" s="148"/>
      <c r="AX115" s="148"/>
      <c r="AY115" s="148"/>
      <c r="AZ115" s="193"/>
      <c r="BA115" s="147"/>
      <c r="BB115" s="148"/>
      <c r="BC115" s="148"/>
      <c r="BD115" s="149"/>
      <c r="BE115" s="289">
        <f t="shared" si="2"/>
        <v>0</v>
      </c>
    </row>
    <row r="116" spans="2:57" ht="16.5" thickBot="1" x14ac:dyDescent="0.3">
      <c r="B116" s="8"/>
      <c r="C116" s="393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</row>
    <row r="117" spans="2:57" ht="12" hidden="1" customHeight="1" thickBot="1" x14ac:dyDescent="0.3">
      <c r="B117" s="8"/>
      <c r="E117" s="428" t="s">
        <v>15</v>
      </c>
      <c r="F117" s="429"/>
      <c r="G117" s="429"/>
      <c r="H117" s="429"/>
      <c r="I117" s="430"/>
      <c r="J117" s="428" t="s">
        <v>14</v>
      </c>
      <c r="K117" s="429"/>
      <c r="L117" s="429"/>
      <c r="M117" s="430"/>
      <c r="N117" s="425" t="s">
        <v>13</v>
      </c>
      <c r="O117" s="426"/>
      <c r="P117" s="426"/>
      <c r="Q117" s="427"/>
      <c r="R117" s="425" t="s">
        <v>12</v>
      </c>
      <c r="S117" s="426"/>
      <c r="T117" s="426"/>
      <c r="U117" s="426"/>
      <c r="V117" s="427"/>
      <c r="W117" s="425" t="s">
        <v>11</v>
      </c>
      <c r="X117" s="426"/>
      <c r="Y117" s="426"/>
      <c r="Z117" s="427"/>
      <c r="AA117" s="428" t="s">
        <v>10</v>
      </c>
      <c r="AB117" s="429"/>
      <c r="AC117" s="429"/>
      <c r="AD117" s="430"/>
      <c r="AE117" s="425" t="s">
        <v>9</v>
      </c>
      <c r="AF117" s="426"/>
      <c r="AG117" s="426"/>
      <c r="AH117" s="426"/>
      <c r="AI117" s="427"/>
      <c r="AJ117" s="425" t="s">
        <v>8</v>
      </c>
      <c r="AK117" s="426"/>
      <c r="AL117" s="426"/>
      <c r="AM117" s="427"/>
      <c r="AN117" s="428" t="s">
        <v>7</v>
      </c>
      <c r="AO117" s="429"/>
      <c r="AP117" s="429"/>
      <c r="AQ117" s="429"/>
      <c r="AR117" s="430"/>
      <c r="AS117" s="425" t="s">
        <v>6</v>
      </c>
      <c r="AT117" s="426"/>
      <c r="AU117" s="426"/>
      <c r="AV117" s="427"/>
      <c r="AW117" s="425" t="s">
        <v>5</v>
      </c>
      <c r="AX117" s="426"/>
      <c r="AY117" s="426"/>
      <c r="AZ117" s="427"/>
      <c r="BA117" s="428" t="s">
        <v>4</v>
      </c>
      <c r="BB117" s="429"/>
      <c r="BC117" s="429"/>
      <c r="BD117" s="429"/>
    </row>
    <row r="118" spans="2:57" ht="12" customHeight="1" thickBot="1" x14ac:dyDescent="0.3">
      <c r="B118" s="4"/>
      <c r="C118" s="372" t="s">
        <v>176</v>
      </c>
      <c r="E118" s="80">
        <v>1</v>
      </c>
      <c r="F118" s="81">
        <v>2</v>
      </c>
      <c r="G118" s="81">
        <v>3</v>
      </c>
      <c r="H118" s="81">
        <v>4</v>
      </c>
      <c r="I118" s="81">
        <v>5</v>
      </c>
      <c r="J118" s="81">
        <v>6</v>
      </c>
      <c r="K118" s="81">
        <v>7</v>
      </c>
      <c r="L118" s="81">
        <v>8</v>
      </c>
      <c r="M118" s="81">
        <v>9</v>
      </c>
      <c r="N118" s="81">
        <v>10</v>
      </c>
      <c r="O118" s="81">
        <v>11</v>
      </c>
      <c r="P118" s="81">
        <v>12</v>
      </c>
      <c r="Q118" s="81">
        <v>13</v>
      </c>
      <c r="R118" s="81">
        <v>14</v>
      </c>
      <c r="S118" s="81">
        <v>15</v>
      </c>
      <c r="T118" s="81">
        <v>16</v>
      </c>
      <c r="U118" s="81">
        <v>17</v>
      </c>
      <c r="V118" s="81">
        <v>18</v>
      </c>
      <c r="W118" s="81">
        <v>19</v>
      </c>
      <c r="X118" s="81">
        <v>20</v>
      </c>
      <c r="Y118" s="81">
        <v>21</v>
      </c>
      <c r="Z118" s="81">
        <v>22</v>
      </c>
      <c r="AA118" s="81">
        <v>23</v>
      </c>
      <c r="AB118" s="81">
        <v>24</v>
      </c>
      <c r="AC118" s="81">
        <v>25</v>
      </c>
      <c r="AD118" s="81">
        <v>26</v>
      </c>
      <c r="AE118" s="81">
        <v>27</v>
      </c>
      <c r="AF118" s="81">
        <v>28</v>
      </c>
      <c r="AG118" s="81">
        <v>29</v>
      </c>
      <c r="AH118" s="81">
        <v>30</v>
      </c>
      <c r="AI118" s="81">
        <v>31</v>
      </c>
      <c r="AJ118" s="81">
        <v>32</v>
      </c>
      <c r="AK118" s="81">
        <v>33</v>
      </c>
      <c r="AL118" s="81">
        <v>34</v>
      </c>
      <c r="AM118" s="81">
        <v>35</v>
      </c>
      <c r="AN118" s="81">
        <v>36</v>
      </c>
      <c r="AO118" s="81">
        <v>37</v>
      </c>
      <c r="AP118" s="81">
        <v>38</v>
      </c>
      <c r="AQ118" s="81">
        <v>39</v>
      </c>
      <c r="AR118" s="81">
        <v>40</v>
      </c>
      <c r="AS118" s="81">
        <v>41</v>
      </c>
      <c r="AT118" s="81">
        <v>42</v>
      </c>
      <c r="AU118" s="81">
        <v>43</v>
      </c>
      <c r="AV118" s="81">
        <v>44</v>
      </c>
      <c r="AW118" s="81">
        <v>45</v>
      </c>
      <c r="AX118" s="81">
        <v>46</v>
      </c>
      <c r="AY118" s="81">
        <v>47</v>
      </c>
      <c r="AZ118" s="81">
        <v>48</v>
      </c>
      <c r="BA118" s="81">
        <v>49</v>
      </c>
      <c r="BB118" s="81">
        <v>50</v>
      </c>
      <c r="BC118" s="81">
        <v>51</v>
      </c>
      <c r="BD118" s="81">
        <v>52</v>
      </c>
    </row>
    <row r="119" spans="2:57" ht="12" hidden="1" customHeight="1" x14ac:dyDescent="0.25">
      <c r="B119" s="55" t="s">
        <v>40</v>
      </c>
      <c r="C119" s="394"/>
      <c r="E119" s="70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289">
        <f t="shared" si="2"/>
        <v>0</v>
      </c>
    </row>
    <row r="120" spans="2:57" ht="12" customHeight="1" x14ac:dyDescent="0.25">
      <c r="B120" s="6"/>
      <c r="C120" s="378" t="s">
        <v>232</v>
      </c>
      <c r="D120" s="358" t="s">
        <v>190</v>
      </c>
      <c r="E120" s="110"/>
      <c r="F120" s="111"/>
      <c r="G120" s="111"/>
      <c r="H120" s="187"/>
      <c r="I120" s="110"/>
      <c r="J120" s="111"/>
      <c r="K120" s="111"/>
      <c r="L120" s="111"/>
      <c r="M120" s="112"/>
      <c r="N120" s="113"/>
      <c r="O120" s="111"/>
      <c r="P120" s="111"/>
      <c r="Q120" s="187"/>
      <c r="R120" s="110"/>
      <c r="S120" s="111"/>
      <c r="T120" s="111"/>
      <c r="U120" s="187"/>
      <c r="V120" s="110"/>
      <c r="W120" s="111"/>
      <c r="X120" s="111"/>
      <c r="Y120" s="187"/>
      <c r="Z120" s="110"/>
      <c r="AA120" s="111"/>
      <c r="AB120" s="111"/>
      <c r="AC120" s="111"/>
      <c r="AD120" s="112"/>
      <c r="AE120" s="110"/>
      <c r="AF120" s="111"/>
      <c r="AG120" s="111"/>
      <c r="AH120" s="187"/>
      <c r="AI120" s="110"/>
      <c r="AJ120" s="111"/>
      <c r="AK120" s="111"/>
      <c r="AL120" s="111"/>
      <c r="AM120" s="112"/>
      <c r="AN120" s="110"/>
      <c r="AO120" s="111"/>
      <c r="AP120" s="111"/>
      <c r="AQ120" s="187"/>
      <c r="AR120" s="110"/>
      <c r="AS120" s="111"/>
      <c r="AT120" s="111"/>
      <c r="AU120" s="187"/>
      <c r="AV120" s="110"/>
      <c r="AW120" s="111"/>
      <c r="AX120" s="111"/>
      <c r="AY120" s="111"/>
      <c r="AZ120" s="112"/>
      <c r="BA120" s="113"/>
      <c r="BB120" s="111"/>
      <c r="BC120" s="111"/>
      <c r="BD120" s="111"/>
      <c r="BE120" s="289">
        <f t="shared" si="2"/>
        <v>0</v>
      </c>
    </row>
    <row r="121" spans="2:57" ht="12" customHeight="1" x14ac:dyDescent="0.25">
      <c r="B121" s="6"/>
      <c r="C121" s="379" t="s">
        <v>225</v>
      </c>
      <c r="D121" s="358" t="s">
        <v>192</v>
      </c>
      <c r="E121" s="110"/>
      <c r="F121" s="111"/>
      <c r="G121" s="111"/>
      <c r="H121" s="187"/>
      <c r="I121" s="110"/>
      <c r="J121" s="111"/>
      <c r="K121" s="111"/>
      <c r="L121" s="111"/>
      <c r="M121" s="112"/>
      <c r="N121" s="113"/>
      <c r="O121" s="111"/>
      <c r="P121" s="111"/>
      <c r="Q121" s="187"/>
      <c r="R121" s="110"/>
      <c r="S121" s="111"/>
      <c r="T121" s="111"/>
      <c r="U121" s="187"/>
      <c r="V121" s="110"/>
      <c r="W121" s="111"/>
      <c r="X121" s="111"/>
      <c r="Y121" s="187"/>
      <c r="Z121" s="110"/>
      <c r="AA121" s="111"/>
      <c r="AB121" s="111"/>
      <c r="AC121" s="111"/>
      <c r="AD121" s="112"/>
      <c r="AE121" s="110"/>
      <c r="AF121" s="111"/>
      <c r="AG121" s="111"/>
      <c r="AH121" s="187"/>
      <c r="AI121" s="110"/>
      <c r="AJ121" s="111"/>
      <c r="AK121" s="111"/>
      <c r="AL121" s="111"/>
      <c r="AM121" s="112"/>
      <c r="AN121" s="110"/>
      <c r="AO121" s="111"/>
      <c r="AP121" s="111"/>
      <c r="AQ121" s="187"/>
      <c r="AR121" s="110"/>
      <c r="AS121" s="111"/>
      <c r="AT121" s="111"/>
      <c r="AU121" s="187"/>
      <c r="AV121" s="110"/>
      <c r="AW121" s="111"/>
      <c r="AX121" s="111"/>
      <c r="AY121" s="111"/>
      <c r="AZ121" s="112"/>
      <c r="BA121" s="113"/>
      <c r="BB121" s="111"/>
      <c r="BC121" s="111"/>
      <c r="BD121" s="111"/>
    </row>
    <row r="122" spans="2:57" ht="12" customHeight="1" x14ac:dyDescent="0.25">
      <c r="B122" s="6"/>
      <c r="C122" s="379" t="s">
        <v>226</v>
      </c>
      <c r="D122" s="358" t="s">
        <v>192</v>
      </c>
      <c r="E122" s="110"/>
      <c r="F122" s="111"/>
      <c r="G122" s="111"/>
      <c r="H122" s="187"/>
      <c r="I122" s="110"/>
      <c r="J122" s="111"/>
      <c r="K122" s="111"/>
      <c r="L122" s="111"/>
      <c r="M122" s="112"/>
      <c r="N122" s="113"/>
      <c r="O122" s="111"/>
      <c r="P122" s="111"/>
      <c r="Q122" s="187"/>
      <c r="R122" s="110"/>
      <c r="S122" s="111"/>
      <c r="T122" s="111"/>
      <c r="U122" s="187"/>
      <c r="V122" s="110"/>
      <c r="W122" s="111"/>
      <c r="X122" s="111"/>
      <c r="Y122" s="187"/>
      <c r="Z122" s="110"/>
      <c r="AA122" s="111"/>
      <c r="AB122" s="111"/>
      <c r="AC122" s="111"/>
      <c r="AD122" s="112"/>
      <c r="AE122" s="110"/>
      <c r="AF122" s="111"/>
      <c r="AG122" s="111"/>
      <c r="AH122" s="187"/>
      <c r="AI122" s="110"/>
      <c r="AJ122" s="111"/>
      <c r="AK122" s="111"/>
      <c r="AL122" s="111"/>
      <c r="AM122" s="112"/>
      <c r="AN122" s="110"/>
      <c r="AO122" s="111"/>
      <c r="AP122" s="111"/>
      <c r="AQ122" s="187"/>
      <c r="AR122" s="110"/>
      <c r="AS122" s="111"/>
      <c r="AT122" s="111"/>
      <c r="AU122" s="187"/>
      <c r="AV122" s="110"/>
      <c r="AW122" s="111"/>
      <c r="AX122" s="111"/>
      <c r="AY122" s="111"/>
      <c r="AZ122" s="112"/>
      <c r="BA122" s="113"/>
      <c r="BB122" s="111"/>
      <c r="BC122" s="111"/>
      <c r="BD122" s="111"/>
    </row>
    <row r="123" spans="2:57" ht="12" customHeight="1" x14ac:dyDescent="0.25">
      <c r="B123" s="6"/>
      <c r="C123" s="379" t="s">
        <v>227</v>
      </c>
      <c r="D123" s="358" t="s">
        <v>192</v>
      </c>
      <c r="E123" s="110"/>
      <c r="F123" s="111"/>
      <c r="G123" s="111"/>
      <c r="H123" s="187"/>
      <c r="I123" s="110"/>
      <c r="J123" s="111"/>
      <c r="K123" s="111"/>
      <c r="L123" s="111"/>
      <c r="M123" s="112"/>
      <c r="N123" s="113"/>
      <c r="O123" s="111"/>
      <c r="P123" s="111"/>
      <c r="Q123" s="187"/>
      <c r="R123" s="110"/>
      <c r="S123" s="111"/>
      <c r="T123" s="111"/>
      <c r="U123" s="187"/>
      <c r="V123" s="110"/>
      <c r="W123" s="111"/>
      <c r="X123" s="111"/>
      <c r="Y123" s="187"/>
      <c r="Z123" s="110"/>
      <c r="AA123" s="111"/>
      <c r="AB123" s="111"/>
      <c r="AC123" s="111"/>
      <c r="AD123" s="112"/>
      <c r="AE123" s="110"/>
      <c r="AF123" s="111"/>
      <c r="AG123" s="111"/>
      <c r="AH123" s="187"/>
      <c r="AI123" s="110"/>
      <c r="AJ123" s="111"/>
      <c r="AK123" s="111"/>
      <c r="AL123" s="111"/>
      <c r="AM123" s="112"/>
      <c r="AN123" s="110"/>
      <c r="AO123" s="111"/>
      <c r="AP123" s="111"/>
      <c r="AQ123" s="187"/>
      <c r="AR123" s="110"/>
      <c r="AS123" s="111"/>
      <c r="AT123" s="111"/>
      <c r="AU123" s="187"/>
      <c r="AV123" s="110"/>
      <c r="AW123" s="111"/>
      <c r="AX123" s="111"/>
      <c r="AY123" s="111"/>
      <c r="AZ123" s="112"/>
      <c r="BA123" s="113"/>
      <c r="BB123" s="111"/>
      <c r="BC123" s="111"/>
      <c r="BD123" s="111"/>
    </row>
    <row r="124" spans="2:57" ht="12" customHeight="1" x14ac:dyDescent="0.25">
      <c r="B124" s="6"/>
      <c r="C124" s="379" t="s">
        <v>231</v>
      </c>
      <c r="D124" s="358" t="s">
        <v>191</v>
      </c>
      <c r="E124" s="110"/>
      <c r="F124" s="111"/>
      <c r="G124" s="111"/>
      <c r="H124" s="187"/>
      <c r="I124" s="110"/>
      <c r="J124" s="111"/>
      <c r="K124" s="111"/>
      <c r="L124" s="111"/>
      <c r="M124" s="112"/>
      <c r="N124" s="113"/>
      <c r="O124" s="111"/>
      <c r="P124" s="111"/>
      <c r="Q124" s="187"/>
      <c r="R124" s="110"/>
      <c r="S124" s="111"/>
      <c r="T124" s="111"/>
      <c r="U124" s="187"/>
      <c r="V124" s="110"/>
      <c r="W124" s="111"/>
      <c r="X124" s="111"/>
      <c r="Y124" s="187"/>
      <c r="Z124" s="110"/>
      <c r="AA124" s="111"/>
      <c r="AB124" s="111"/>
      <c r="AC124" s="111"/>
      <c r="AD124" s="112"/>
      <c r="AE124" s="110"/>
      <c r="AF124" s="111"/>
      <c r="AG124" s="111"/>
      <c r="AH124" s="187"/>
      <c r="AI124" s="110"/>
      <c r="AJ124" s="111"/>
      <c r="AK124" s="111"/>
      <c r="AL124" s="111"/>
      <c r="AM124" s="112"/>
      <c r="AN124" s="110"/>
      <c r="AO124" s="111"/>
      <c r="AP124" s="111"/>
      <c r="AQ124" s="187"/>
      <c r="AR124" s="110"/>
      <c r="AS124" s="111"/>
      <c r="AT124" s="111"/>
      <c r="AU124" s="187"/>
      <c r="AV124" s="110"/>
      <c r="AW124" s="111"/>
      <c r="AX124" s="111"/>
      <c r="AY124" s="111"/>
      <c r="AZ124" s="112"/>
      <c r="BA124" s="113"/>
      <c r="BB124" s="111"/>
      <c r="BC124" s="111"/>
      <c r="BD124" s="111"/>
    </row>
    <row r="125" spans="2:57" ht="12" customHeight="1" x14ac:dyDescent="0.25">
      <c r="B125" s="6"/>
      <c r="C125" s="379" t="s">
        <v>244</v>
      </c>
      <c r="D125" s="358" t="s">
        <v>191</v>
      </c>
      <c r="E125" s="110"/>
      <c r="F125" s="111"/>
      <c r="G125" s="111"/>
      <c r="H125" s="187"/>
      <c r="I125" s="110"/>
      <c r="J125" s="111"/>
      <c r="K125" s="111"/>
      <c r="L125" s="111"/>
      <c r="M125" s="112"/>
      <c r="N125" s="113"/>
      <c r="O125" s="111"/>
      <c r="P125" s="111"/>
      <c r="Q125" s="187"/>
      <c r="R125" s="110"/>
      <c r="S125" s="111"/>
      <c r="T125" s="111"/>
      <c r="U125" s="187"/>
      <c r="V125" s="110"/>
      <c r="W125" s="111"/>
      <c r="X125" s="111"/>
      <c r="Y125" s="187"/>
      <c r="Z125" s="110"/>
      <c r="AA125" s="111"/>
      <c r="AB125" s="111"/>
      <c r="AC125" s="111"/>
      <c r="AD125" s="112"/>
      <c r="AE125" s="110"/>
      <c r="AF125" s="111"/>
      <c r="AG125" s="111"/>
      <c r="AH125" s="187"/>
      <c r="AI125" s="110"/>
      <c r="AJ125" s="111"/>
      <c r="AK125" s="111"/>
      <c r="AL125" s="111"/>
      <c r="AM125" s="112"/>
      <c r="AN125" s="110"/>
      <c r="AO125" s="111"/>
      <c r="AP125" s="111"/>
      <c r="AQ125" s="187"/>
      <c r="AR125" s="110"/>
      <c r="AS125" s="111"/>
      <c r="AT125" s="111"/>
      <c r="AU125" s="187"/>
      <c r="AV125" s="110"/>
      <c r="AW125" s="111"/>
      <c r="AX125" s="111"/>
      <c r="AY125" s="111"/>
      <c r="AZ125" s="112"/>
      <c r="BA125" s="113"/>
      <c r="BB125" s="111"/>
      <c r="BC125" s="111"/>
      <c r="BD125" s="111"/>
    </row>
    <row r="126" spans="2:57" ht="12" customHeight="1" x14ac:dyDescent="0.25">
      <c r="B126" s="6"/>
      <c r="C126" s="379" t="s">
        <v>228</v>
      </c>
      <c r="D126" s="358" t="s">
        <v>190</v>
      </c>
      <c r="E126" s="110"/>
      <c r="F126" s="111"/>
      <c r="G126" s="111"/>
      <c r="H126" s="187"/>
      <c r="I126" s="110"/>
      <c r="J126" s="111"/>
      <c r="K126" s="111"/>
      <c r="L126" s="111"/>
      <c r="M126" s="112"/>
      <c r="N126" s="113"/>
      <c r="O126" s="111"/>
      <c r="P126" s="111"/>
      <c r="Q126" s="187"/>
      <c r="R126" s="110"/>
      <c r="S126" s="111"/>
      <c r="T126" s="111"/>
      <c r="U126" s="187"/>
      <c r="V126" s="110"/>
      <c r="W126" s="111"/>
      <c r="X126" s="111"/>
      <c r="Y126" s="187"/>
      <c r="Z126" s="110"/>
      <c r="AA126" s="111"/>
      <c r="AB126" s="111"/>
      <c r="AC126" s="111"/>
      <c r="AD126" s="112"/>
      <c r="AE126" s="110"/>
      <c r="AF126" s="111"/>
      <c r="AG126" s="111"/>
      <c r="AH126" s="187"/>
      <c r="AI126" s="110"/>
      <c r="AJ126" s="111"/>
      <c r="AK126" s="111"/>
      <c r="AL126" s="111"/>
      <c r="AM126" s="112"/>
      <c r="AN126" s="110"/>
      <c r="AO126" s="111"/>
      <c r="AP126" s="111"/>
      <c r="AQ126" s="187"/>
      <c r="AR126" s="110"/>
      <c r="AS126" s="111"/>
      <c r="AT126" s="111"/>
      <c r="AU126" s="187"/>
      <c r="AV126" s="110"/>
      <c r="AW126" s="111"/>
      <c r="AX126" s="111"/>
      <c r="AY126" s="111"/>
      <c r="AZ126" s="112"/>
      <c r="BA126" s="113"/>
      <c r="BB126" s="111"/>
      <c r="BC126" s="111"/>
      <c r="BD126" s="111"/>
      <c r="BE126" s="289">
        <f t="shared" si="2"/>
        <v>0</v>
      </c>
    </row>
    <row r="127" spans="2:57" ht="12" customHeight="1" x14ac:dyDescent="0.25">
      <c r="B127" s="6"/>
      <c r="C127" s="379" t="s">
        <v>229</v>
      </c>
      <c r="D127" s="358" t="s">
        <v>191</v>
      </c>
      <c r="E127" s="110"/>
      <c r="F127" s="111"/>
      <c r="G127" s="111"/>
      <c r="H127" s="187"/>
      <c r="I127" s="110"/>
      <c r="J127" s="111"/>
      <c r="K127" s="111"/>
      <c r="L127" s="111"/>
      <c r="M127" s="112"/>
      <c r="N127" s="113"/>
      <c r="O127" s="111"/>
      <c r="P127" s="111"/>
      <c r="Q127" s="187"/>
      <c r="R127" s="110"/>
      <c r="S127" s="111"/>
      <c r="T127" s="111"/>
      <c r="U127" s="187"/>
      <c r="V127" s="110"/>
      <c r="W127" s="111"/>
      <c r="X127" s="111"/>
      <c r="Y127" s="187"/>
      <c r="Z127" s="110"/>
      <c r="AA127" s="111"/>
      <c r="AB127" s="111"/>
      <c r="AC127" s="111"/>
      <c r="AD127" s="112"/>
      <c r="AE127" s="110"/>
      <c r="AF127" s="111"/>
      <c r="AG127" s="111"/>
      <c r="AH127" s="187"/>
      <c r="AI127" s="110"/>
      <c r="AJ127" s="111"/>
      <c r="AK127" s="111"/>
      <c r="AL127" s="111"/>
      <c r="AM127" s="112"/>
      <c r="AN127" s="110"/>
      <c r="AO127" s="111"/>
      <c r="AP127" s="111"/>
      <c r="AQ127" s="187"/>
      <c r="AR127" s="110"/>
      <c r="AS127" s="111"/>
      <c r="AT127" s="111"/>
      <c r="AU127" s="187"/>
      <c r="AV127" s="110"/>
      <c r="AW127" s="111"/>
      <c r="AX127" s="111"/>
      <c r="AY127" s="111"/>
      <c r="AZ127" s="112"/>
      <c r="BA127" s="113"/>
      <c r="BB127" s="111"/>
      <c r="BC127" s="111"/>
      <c r="BD127" s="111"/>
      <c r="BE127" s="289">
        <f t="shared" si="2"/>
        <v>0</v>
      </c>
    </row>
    <row r="128" spans="2:57" ht="12" hidden="1" customHeight="1" x14ac:dyDescent="0.25">
      <c r="B128" s="55" t="s">
        <v>38</v>
      </c>
      <c r="C128" s="395"/>
      <c r="E128" s="110"/>
      <c r="F128" s="111"/>
      <c r="G128" s="111"/>
      <c r="H128" s="187"/>
      <c r="I128" s="110"/>
      <c r="J128" s="111"/>
      <c r="K128" s="111"/>
      <c r="L128" s="111"/>
      <c r="M128" s="112"/>
      <c r="N128" s="113"/>
      <c r="O128" s="111"/>
      <c r="P128" s="111"/>
      <c r="Q128" s="187"/>
      <c r="R128" s="110"/>
      <c r="S128" s="111"/>
      <c r="T128" s="111"/>
      <c r="U128" s="187"/>
      <c r="V128" s="110"/>
      <c r="W128" s="111"/>
      <c r="X128" s="111"/>
      <c r="Y128" s="187"/>
      <c r="Z128" s="110"/>
      <c r="AA128" s="111"/>
      <c r="AB128" s="111"/>
      <c r="AC128" s="111"/>
      <c r="AD128" s="112"/>
      <c r="AE128" s="110"/>
      <c r="AF128" s="111"/>
      <c r="AG128" s="111"/>
      <c r="AH128" s="187"/>
      <c r="AI128" s="110"/>
      <c r="AJ128" s="111"/>
      <c r="AK128" s="111"/>
      <c r="AL128" s="111"/>
      <c r="AM128" s="112"/>
      <c r="AN128" s="110"/>
      <c r="AO128" s="111"/>
      <c r="AP128" s="111"/>
      <c r="AQ128" s="187"/>
      <c r="AR128" s="110"/>
      <c r="AS128" s="111"/>
      <c r="AT128" s="111"/>
      <c r="AU128" s="187"/>
      <c r="AV128" s="110"/>
      <c r="AW128" s="111"/>
      <c r="AX128" s="111"/>
      <c r="AY128" s="111"/>
      <c r="AZ128" s="112"/>
      <c r="BA128" s="113"/>
      <c r="BB128" s="111"/>
      <c r="BC128" s="111"/>
      <c r="BD128" s="111"/>
      <c r="BE128" s="289">
        <f t="shared" si="2"/>
        <v>0</v>
      </c>
    </row>
    <row r="129" spans="2:57" ht="12" customHeight="1" thickBot="1" x14ac:dyDescent="0.3">
      <c r="B129" s="3"/>
      <c r="C129" s="380" t="s">
        <v>230</v>
      </c>
      <c r="D129" s="358" t="s">
        <v>193</v>
      </c>
      <c r="E129" s="147"/>
      <c r="F129" s="148"/>
      <c r="G129" s="148"/>
      <c r="H129" s="193"/>
      <c r="I129" s="147"/>
      <c r="J129" s="148"/>
      <c r="K129" s="148"/>
      <c r="L129" s="148"/>
      <c r="M129" s="149"/>
      <c r="N129" s="176"/>
      <c r="O129" s="148"/>
      <c r="P129" s="148"/>
      <c r="Q129" s="193"/>
      <c r="R129" s="147"/>
      <c r="S129" s="148"/>
      <c r="T129" s="148"/>
      <c r="U129" s="193"/>
      <c r="V129" s="147"/>
      <c r="W129" s="148"/>
      <c r="X129" s="148"/>
      <c r="Y129" s="193"/>
      <c r="Z129" s="147"/>
      <c r="AA129" s="148"/>
      <c r="AB129" s="148"/>
      <c r="AC129" s="148"/>
      <c r="AD129" s="149"/>
      <c r="AE129" s="147"/>
      <c r="AF129" s="148"/>
      <c r="AG129" s="148"/>
      <c r="AH129" s="193"/>
      <c r="AI129" s="147"/>
      <c r="AJ129" s="148"/>
      <c r="AK129" s="148"/>
      <c r="AL129" s="148"/>
      <c r="AM129" s="149"/>
      <c r="AN129" s="147"/>
      <c r="AO129" s="148"/>
      <c r="AP129" s="148"/>
      <c r="AQ129" s="193"/>
      <c r="AR129" s="147"/>
      <c r="AS129" s="148"/>
      <c r="AT129" s="148"/>
      <c r="AU129" s="193"/>
      <c r="AV129" s="147"/>
      <c r="AW129" s="148"/>
      <c r="AX129" s="148"/>
      <c r="AY129" s="148"/>
      <c r="AZ129" s="149"/>
      <c r="BA129" s="176"/>
      <c r="BB129" s="148"/>
      <c r="BC129" s="148"/>
      <c r="BD129" s="148"/>
      <c r="BE129" s="289">
        <f t="shared" si="2"/>
        <v>0</v>
      </c>
    </row>
    <row r="130" spans="2:57" ht="16.5" thickBot="1" x14ac:dyDescent="0.3">
      <c r="B130" s="8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</row>
    <row r="131" spans="2:57" ht="12" hidden="1" customHeight="1" thickBot="1" x14ac:dyDescent="0.3">
      <c r="B131" s="8"/>
      <c r="E131" s="428" t="s">
        <v>15</v>
      </c>
      <c r="F131" s="429"/>
      <c r="G131" s="429"/>
      <c r="H131" s="429"/>
      <c r="I131" s="430"/>
      <c r="J131" s="428" t="s">
        <v>14</v>
      </c>
      <c r="K131" s="429"/>
      <c r="L131" s="429"/>
      <c r="M131" s="430"/>
      <c r="N131" s="425" t="s">
        <v>13</v>
      </c>
      <c r="O131" s="426"/>
      <c r="P131" s="426"/>
      <c r="Q131" s="427"/>
      <c r="R131" s="425" t="s">
        <v>12</v>
      </c>
      <c r="S131" s="426"/>
      <c r="T131" s="426"/>
      <c r="U131" s="426"/>
      <c r="V131" s="427"/>
      <c r="W131" s="425" t="s">
        <v>11</v>
      </c>
      <c r="X131" s="426"/>
      <c r="Y131" s="426"/>
      <c r="Z131" s="427"/>
      <c r="AA131" s="428" t="s">
        <v>10</v>
      </c>
      <c r="AB131" s="429"/>
      <c r="AC131" s="429"/>
      <c r="AD131" s="430"/>
      <c r="AE131" s="425" t="s">
        <v>9</v>
      </c>
      <c r="AF131" s="426"/>
      <c r="AG131" s="426"/>
      <c r="AH131" s="426"/>
      <c r="AI131" s="427"/>
      <c r="AJ131" s="425" t="s">
        <v>8</v>
      </c>
      <c r="AK131" s="426"/>
      <c r="AL131" s="426"/>
      <c r="AM131" s="427"/>
      <c r="AN131" s="428" t="s">
        <v>7</v>
      </c>
      <c r="AO131" s="429"/>
      <c r="AP131" s="429"/>
      <c r="AQ131" s="429"/>
      <c r="AR131" s="430"/>
      <c r="AS131" s="425" t="s">
        <v>6</v>
      </c>
      <c r="AT131" s="426"/>
      <c r="AU131" s="426"/>
      <c r="AV131" s="427"/>
      <c r="AW131" s="425" t="s">
        <v>5</v>
      </c>
      <c r="AX131" s="426"/>
      <c r="AY131" s="426"/>
      <c r="AZ131" s="427"/>
      <c r="BA131" s="428" t="s">
        <v>4</v>
      </c>
      <c r="BB131" s="429"/>
      <c r="BC131" s="429"/>
      <c r="BD131" s="429"/>
      <c r="BE131" s="289">
        <f t="shared" si="2"/>
        <v>12</v>
      </c>
    </row>
    <row r="132" spans="2:57" ht="12" customHeight="1" thickBot="1" x14ac:dyDescent="0.3">
      <c r="B132" s="4"/>
      <c r="C132" s="372" t="s">
        <v>37</v>
      </c>
      <c r="E132" s="94">
        <v>1</v>
      </c>
      <c r="F132" s="95">
        <v>2</v>
      </c>
      <c r="G132" s="95">
        <v>3</v>
      </c>
      <c r="H132" s="95">
        <v>4</v>
      </c>
      <c r="I132" s="95">
        <v>5</v>
      </c>
      <c r="J132" s="95">
        <v>6</v>
      </c>
      <c r="K132" s="95">
        <v>7</v>
      </c>
      <c r="L132" s="95">
        <v>8</v>
      </c>
      <c r="M132" s="95">
        <v>9</v>
      </c>
      <c r="N132" s="95">
        <v>10</v>
      </c>
      <c r="O132" s="95">
        <v>11</v>
      </c>
      <c r="P132" s="95">
        <v>12</v>
      </c>
      <c r="Q132" s="95">
        <v>13</v>
      </c>
      <c r="R132" s="95">
        <v>14</v>
      </c>
      <c r="S132" s="95">
        <v>15</v>
      </c>
      <c r="T132" s="95">
        <v>16</v>
      </c>
      <c r="U132" s="95">
        <v>17</v>
      </c>
      <c r="V132" s="95">
        <v>18</v>
      </c>
      <c r="W132" s="95">
        <v>19</v>
      </c>
      <c r="X132" s="95">
        <v>20</v>
      </c>
      <c r="Y132" s="95">
        <v>21</v>
      </c>
      <c r="Z132" s="95">
        <v>22</v>
      </c>
      <c r="AA132" s="95">
        <v>23</v>
      </c>
      <c r="AB132" s="95">
        <v>24</v>
      </c>
      <c r="AC132" s="95">
        <v>25</v>
      </c>
      <c r="AD132" s="95">
        <v>26</v>
      </c>
      <c r="AE132" s="95">
        <v>27</v>
      </c>
      <c r="AF132" s="95">
        <v>28</v>
      </c>
      <c r="AG132" s="95">
        <v>29</v>
      </c>
      <c r="AH132" s="95">
        <v>30</v>
      </c>
      <c r="AI132" s="95">
        <v>31</v>
      </c>
      <c r="AJ132" s="95">
        <v>32</v>
      </c>
      <c r="AK132" s="95">
        <v>33</v>
      </c>
      <c r="AL132" s="95">
        <v>34</v>
      </c>
      <c r="AM132" s="95">
        <v>35</v>
      </c>
      <c r="AN132" s="95">
        <v>36</v>
      </c>
      <c r="AO132" s="95">
        <v>37</v>
      </c>
      <c r="AP132" s="95">
        <v>38</v>
      </c>
      <c r="AQ132" s="95">
        <v>39</v>
      </c>
      <c r="AR132" s="95">
        <v>40</v>
      </c>
      <c r="AS132" s="95">
        <v>41</v>
      </c>
      <c r="AT132" s="95">
        <v>42</v>
      </c>
      <c r="AU132" s="95">
        <v>43</v>
      </c>
      <c r="AV132" s="95">
        <v>44</v>
      </c>
      <c r="AW132" s="95">
        <v>45</v>
      </c>
      <c r="AX132" s="95">
        <v>46</v>
      </c>
      <c r="AY132" s="95">
        <v>47</v>
      </c>
      <c r="AZ132" s="95">
        <v>48</v>
      </c>
      <c r="BA132" s="95">
        <v>49</v>
      </c>
      <c r="BB132" s="95">
        <v>50</v>
      </c>
      <c r="BC132" s="95">
        <v>51</v>
      </c>
      <c r="BD132" s="95">
        <v>52</v>
      </c>
    </row>
    <row r="133" spans="2:57" ht="12" hidden="1" customHeight="1" x14ac:dyDescent="0.25">
      <c r="B133" s="54" t="s">
        <v>36</v>
      </c>
      <c r="C133" s="396"/>
      <c r="E133" s="102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289">
        <f t="shared" si="2"/>
        <v>0</v>
      </c>
    </row>
    <row r="134" spans="2:57" ht="12" customHeight="1" x14ac:dyDescent="0.25">
      <c r="B134" s="6"/>
      <c r="C134" s="379" t="s">
        <v>233</v>
      </c>
      <c r="D134" s="358" t="s">
        <v>189</v>
      </c>
      <c r="E134" s="154"/>
      <c r="F134" s="107"/>
      <c r="G134" s="107"/>
      <c r="H134" s="186"/>
      <c r="I134" s="154"/>
      <c r="J134" s="107"/>
      <c r="K134" s="107"/>
      <c r="L134" s="107"/>
      <c r="M134" s="108"/>
      <c r="N134" s="113"/>
      <c r="O134" s="111"/>
      <c r="P134" s="111"/>
      <c r="Q134" s="112"/>
      <c r="R134" s="154"/>
      <c r="S134" s="107"/>
      <c r="T134" s="107"/>
      <c r="U134" s="186"/>
      <c r="V134" s="154"/>
      <c r="W134" s="107"/>
      <c r="X134" s="107"/>
      <c r="Y134" s="186"/>
      <c r="Z134" s="154"/>
      <c r="AA134" s="107"/>
      <c r="AB134" s="107"/>
      <c r="AC134" s="107"/>
      <c r="AD134" s="108"/>
      <c r="AE134" s="154"/>
      <c r="AF134" s="107"/>
      <c r="AG134" s="107"/>
      <c r="AH134" s="186"/>
      <c r="AI134" s="154"/>
      <c r="AJ134" s="107"/>
      <c r="AK134" s="107"/>
      <c r="AL134" s="107"/>
      <c r="AM134" s="108"/>
      <c r="AN134" s="154"/>
      <c r="AO134" s="107"/>
      <c r="AP134" s="107"/>
      <c r="AQ134" s="186"/>
      <c r="AR134" s="154"/>
      <c r="AS134" s="107"/>
      <c r="AT134" s="107"/>
      <c r="AU134" s="186"/>
      <c r="AV134" s="154"/>
      <c r="AW134" s="107"/>
      <c r="AX134" s="107"/>
      <c r="AY134" s="107"/>
      <c r="AZ134" s="108"/>
      <c r="BA134" s="113"/>
      <c r="BB134" s="111"/>
      <c r="BC134" s="111"/>
      <c r="BD134" s="111"/>
      <c r="BE134" s="289">
        <f t="shared" si="2"/>
        <v>0</v>
      </c>
    </row>
    <row r="135" spans="2:57" customFormat="1" ht="12" customHeight="1" x14ac:dyDescent="0.25">
      <c r="B135" s="93"/>
      <c r="C135" s="379" t="s">
        <v>234</v>
      </c>
      <c r="D135" s="362" t="s">
        <v>192</v>
      </c>
      <c r="E135" s="352"/>
      <c r="F135" s="353"/>
      <c r="G135" s="353"/>
      <c r="H135" s="354"/>
      <c r="I135" s="352"/>
      <c r="J135" s="353"/>
      <c r="K135" s="353"/>
      <c r="L135" s="353"/>
      <c r="M135" s="112"/>
      <c r="N135" s="355"/>
      <c r="O135" s="353"/>
      <c r="P135" s="353"/>
      <c r="Q135" s="356"/>
      <c r="R135" s="352"/>
      <c r="S135" s="353"/>
      <c r="T135" s="353"/>
      <c r="U135" s="354"/>
      <c r="V135" s="352"/>
      <c r="W135" s="353"/>
      <c r="X135" s="353"/>
      <c r="Y135" s="354"/>
      <c r="Z135" s="110"/>
      <c r="AA135" s="353"/>
      <c r="AB135" s="353"/>
      <c r="AC135" s="353"/>
      <c r="AD135" s="356"/>
      <c r="AE135" s="352"/>
      <c r="AF135" s="353"/>
      <c r="AG135" s="353"/>
      <c r="AH135" s="354"/>
      <c r="AI135" s="352"/>
      <c r="AJ135" s="353"/>
      <c r="AK135" s="353"/>
      <c r="AL135" s="353"/>
      <c r="AM135" s="112"/>
      <c r="AN135" s="352"/>
      <c r="AO135" s="353"/>
      <c r="AP135" s="353"/>
      <c r="AQ135" s="354"/>
      <c r="AR135" s="352"/>
      <c r="AS135" s="353"/>
      <c r="AT135" s="353"/>
      <c r="AU135" s="354"/>
      <c r="AV135" s="352"/>
      <c r="AW135" s="353"/>
      <c r="AX135" s="353"/>
      <c r="AY135" s="353"/>
      <c r="AZ135" s="112"/>
      <c r="BA135" s="355"/>
      <c r="BB135" s="353"/>
      <c r="BC135" s="353"/>
      <c r="BD135" s="353"/>
      <c r="BE135" s="289">
        <f t="shared" si="2"/>
        <v>0</v>
      </c>
    </row>
    <row r="136" spans="2:57" ht="12" hidden="1" customHeight="1" x14ac:dyDescent="0.25">
      <c r="B136" s="54" t="s">
        <v>34</v>
      </c>
      <c r="C136" s="397"/>
      <c r="E136" s="110"/>
      <c r="F136" s="111"/>
      <c r="G136" s="111"/>
      <c r="H136" s="187"/>
      <c r="I136" s="110"/>
      <c r="J136" s="111"/>
      <c r="K136" s="111"/>
      <c r="L136" s="111"/>
      <c r="M136" s="112"/>
      <c r="N136" s="113"/>
      <c r="O136" s="111"/>
      <c r="P136" s="111"/>
      <c r="Q136" s="112"/>
      <c r="R136" s="110"/>
      <c r="S136" s="111"/>
      <c r="T136" s="111"/>
      <c r="U136" s="187"/>
      <c r="V136" s="110"/>
      <c r="W136" s="111"/>
      <c r="X136" s="111"/>
      <c r="Y136" s="187"/>
      <c r="Z136" s="110"/>
      <c r="AA136" s="111"/>
      <c r="AB136" s="111"/>
      <c r="AC136" s="111"/>
      <c r="AD136" s="112"/>
      <c r="AE136" s="110"/>
      <c r="AF136" s="111"/>
      <c r="AG136" s="111"/>
      <c r="AH136" s="187"/>
      <c r="AI136" s="110"/>
      <c r="AJ136" s="111"/>
      <c r="AK136" s="111"/>
      <c r="AL136" s="111"/>
      <c r="AM136" s="112"/>
      <c r="AN136" s="110"/>
      <c r="AO136" s="111"/>
      <c r="AP136" s="111"/>
      <c r="AQ136" s="187"/>
      <c r="AR136" s="110"/>
      <c r="AS136" s="111"/>
      <c r="AT136" s="111"/>
      <c r="AU136" s="187"/>
      <c r="AV136" s="110"/>
      <c r="AW136" s="111"/>
      <c r="AX136" s="111"/>
      <c r="AY136" s="111"/>
      <c r="AZ136" s="112"/>
      <c r="BA136" s="113"/>
      <c r="BB136" s="111"/>
      <c r="BC136" s="111"/>
      <c r="BD136" s="111"/>
      <c r="BE136" s="289">
        <f t="shared" si="2"/>
        <v>0</v>
      </c>
    </row>
    <row r="137" spans="2:57" ht="12" customHeight="1" x14ac:dyDescent="0.25">
      <c r="B137" s="6"/>
      <c r="C137" s="398" t="s">
        <v>33</v>
      </c>
      <c r="D137" s="358" t="s">
        <v>193</v>
      </c>
      <c r="E137" s="318"/>
      <c r="F137" s="348"/>
      <c r="G137" s="348"/>
      <c r="H137" s="350"/>
      <c r="I137" s="318"/>
      <c r="J137" s="348"/>
      <c r="K137" s="348"/>
      <c r="L137" s="348"/>
      <c r="M137" s="349"/>
      <c r="N137" s="351"/>
      <c r="O137" s="348"/>
      <c r="P137" s="348"/>
      <c r="Q137" s="349"/>
      <c r="R137" s="318"/>
      <c r="S137" s="348"/>
      <c r="T137" s="348"/>
      <c r="U137" s="350"/>
      <c r="V137" s="318"/>
      <c r="W137" s="348"/>
      <c r="X137" s="348"/>
      <c r="Y137" s="350"/>
      <c r="Z137" s="318"/>
      <c r="AA137" s="348"/>
      <c r="AB137" s="348"/>
      <c r="AC137" s="348"/>
      <c r="AD137" s="349"/>
      <c r="AE137" s="318"/>
      <c r="AF137" s="348"/>
      <c r="AG137" s="348"/>
      <c r="AH137" s="350"/>
      <c r="AI137" s="318"/>
      <c r="AJ137" s="348"/>
      <c r="AK137" s="348"/>
      <c r="AL137" s="348"/>
      <c r="AM137" s="349"/>
      <c r="AN137" s="318"/>
      <c r="AO137" s="348"/>
      <c r="AP137" s="348"/>
      <c r="AQ137" s="350"/>
      <c r="AR137" s="318"/>
      <c r="AS137" s="348"/>
      <c r="AT137" s="348"/>
      <c r="AU137" s="350"/>
      <c r="AV137" s="318"/>
      <c r="AW137" s="348"/>
      <c r="AX137" s="348"/>
      <c r="AY137" s="348"/>
      <c r="AZ137" s="349"/>
      <c r="BA137" s="351"/>
      <c r="BB137" s="348"/>
      <c r="BC137" s="348"/>
      <c r="BD137" s="348"/>
    </row>
    <row r="138" spans="2:57" ht="12" customHeight="1" x14ac:dyDescent="0.25">
      <c r="B138" s="6"/>
      <c r="C138" s="399"/>
      <c r="E138" s="110"/>
      <c r="F138" s="111"/>
      <c r="G138" s="111"/>
      <c r="H138" s="187"/>
      <c r="I138" s="110"/>
      <c r="J138" s="111"/>
      <c r="K138" s="111"/>
      <c r="L138" s="111"/>
      <c r="M138" s="112"/>
      <c r="N138" s="113"/>
      <c r="O138" s="111"/>
      <c r="P138" s="111"/>
      <c r="Q138" s="112"/>
      <c r="R138" s="110"/>
      <c r="S138" s="111"/>
      <c r="T138" s="111"/>
      <c r="U138" s="187"/>
      <c r="V138" s="110"/>
      <c r="W138" s="111"/>
      <c r="X138" s="111"/>
      <c r="Y138" s="187"/>
      <c r="Z138" s="110"/>
      <c r="AA138" s="111"/>
      <c r="AB138" s="111"/>
      <c r="AC138" s="111"/>
      <c r="AD138" s="112"/>
      <c r="AE138" s="110"/>
      <c r="AF138" s="111"/>
      <c r="AG138" s="111"/>
      <c r="AH138" s="187"/>
      <c r="AI138" s="110"/>
      <c r="AJ138" s="111"/>
      <c r="AK138" s="111"/>
      <c r="AL138" s="111"/>
      <c r="AM138" s="112"/>
      <c r="AN138" s="110"/>
      <c r="AO138" s="111"/>
      <c r="AP138" s="111"/>
      <c r="AQ138" s="187"/>
      <c r="AR138" s="110"/>
      <c r="AS138" s="111"/>
      <c r="AT138" s="111"/>
      <c r="AU138" s="187"/>
      <c r="AV138" s="110"/>
      <c r="AW138" s="111"/>
      <c r="AX138" s="111"/>
      <c r="AY138" s="111"/>
      <c r="AZ138" s="112"/>
      <c r="BA138" s="113"/>
      <c r="BB138" s="111"/>
      <c r="BC138" s="111"/>
      <c r="BD138" s="111"/>
      <c r="BE138" s="289">
        <f t="shared" si="2"/>
        <v>0</v>
      </c>
    </row>
    <row r="139" spans="2:57" ht="12.75" customHeight="1" thickBot="1" x14ac:dyDescent="0.3">
      <c r="B139" s="3"/>
      <c r="C139" s="380"/>
      <c r="E139" s="147"/>
      <c r="F139" s="148"/>
      <c r="G139" s="148"/>
      <c r="H139" s="193"/>
      <c r="I139" s="147"/>
      <c r="J139" s="148"/>
      <c r="K139" s="148"/>
      <c r="L139" s="148"/>
      <c r="M139" s="149"/>
      <c r="N139" s="176"/>
      <c r="O139" s="148"/>
      <c r="P139" s="148"/>
      <c r="Q139" s="149"/>
      <c r="R139" s="147"/>
      <c r="S139" s="148"/>
      <c r="T139" s="148"/>
      <c r="U139" s="193"/>
      <c r="V139" s="147"/>
      <c r="W139" s="148"/>
      <c r="X139" s="148"/>
      <c r="Y139" s="193"/>
      <c r="Z139" s="147"/>
      <c r="AA139" s="148"/>
      <c r="AB139" s="148"/>
      <c r="AC139" s="148"/>
      <c r="AD139" s="149"/>
      <c r="AE139" s="147"/>
      <c r="AF139" s="148"/>
      <c r="AG139" s="148"/>
      <c r="AH139" s="193"/>
      <c r="AI139" s="147"/>
      <c r="AJ139" s="148"/>
      <c r="AK139" s="148"/>
      <c r="AL139" s="148"/>
      <c r="AM139" s="149"/>
      <c r="AN139" s="147"/>
      <c r="AO139" s="148"/>
      <c r="AP139" s="148"/>
      <c r="AQ139" s="193"/>
      <c r="AR139" s="147"/>
      <c r="AS139" s="148"/>
      <c r="AT139" s="148"/>
      <c r="AU139" s="193"/>
      <c r="AV139" s="147"/>
      <c r="AW139" s="148"/>
      <c r="AX139" s="148"/>
      <c r="AY139" s="148"/>
      <c r="AZ139" s="149"/>
      <c r="BA139" s="176"/>
      <c r="BB139" s="148"/>
      <c r="BC139" s="148"/>
      <c r="BD139" s="148"/>
      <c r="BE139" s="289">
        <f t="shared" si="2"/>
        <v>0</v>
      </c>
    </row>
    <row r="140" spans="2:57" ht="12" hidden="1" customHeight="1" thickBot="1" x14ac:dyDescent="0.3">
      <c r="B140" s="8"/>
      <c r="C140" s="381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289">
        <f t="shared" si="2"/>
        <v>0</v>
      </c>
    </row>
    <row r="141" spans="2:57" ht="12" hidden="1" customHeight="1" thickBot="1" x14ac:dyDescent="0.3">
      <c r="B141" s="8"/>
      <c r="E141" s="428" t="s">
        <v>15</v>
      </c>
      <c r="F141" s="429"/>
      <c r="G141" s="429"/>
      <c r="H141" s="429"/>
      <c r="I141" s="430"/>
      <c r="J141" s="428" t="s">
        <v>14</v>
      </c>
      <c r="K141" s="429"/>
      <c r="L141" s="429"/>
      <c r="M141" s="430"/>
      <c r="N141" s="425" t="s">
        <v>13</v>
      </c>
      <c r="O141" s="426"/>
      <c r="P141" s="426"/>
      <c r="Q141" s="427"/>
      <c r="R141" s="425" t="s">
        <v>12</v>
      </c>
      <c r="S141" s="426"/>
      <c r="T141" s="426"/>
      <c r="U141" s="426"/>
      <c r="V141" s="427"/>
      <c r="W141" s="425" t="s">
        <v>11</v>
      </c>
      <c r="X141" s="426"/>
      <c r="Y141" s="426"/>
      <c r="Z141" s="427"/>
      <c r="AA141" s="428" t="s">
        <v>10</v>
      </c>
      <c r="AB141" s="429"/>
      <c r="AC141" s="429"/>
      <c r="AD141" s="430"/>
      <c r="AE141" s="425" t="s">
        <v>9</v>
      </c>
      <c r="AF141" s="426"/>
      <c r="AG141" s="426"/>
      <c r="AH141" s="426"/>
      <c r="AI141" s="427"/>
      <c r="AJ141" s="425" t="s">
        <v>8</v>
      </c>
      <c r="AK141" s="426"/>
      <c r="AL141" s="426"/>
      <c r="AM141" s="427"/>
      <c r="AN141" s="428" t="s">
        <v>7</v>
      </c>
      <c r="AO141" s="429"/>
      <c r="AP141" s="429"/>
      <c r="AQ141" s="429"/>
      <c r="AR141" s="430"/>
      <c r="AS141" s="425" t="s">
        <v>6</v>
      </c>
      <c r="AT141" s="426"/>
      <c r="AU141" s="426"/>
      <c r="AV141" s="427"/>
      <c r="AW141" s="425" t="s">
        <v>5</v>
      </c>
      <c r="AX141" s="426"/>
      <c r="AY141" s="426"/>
      <c r="AZ141" s="427"/>
      <c r="BA141" s="428" t="s">
        <v>4</v>
      </c>
      <c r="BB141" s="429"/>
      <c r="BC141" s="429"/>
      <c r="BD141" s="429"/>
      <c r="BE141" s="289">
        <f t="shared" si="2"/>
        <v>12</v>
      </c>
    </row>
    <row r="142" spans="2:57" ht="12" hidden="1" customHeight="1" thickBot="1" x14ac:dyDescent="0.3">
      <c r="B142" s="37"/>
      <c r="C142" s="372" t="s">
        <v>32</v>
      </c>
      <c r="E142" s="82">
        <v>1</v>
      </c>
      <c r="F142" s="83">
        <v>2</v>
      </c>
      <c r="G142" s="83">
        <v>3</v>
      </c>
      <c r="H142" s="83">
        <v>4</v>
      </c>
      <c r="I142" s="83">
        <v>5</v>
      </c>
      <c r="J142" s="83">
        <v>6</v>
      </c>
      <c r="K142" s="83">
        <v>7</v>
      </c>
      <c r="L142" s="83">
        <v>8</v>
      </c>
      <c r="M142" s="83">
        <v>9</v>
      </c>
      <c r="N142" s="83">
        <v>10</v>
      </c>
      <c r="O142" s="83">
        <v>11</v>
      </c>
      <c r="P142" s="83">
        <v>12</v>
      </c>
      <c r="Q142" s="83">
        <v>13</v>
      </c>
      <c r="R142" s="83">
        <v>14</v>
      </c>
      <c r="S142" s="83">
        <v>15</v>
      </c>
      <c r="T142" s="83">
        <v>16</v>
      </c>
      <c r="U142" s="83">
        <v>17</v>
      </c>
      <c r="V142" s="83">
        <v>18</v>
      </c>
      <c r="W142" s="83">
        <v>19</v>
      </c>
      <c r="X142" s="83">
        <v>20</v>
      </c>
      <c r="Y142" s="83">
        <v>21</v>
      </c>
      <c r="Z142" s="83">
        <v>22</v>
      </c>
      <c r="AA142" s="83">
        <v>23</v>
      </c>
      <c r="AB142" s="83">
        <v>24</v>
      </c>
      <c r="AC142" s="83">
        <v>25</v>
      </c>
      <c r="AD142" s="83">
        <v>26</v>
      </c>
      <c r="AE142" s="83">
        <v>27</v>
      </c>
      <c r="AF142" s="83">
        <v>28</v>
      </c>
      <c r="AG142" s="83">
        <v>29</v>
      </c>
      <c r="AH142" s="83">
        <v>30</v>
      </c>
      <c r="AI142" s="83">
        <v>31</v>
      </c>
      <c r="AJ142" s="83">
        <v>32</v>
      </c>
      <c r="AK142" s="83">
        <v>33</v>
      </c>
      <c r="AL142" s="83">
        <v>34</v>
      </c>
      <c r="AM142" s="83">
        <v>35</v>
      </c>
      <c r="AN142" s="83">
        <v>36</v>
      </c>
      <c r="AO142" s="83">
        <v>37</v>
      </c>
      <c r="AP142" s="83">
        <v>38</v>
      </c>
      <c r="AQ142" s="83">
        <v>39</v>
      </c>
      <c r="AR142" s="83">
        <v>40</v>
      </c>
      <c r="AS142" s="83">
        <v>41</v>
      </c>
      <c r="AT142" s="83">
        <v>42</v>
      </c>
      <c r="AU142" s="83">
        <v>43</v>
      </c>
      <c r="AV142" s="83">
        <v>44</v>
      </c>
      <c r="AW142" s="83">
        <v>45</v>
      </c>
      <c r="AX142" s="83">
        <v>46</v>
      </c>
      <c r="AY142" s="83">
        <v>47</v>
      </c>
      <c r="AZ142" s="83">
        <v>48</v>
      </c>
      <c r="BA142" s="83">
        <v>49</v>
      </c>
      <c r="BB142" s="83">
        <v>50</v>
      </c>
      <c r="BC142" s="83">
        <v>51</v>
      </c>
      <c r="BD142" s="83">
        <v>52</v>
      </c>
      <c r="BE142" s="289">
        <f t="shared" si="2"/>
        <v>52</v>
      </c>
    </row>
    <row r="143" spans="2:57" ht="12" hidden="1" customHeight="1" x14ac:dyDescent="0.25">
      <c r="B143" s="39" t="s">
        <v>31</v>
      </c>
      <c r="C143" s="400"/>
      <c r="E143" s="73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289">
        <f t="shared" si="2"/>
        <v>0</v>
      </c>
    </row>
    <row r="144" spans="2:57" ht="12" hidden="1" customHeight="1" thickBot="1" x14ac:dyDescent="0.3">
      <c r="B144" s="8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89">
        <f t="shared" si="2"/>
        <v>0</v>
      </c>
    </row>
    <row r="145" spans="2:57" ht="16.5" thickBot="1" x14ac:dyDescent="0.3">
      <c r="B145" s="8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</row>
    <row r="146" spans="2:57" ht="12.75" customHeight="1" thickBot="1" x14ac:dyDescent="0.3">
      <c r="B146" s="299"/>
      <c r="C146" s="401" t="s">
        <v>29</v>
      </c>
      <c r="E146" s="80">
        <v>1</v>
      </c>
      <c r="F146" s="81">
        <v>2</v>
      </c>
      <c r="G146" s="81">
        <v>3</v>
      </c>
      <c r="H146" s="81">
        <v>4</v>
      </c>
      <c r="I146" s="81">
        <v>5</v>
      </c>
      <c r="J146" s="81">
        <v>6</v>
      </c>
      <c r="K146" s="81">
        <v>7</v>
      </c>
      <c r="L146" s="81">
        <v>8</v>
      </c>
      <c r="M146" s="81">
        <v>9</v>
      </c>
      <c r="N146" s="81">
        <v>10</v>
      </c>
      <c r="O146" s="81">
        <v>11</v>
      </c>
      <c r="P146" s="81">
        <v>12</v>
      </c>
      <c r="Q146" s="81">
        <v>13</v>
      </c>
      <c r="R146" s="81">
        <v>14</v>
      </c>
      <c r="S146" s="81">
        <v>15</v>
      </c>
      <c r="T146" s="81">
        <v>16</v>
      </c>
      <c r="U146" s="81">
        <v>17</v>
      </c>
      <c r="V146" s="81">
        <v>18</v>
      </c>
      <c r="W146" s="81">
        <v>19</v>
      </c>
      <c r="X146" s="81">
        <v>20</v>
      </c>
      <c r="Y146" s="81">
        <v>21</v>
      </c>
      <c r="Z146" s="81">
        <v>22</v>
      </c>
      <c r="AA146" s="81">
        <v>23</v>
      </c>
      <c r="AB146" s="81">
        <v>24</v>
      </c>
      <c r="AC146" s="81">
        <v>25</v>
      </c>
      <c r="AD146" s="81">
        <v>26</v>
      </c>
      <c r="AE146" s="81">
        <v>27</v>
      </c>
      <c r="AF146" s="81">
        <v>28</v>
      </c>
      <c r="AG146" s="81">
        <v>29</v>
      </c>
      <c r="AH146" s="81">
        <v>30</v>
      </c>
      <c r="AI146" s="81">
        <v>31</v>
      </c>
      <c r="AJ146" s="81">
        <v>32</v>
      </c>
      <c r="AK146" s="81">
        <v>33</v>
      </c>
      <c r="AL146" s="81">
        <v>34</v>
      </c>
      <c r="AM146" s="81">
        <v>35</v>
      </c>
      <c r="AN146" s="81">
        <v>36</v>
      </c>
      <c r="AO146" s="81">
        <v>37</v>
      </c>
      <c r="AP146" s="81">
        <v>38</v>
      </c>
      <c r="AQ146" s="81">
        <v>39</v>
      </c>
      <c r="AR146" s="81">
        <v>40</v>
      </c>
      <c r="AS146" s="81">
        <v>41</v>
      </c>
      <c r="AT146" s="81">
        <v>42</v>
      </c>
      <c r="AU146" s="81">
        <v>43</v>
      </c>
      <c r="AV146" s="81">
        <v>44</v>
      </c>
      <c r="AW146" s="81">
        <v>45</v>
      </c>
      <c r="AX146" s="81">
        <v>46</v>
      </c>
      <c r="AY146" s="81">
        <v>47</v>
      </c>
      <c r="AZ146" s="81">
        <v>48</v>
      </c>
      <c r="BA146" s="81">
        <v>49</v>
      </c>
      <c r="BB146" s="81">
        <v>50</v>
      </c>
      <c r="BC146" s="81">
        <v>51</v>
      </c>
      <c r="BD146" s="81">
        <v>52</v>
      </c>
    </row>
    <row r="147" spans="2:57" ht="12" hidden="1" customHeight="1" x14ac:dyDescent="0.25">
      <c r="B147" s="301" t="s">
        <v>28</v>
      </c>
      <c r="C147" s="402"/>
      <c r="E147" s="75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289">
        <f t="shared" si="2"/>
        <v>0</v>
      </c>
    </row>
    <row r="148" spans="2:57" ht="12" customHeight="1" x14ac:dyDescent="0.25">
      <c r="B148" s="99"/>
      <c r="C148" s="403" t="s">
        <v>254</v>
      </c>
      <c r="D148" s="358" t="s">
        <v>189</v>
      </c>
      <c r="E148" s="154"/>
      <c r="F148" s="107"/>
      <c r="G148" s="107"/>
      <c r="H148" s="186"/>
      <c r="I148" s="154"/>
      <c r="J148" s="107"/>
      <c r="K148" s="107"/>
      <c r="L148" s="107"/>
      <c r="M148" s="108"/>
      <c r="N148" s="177"/>
      <c r="O148" s="107"/>
      <c r="P148" s="107"/>
      <c r="Q148" s="108"/>
      <c r="R148" s="154"/>
      <c r="S148" s="107"/>
      <c r="T148" s="107"/>
      <c r="U148" s="186"/>
      <c r="V148" s="154"/>
      <c r="W148" s="107"/>
      <c r="X148" s="107"/>
      <c r="Y148" s="186"/>
      <c r="Z148" s="154"/>
      <c r="AA148" s="107"/>
      <c r="AB148" s="107"/>
      <c r="AC148" s="107"/>
      <c r="AD148" s="108"/>
      <c r="AE148" s="177"/>
      <c r="AF148" s="107"/>
      <c r="AG148" s="107"/>
      <c r="AH148" s="186"/>
      <c r="AI148" s="154"/>
      <c r="AJ148" s="107"/>
      <c r="AK148" s="107"/>
      <c r="AL148" s="107"/>
      <c r="AM148" s="108"/>
      <c r="AN148" s="154"/>
      <c r="AO148" s="107"/>
      <c r="AP148" s="107"/>
      <c r="AQ148" s="186"/>
      <c r="AR148" s="154"/>
      <c r="AS148" s="107"/>
      <c r="AT148" s="107"/>
      <c r="AU148" s="186"/>
      <c r="AV148" s="154"/>
      <c r="AW148" s="107"/>
      <c r="AX148" s="107"/>
      <c r="AY148" s="107"/>
      <c r="AZ148" s="108"/>
      <c r="BA148" s="177"/>
      <c r="BB148" s="107"/>
      <c r="BC148" s="107"/>
      <c r="BD148" s="107"/>
      <c r="BE148" s="289">
        <f t="shared" si="2"/>
        <v>0</v>
      </c>
    </row>
    <row r="149" spans="2:57" ht="12" hidden="1" customHeight="1" x14ac:dyDescent="0.25">
      <c r="B149" s="304" t="s">
        <v>26</v>
      </c>
      <c r="C149" s="404"/>
      <c r="E149" s="110"/>
      <c r="F149" s="111"/>
      <c r="G149" s="111"/>
      <c r="H149" s="187"/>
      <c r="I149" s="110"/>
      <c r="J149" s="111"/>
      <c r="K149" s="111"/>
      <c r="L149" s="111"/>
      <c r="M149" s="112"/>
      <c r="N149" s="113"/>
      <c r="O149" s="111"/>
      <c r="P149" s="111"/>
      <c r="Q149" s="112"/>
      <c r="R149" s="110"/>
      <c r="S149" s="111"/>
      <c r="T149" s="111"/>
      <c r="U149" s="187"/>
      <c r="V149" s="110"/>
      <c r="W149" s="111"/>
      <c r="X149" s="111"/>
      <c r="Y149" s="187"/>
      <c r="Z149" s="110"/>
      <c r="AA149" s="111"/>
      <c r="AB149" s="111"/>
      <c r="AC149" s="111"/>
      <c r="AD149" s="112"/>
      <c r="AE149" s="113"/>
      <c r="AF149" s="111"/>
      <c r="AG149" s="111"/>
      <c r="AH149" s="187"/>
      <c r="AI149" s="110"/>
      <c r="AJ149" s="111"/>
      <c r="AK149" s="111"/>
      <c r="AL149" s="111"/>
      <c r="AM149" s="112"/>
      <c r="AN149" s="110"/>
      <c r="AO149" s="111"/>
      <c r="AP149" s="111"/>
      <c r="AQ149" s="187"/>
      <c r="AR149" s="110"/>
      <c r="AS149" s="111"/>
      <c r="AT149" s="111"/>
      <c r="AU149" s="187"/>
      <c r="AV149" s="110"/>
      <c r="AW149" s="111"/>
      <c r="AX149" s="111"/>
      <c r="AY149" s="111"/>
      <c r="AZ149" s="112"/>
      <c r="BA149" s="113"/>
      <c r="BB149" s="111"/>
      <c r="BC149" s="111"/>
      <c r="BD149" s="111"/>
      <c r="BE149" s="289">
        <f t="shared" si="2"/>
        <v>0</v>
      </c>
    </row>
    <row r="150" spans="2:57" ht="12" customHeight="1" x14ac:dyDescent="0.25">
      <c r="B150" s="6"/>
      <c r="C150" s="386" t="s">
        <v>235</v>
      </c>
      <c r="D150" s="358" t="s">
        <v>190</v>
      </c>
      <c r="E150" s="110"/>
      <c r="F150" s="111"/>
      <c r="G150" s="111"/>
      <c r="H150" s="194"/>
      <c r="I150" s="110"/>
      <c r="J150" s="111"/>
      <c r="K150" s="111"/>
      <c r="L150" s="111"/>
      <c r="M150" s="112"/>
      <c r="N150" s="113"/>
      <c r="O150" s="111"/>
      <c r="P150" s="111"/>
      <c r="Q150" s="112"/>
      <c r="R150" s="110"/>
      <c r="S150" s="111"/>
      <c r="T150" s="111"/>
      <c r="U150" s="187"/>
      <c r="V150" s="175"/>
      <c r="W150" s="111"/>
      <c r="X150" s="111"/>
      <c r="Y150" s="187"/>
      <c r="Z150" s="110"/>
      <c r="AA150" s="111"/>
      <c r="AB150" s="111"/>
      <c r="AC150" s="111"/>
      <c r="AD150" s="112"/>
      <c r="AE150" s="113"/>
      <c r="AF150" s="111"/>
      <c r="AG150" s="111"/>
      <c r="AH150" s="187"/>
      <c r="AI150" s="175"/>
      <c r="AJ150" s="111"/>
      <c r="AK150" s="111"/>
      <c r="AL150" s="111"/>
      <c r="AM150" s="112"/>
      <c r="AN150" s="110"/>
      <c r="AO150" s="111"/>
      <c r="AP150" s="111"/>
      <c r="AQ150" s="187"/>
      <c r="AR150" s="110"/>
      <c r="AS150" s="111"/>
      <c r="AT150" s="111"/>
      <c r="AU150" s="187"/>
      <c r="AV150" s="110"/>
      <c r="AW150" s="111"/>
      <c r="AX150" s="111"/>
      <c r="AY150" s="111"/>
      <c r="AZ150" s="112"/>
      <c r="BA150" s="113"/>
      <c r="BB150" s="111"/>
      <c r="BC150" s="111"/>
      <c r="BD150" s="111"/>
      <c r="BE150" s="289">
        <f t="shared" si="2"/>
        <v>0</v>
      </c>
    </row>
    <row r="151" spans="2:57" ht="12" customHeight="1" thickBot="1" x14ac:dyDescent="0.3">
      <c r="B151" s="3"/>
      <c r="C151" s="405" t="s">
        <v>108</v>
      </c>
      <c r="E151" s="147"/>
      <c r="F151" s="148"/>
      <c r="G151" s="148"/>
      <c r="H151" s="195"/>
      <c r="I151" s="147"/>
      <c r="J151" s="148"/>
      <c r="K151" s="148"/>
      <c r="L151" s="148"/>
      <c r="M151" s="149"/>
      <c r="N151" s="176"/>
      <c r="O151" s="148"/>
      <c r="P151" s="148"/>
      <c r="Q151" s="149"/>
      <c r="R151" s="147"/>
      <c r="S151" s="148"/>
      <c r="T151" s="148"/>
      <c r="U151" s="193"/>
      <c r="V151" s="226"/>
      <c r="W151" s="148"/>
      <c r="X151" s="148"/>
      <c r="Y151" s="193"/>
      <c r="Z151" s="147"/>
      <c r="AA151" s="148"/>
      <c r="AB151" s="148"/>
      <c r="AC151" s="148"/>
      <c r="AD151" s="149"/>
      <c r="AE151" s="176"/>
      <c r="AF151" s="148"/>
      <c r="AG151" s="148"/>
      <c r="AH151" s="193"/>
      <c r="AI151" s="226"/>
      <c r="AJ151" s="148"/>
      <c r="AK151" s="148"/>
      <c r="AL151" s="148"/>
      <c r="AM151" s="149"/>
      <c r="AN151" s="147"/>
      <c r="AO151" s="148"/>
      <c r="AP151" s="148"/>
      <c r="AQ151" s="193"/>
      <c r="AR151" s="147"/>
      <c r="AS151" s="148"/>
      <c r="AT151" s="148"/>
      <c r="AU151" s="193"/>
      <c r="AV151" s="226"/>
      <c r="AW151" s="148"/>
      <c r="AX151" s="148"/>
      <c r="AY151" s="148"/>
      <c r="AZ151" s="149"/>
      <c r="BA151" s="176"/>
      <c r="BB151" s="148"/>
      <c r="BC151" s="148"/>
      <c r="BD151" s="148"/>
      <c r="BE151" s="289">
        <f t="shared" si="2"/>
        <v>0</v>
      </c>
    </row>
    <row r="152" spans="2:57" ht="16.5" customHeight="1" thickBot="1" x14ac:dyDescent="0.3">
      <c r="B152" s="8"/>
      <c r="C152" s="406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</row>
    <row r="153" spans="2:57" ht="12" hidden="1" customHeight="1" thickBot="1" x14ac:dyDescent="0.3">
      <c r="B153" s="8"/>
      <c r="C153" s="406"/>
      <c r="E153" s="428" t="s">
        <v>15</v>
      </c>
      <c r="F153" s="429"/>
      <c r="G153" s="429"/>
      <c r="H153" s="429"/>
      <c r="I153" s="430"/>
      <c r="J153" s="428" t="s">
        <v>14</v>
      </c>
      <c r="K153" s="429"/>
      <c r="L153" s="429"/>
      <c r="M153" s="430"/>
      <c r="N153" s="425" t="s">
        <v>13</v>
      </c>
      <c r="O153" s="426"/>
      <c r="P153" s="426"/>
      <c r="Q153" s="427"/>
      <c r="R153" s="425" t="s">
        <v>12</v>
      </c>
      <c r="S153" s="426"/>
      <c r="T153" s="426"/>
      <c r="U153" s="426"/>
      <c r="V153" s="427"/>
      <c r="W153" s="425" t="s">
        <v>11</v>
      </c>
      <c r="X153" s="426"/>
      <c r="Y153" s="426"/>
      <c r="Z153" s="427"/>
      <c r="AA153" s="428" t="s">
        <v>10</v>
      </c>
      <c r="AB153" s="429"/>
      <c r="AC153" s="429"/>
      <c r="AD153" s="430"/>
      <c r="AE153" s="425" t="s">
        <v>9</v>
      </c>
      <c r="AF153" s="426"/>
      <c r="AG153" s="426"/>
      <c r="AH153" s="426"/>
      <c r="AI153" s="427"/>
      <c r="AJ153" s="425" t="s">
        <v>8</v>
      </c>
      <c r="AK153" s="426"/>
      <c r="AL153" s="426"/>
      <c r="AM153" s="427"/>
      <c r="AN153" s="428" t="s">
        <v>7</v>
      </c>
      <c r="AO153" s="429"/>
      <c r="AP153" s="429"/>
      <c r="AQ153" s="429"/>
      <c r="AR153" s="430"/>
      <c r="AS153" s="425" t="s">
        <v>6</v>
      </c>
      <c r="AT153" s="426"/>
      <c r="AU153" s="426"/>
      <c r="AV153" s="427"/>
      <c r="AW153" s="425" t="s">
        <v>5</v>
      </c>
      <c r="AX153" s="426"/>
      <c r="AY153" s="426"/>
      <c r="AZ153" s="427"/>
      <c r="BA153" s="428" t="s">
        <v>4</v>
      </c>
      <c r="BB153" s="429"/>
      <c r="BC153" s="429"/>
      <c r="BD153" s="429"/>
      <c r="BE153" s="289">
        <f t="shared" ref="BE153:BE181" si="3">52-COUNTBLANK(E153:BD153)</f>
        <v>12</v>
      </c>
    </row>
    <row r="154" spans="2:57" ht="12" customHeight="1" thickBot="1" x14ac:dyDescent="0.3">
      <c r="B154" s="4"/>
      <c r="C154" s="372" t="s">
        <v>23</v>
      </c>
      <c r="E154" s="80">
        <v>1</v>
      </c>
      <c r="F154" s="81">
        <v>2</v>
      </c>
      <c r="G154" s="81">
        <v>3</v>
      </c>
      <c r="H154" s="81">
        <v>4</v>
      </c>
      <c r="I154" s="81">
        <v>5</v>
      </c>
      <c r="J154" s="81">
        <v>6</v>
      </c>
      <c r="K154" s="81">
        <v>7</v>
      </c>
      <c r="L154" s="81">
        <v>8</v>
      </c>
      <c r="M154" s="81">
        <v>9</v>
      </c>
      <c r="N154" s="81">
        <v>10</v>
      </c>
      <c r="O154" s="81">
        <v>11</v>
      </c>
      <c r="P154" s="81">
        <v>12</v>
      </c>
      <c r="Q154" s="81">
        <v>13</v>
      </c>
      <c r="R154" s="81">
        <v>14</v>
      </c>
      <c r="S154" s="81">
        <v>15</v>
      </c>
      <c r="T154" s="81">
        <v>16</v>
      </c>
      <c r="U154" s="81">
        <v>17</v>
      </c>
      <c r="V154" s="81">
        <v>18</v>
      </c>
      <c r="W154" s="81">
        <v>19</v>
      </c>
      <c r="X154" s="81">
        <v>20</v>
      </c>
      <c r="Y154" s="81">
        <v>21</v>
      </c>
      <c r="Z154" s="81">
        <v>22</v>
      </c>
      <c r="AA154" s="81">
        <v>23</v>
      </c>
      <c r="AB154" s="81">
        <v>24</v>
      </c>
      <c r="AC154" s="81">
        <v>25</v>
      </c>
      <c r="AD154" s="81">
        <v>26</v>
      </c>
      <c r="AE154" s="81">
        <v>27</v>
      </c>
      <c r="AF154" s="81">
        <v>28</v>
      </c>
      <c r="AG154" s="81">
        <v>29</v>
      </c>
      <c r="AH154" s="81">
        <v>30</v>
      </c>
      <c r="AI154" s="81">
        <v>31</v>
      </c>
      <c r="AJ154" s="81">
        <v>32</v>
      </c>
      <c r="AK154" s="81">
        <v>33</v>
      </c>
      <c r="AL154" s="81">
        <v>34</v>
      </c>
      <c r="AM154" s="81">
        <v>35</v>
      </c>
      <c r="AN154" s="81">
        <v>36</v>
      </c>
      <c r="AO154" s="81">
        <v>37</v>
      </c>
      <c r="AP154" s="81">
        <v>38</v>
      </c>
      <c r="AQ154" s="81">
        <v>39</v>
      </c>
      <c r="AR154" s="81">
        <v>40</v>
      </c>
      <c r="AS154" s="81">
        <v>41</v>
      </c>
      <c r="AT154" s="81">
        <v>42</v>
      </c>
      <c r="AU154" s="81">
        <v>43</v>
      </c>
      <c r="AV154" s="81">
        <v>44</v>
      </c>
      <c r="AW154" s="81">
        <v>45</v>
      </c>
      <c r="AX154" s="81">
        <v>46</v>
      </c>
      <c r="AY154" s="81">
        <v>47</v>
      </c>
      <c r="AZ154" s="81">
        <v>48</v>
      </c>
      <c r="BA154" s="81">
        <v>49</v>
      </c>
      <c r="BB154" s="81">
        <v>50</v>
      </c>
      <c r="BC154" s="81">
        <v>51</v>
      </c>
      <c r="BD154" s="81">
        <v>52</v>
      </c>
    </row>
    <row r="155" spans="2:57" ht="12" hidden="1" customHeight="1" x14ac:dyDescent="0.25">
      <c r="B155" s="52" t="s">
        <v>22</v>
      </c>
      <c r="C155" s="407"/>
      <c r="E155" s="78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289">
        <f t="shared" si="3"/>
        <v>0</v>
      </c>
    </row>
    <row r="156" spans="2:57" ht="12" customHeight="1" x14ac:dyDescent="0.25">
      <c r="B156" s="6"/>
      <c r="C156" s="379" t="s">
        <v>236</v>
      </c>
      <c r="D156" s="358" t="s">
        <v>193</v>
      </c>
      <c r="E156" s="164"/>
      <c r="F156" s="165"/>
      <c r="G156" s="165"/>
      <c r="H156" s="196"/>
      <c r="I156" s="164"/>
      <c r="J156" s="165"/>
      <c r="K156" s="165"/>
      <c r="L156" s="165"/>
      <c r="M156" s="166"/>
      <c r="N156" s="178"/>
      <c r="O156" s="107"/>
      <c r="P156" s="165"/>
      <c r="Q156" s="166"/>
      <c r="R156" s="164"/>
      <c r="S156" s="165"/>
      <c r="T156" s="165"/>
      <c r="U156" s="196"/>
      <c r="V156" s="164"/>
      <c r="W156" s="165"/>
      <c r="X156" s="165"/>
      <c r="Y156" s="196"/>
      <c r="Z156" s="164"/>
      <c r="AA156" s="144"/>
      <c r="AB156" s="165"/>
      <c r="AC156" s="165"/>
      <c r="AD156" s="166"/>
      <c r="AE156" s="164"/>
      <c r="AF156" s="165"/>
      <c r="AG156" s="165"/>
      <c r="AH156" s="196"/>
      <c r="AI156" s="164"/>
      <c r="AJ156" s="165"/>
      <c r="AK156" s="165"/>
      <c r="AL156" s="165"/>
      <c r="AM156" s="166"/>
      <c r="AN156" s="164"/>
      <c r="AO156" s="165"/>
      <c r="AP156" s="165"/>
      <c r="AQ156" s="196"/>
      <c r="AR156" s="164"/>
      <c r="AS156" s="165"/>
      <c r="AT156" s="165"/>
      <c r="AU156" s="196"/>
      <c r="AV156" s="164"/>
      <c r="AW156" s="165"/>
      <c r="AX156" s="165"/>
      <c r="AY156" s="165"/>
      <c r="AZ156" s="166"/>
      <c r="BA156" s="178"/>
      <c r="BB156" s="165"/>
      <c r="BC156" s="165"/>
      <c r="BD156" s="165"/>
      <c r="BE156" s="289">
        <f t="shared" si="3"/>
        <v>0</v>
      </c>
    </row>
    <row r="157" spans="2:57" ht="12" customHeight="1" x14ac:dyDescent="0.25">
      <c r="B157" s="5"/>
      <c r="C157" s="378" t="s">
        <v>109</v>
      </c>
      <c r="D157" s="358" t="s">
        <v>192</v>
      </c>
      <c r="E157" s="167"/>
      <c r="F157" s="168"/>
      <c r="G157" s="168"/>
      <c r="H157" s="197"/>
      <c r="I157" s="167"/>
      <c r="J157" s="168"/>
      <c r="K157" s="168"/>
      <c r="L157" s="168"/>
      <c r="M157" s="169"/>
      <c r="N157" s="179"/>
      <c r="O157" s="111"/>
      <c r="P157" s="168"/>
      <c r="Q157" s="169"/>
      <c r="R157" s="167"/>
      <c r="S157" s="168"/>
      <c r="T157" s="168"/>
      <c r="U157" s="197"/>
      <c r="V157" s="167"/>
      <c r="W157" s="168"/>
      <c r="X157" s="168"/>
      <c r="Y157" s="197"/>
      <c r="Z157" s="167"/>
      <c r="AA157" s="168"/>
      <c r="AB157" s="168"/>
      <c r="AC157" s="168"/>
      <c r="AD157" s="169"/>
      <c r="AE157" s="167"/>
      <c r="AF157" s="168"/>
      <c r="AG157" s="168"/>
      <c r="AH157" s="197"/>
      <c r="AI157" s="167"/>
      <c r="AJ157" s="168"/>
      <c r="AK157" s="168"/>
      <c r="AL157" s="168"/>
      <c r="AM157" s="169"/>
      <c r="AN157" s="167"/>
      <c r="AO157" s="111"/>
      <c r="AP157" s="168"/>
      <c r="AQ157" s="197"/>
      <c r="AR157" s="167"/>
      <c r="AS157" s="168"/>
      <c r="AT157" s="168"/>
      <c r="AU157" s="197"/>
      <c r="AV157" s="167"/>
      <c r="AW157" s="168"/>
      <c r="AX157" s="168"/>
      <c r="AY157" s="168"/>
      <c r="AZ157" s="169"/>
      <c r="BA157" s="179"/>
      <c r="BB157" s="168"/>
      <c r="BC157" s="168"/>
      <c r="BD157" s="168"/>
      <c r="BE157" s="289">
        <f t="shared" si="3"/>
        <v>0</v>
      </c>
    </row>
    <row r="158" spans="2:57" ht="12" hidden="1" customHeight="1" x14ac:dyDescent="0.25">
      <c r="B158" s="52" t="s">
        <v>21</v>
      </c>
      <c r="C158" s="408"/>
      <c r="E158" s="167"/>
      <c r="F158" s="168"/>
      <c r="G158" s="168"/>
      <c r="H158" s="197"/>
      <c r="I158" s="167"/>
      <c r="J158" s="168"/>
      <c r="K158" s="168"/>
      <c r="L158" s="168"/>
      <c r="M158" s="169"/>
      <c r="N158" s="179"/>
      <c r="O158" s="168"/>
      <c r="P158" s="168"/>
      <c r="Q158" s="169"/>
      <c r="R158" s="167"/>
      <c r="S158" s="168"/>
      <c r="T158" s="168"/>
      <c r="U158" s="197"/>
      <c r="V158" s="167"/>
      <c r="W158" s="168"/>
      <c r="X158" s="168"/>
      <c r="Y158" s="197"/>
      <c r="Z158" s="167"/>
      <c r="AA158" s="168"/>
      <c r="AB158" s="168"/>
      <c r="AC158" s="168"/>
      <c r="AD158" s="169"/>
      <c r="AE158" s="167"/>
      <c r="AF158" s="168"/>
      <c r="AG158" s="168"/>
      <c r="AH158" s="197"/>
      <c r="AI158" s="167"/>
      <c r="AJ158" s="168"/>
      <c r="AK158" s="168"/>
      <c r="AL158" s="168"/>
      <c r="AM158" s="169"/>
      <c r="AN158" s="167"/>
      <c r="AO158" s="168"/>
      <c r="AP158" s="168"/>
      <c r="AQ158" s="197"/>
      <c r="AR158" s="167"/>
      <c r="AS158" s="168"/>
      <c r="AT158" s="168"/>
      <c r="AU158" s="197"/>
      <c r="AV158" s="167"/>
      <c r="AW158" s="168"/>
      <c r="AX158" s="168"/>
      <c r="AY158" s="168"/>
      <c r="AZ158" s="169"/>
      <c r="BA158" s="179"/>
      <c r="BB158" s="168"/>
      <c r="BC158" s="168"/>
      <c r="BD158" s="168"/>
      <c r="BE158" s="289">
        <f t="shared" si="3"/>
        <v>0</v>
      </c>
    </row>
    <row r="159" spans="2:57" ht="12" customHeight="1" thickBot="1" x14ac:dyDescent="0.3">
      <c r="B159" s="5"/>
      <c r="C159" s="378" t="s">
        <v>238</v>
      </c>
      <c r="D159" s="358" t="s">
        <v>189</v>
      </c>
      <c r="E159" s="170"/>
      <c r="F159" s="171"/>
      <c r="G159" s="171"/>
      <c r="H159" s="198"/>
      <c r="I159" s="170"/>
      <c r="J159" s="171"/>
      <c r="K159" s="171"/>
      <c r="L159" s="148"/>
      <c r="M159" s="173"/>
      <c r="N159" s="180"/>
      <c r="O159" s="171"/>
      <c r="P159" s="171"/>
      <c r="Q159" s="173"/>
      <c r="R159" s="170"/>
      <c r="S159" s="171"/>
      <c r="T159" s="171"/>
      <c r="U159" s="198"/>
      <c r="V159" s="170"/>
      <c r="W159" s="171"/>
      <c r="X159" s="171"/>
      <c r="Y159" s="198"/>
      <c r="Z159" s="170"/>
      <c r="AA159" s="172"/>
      <c r="AB159" s="171"/>
      <c r="AC159" s="171"/>
      <c r="AD159" s="173"/>
      <c r="AE159" s="170"/>
      <c r="AF159" s="171"/>
      <c r="AG159" s="171"/>
      <c r="AH159" s="198"/>
      <c r="AI159" s="170"/>
      <c r="AJ159" s="171"/>
      <c r="AK159" s="171"/>
      <c r="AL159" s="148"/>
      <c r="AM159" s="173"/>
      <c r="AN159" s="170"/>
      <c r="AO159" s="171"/>
      <c r="AP159" s="171"/>
      <c r="AQ159" s="198"/>
      <c r="AR159" s="170"/>
      <c r="AS159" s="171"/>
      <c r="AT159" s="171"/>
      <c r="AU159" s="198"/>
      <c r="AV159" s="170"/>
      <c r="AW159" s="171"/>
      <c r="AX159" s="171"/>
      <c r="AY159" s="171"/>
      <c r="AZ159" s="173"/>
      <c r="BA159" s="199"/>
      <c r="BB159" s="171"/>
      <c r="BC159" s="171"/>
      <c r="BD159" s="171"/>
      <c r="BE159" s="289">
        <f t="shared" si="3"/>
        <v>0</v>
      </c>
    </row>
    <row r="160" spans="2:57" ht="12" customHeight="1" thickBot="1" x14ac:dyDescent="0.3">
      <c r="B160" s="3"/>
      <c r="C160" s="380" t="s">
        <v>237</v>
      </c>
      <c r="D160" s="358" t="s">
        <v>192</v>
      </c>
      <c r="E160" s="170"/>
      <c r="F160" s="171"/>
      <c r="G160" s="171"/>
      <c r="H160" s="198"/>
      <c r="I160" s="170"/>
      <c r="J160" s="171"/>
      <c r="K160" s="171"/>
      <c r="L160" s="148"/>
      <c r="M160" s="173"/>
      <c r="N160" s="180"/>
      <c r="O160" s="171"/>
      <c r="P160" s="171"/>
      <c r="Q160" s="173"/>
      <c r="R160" s="170"/>
      <c r="S160" s="171"/>
      <c r="T160" s="171"/>
      <c r="U160" s="198"/>
      <c r="V160" s="170"/>
      <c r="W160" s="171"/>
      <c r="X160" s="171"/>
      <c r="Y160" s="198"/>
      <c r="Z160" s="170"/>
      <c r="AA160" s="172"/>
      <c r="AB160" s="171"/>
      <c r="AC160" s="171"/>
      <c r="AD160" s="173"/>
      <c r="AE160" s="170"/>
      <c r="AF160" s="171"/>
      <c r="AG160" s="171"/>
      <c r="AH160" s="198"/>
      <c r="AI160" s="170"/>
      <c r="AJ160" s="171"/>
      <c r="AK160" s="171"/>
      <c r="AL160" s="148"/>
      <c r="AM160" s="173"/>
      <c r="AN160" s="170"/>
      <c r="AO160" s="171"/>
      <c r="AP160" s="171"/>
      <c r="AQ160" s="198"/>
      <c r="AR160" s="170"/>
      <c r="AS160" s="171"/>
      <c r="AT160" s="171"/>
      <c r="AU160" s="198"/>
      <c r="AV160" s="170"/>
      <c r="AW160" s="171"/>
      <c r="AX160" s="171"/>
      <c r="AY160" s="171"/>
      <c r="AZ160" s="173"/>
      <c r="BA160" s="199"/>
      <c r="BB160" s="171"/>
      <c r="BC160" s="171"/>
      <c r="BD160" s="171"/>
      <c r="BE160" s="289">
        <f t="shared" si="3"/>
        <v>0</v>
      </c>
    </row>
    <row r="161" spans="2:57" ht="15.75" customHeight="1" thickBot="1" x14ac:dyDescent="0.3">
      <c r="B161" s="8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</row>
    <row r="162" spans="2:57" ht="12" hidden="1" customHeight="1" thickBot="1" x14ac:dyDescent="0.3">
      <c r="B162" s="8"/>
      <c r="E162" s="428" t="s">
        <v>15</v>
      </c>
      <c r="F162" s="429"/>
      <c r="G162" s="429"/>
      <c r="H162" s="429"/>
      <c r="I162" s="430"/>
      <c r="J162" s="428" t="s">
        <v>14</v>
      </c>
      <c r="K162" s="429"/>
      <c r="L162" s="429"/>
      <c r="M162" s="430"/>
      <c r="N162" s="425" t="s">
        <v>13</v>
      </c>
      <c r="O162" s="426"/>
      <c r="P162" s="426"/>
      <c r="Q162" s="427"/>
      <c r="R162" s="425" t="s">
        <v>12</v>
      </c>
      <c r="S162" s="426"/>
      <c r="T162" s="426"/>
      <c r="U162" s="426"/>
      <c r="V162" s="427"/>
      <c r="W162" s="425" t="s">
        <v>11</v>
      </c>
      <c r="X162" s="426"/>
      <c r="Y162" s="426"/>
      <c r="Z162" s="427"/>
      <c r="AA162" s="428" t="s">
        <v>10</v>
      </c>
      <c r="AB162" s="429"/>
      <c r="AC162" s="429"/>
      <c r="AD162" s="430"/>
      <c r="AE162" s="425" t="s">
        <v>9</v>
      </c>
      <c r="AF162" s="426"/>
      <c r="AG162" s="426"/>
      <c r="AH162" s="426"/>
      <c r="AI162" s="427"/>
      <c r="AJ162" s="425" t="s">
        <v>8</v>
      </c>
      <c r="AK162" s="426"/>
      <c r="AL162" s="426"/>
      <c r="AM162" s="427"/>
      <c r="AN162" s="428" t="s">
        <v>7</v>
      </c>
      <c r="AO162" s="429"/>
      <c r="AP162" s="429"/>
      <c r="AQ162" s="429"/>
      <c r="AR162" s="430"/>
      <c r="AS162" s="425" t="s">
        <v>6</v>
      </c>
      <c r="AT162" s="426"/>
      <c r="AU162" s="426"/>
      <c r="AV162" s="427"/>
      <c r="AW162" s="425" t="s">
        <v>5</v>
      </c>
      <c r="AX162" s="426"/>
      <c r="AY162" s="426"/>
      <c r="AZ162" s="427"/>
      <c r="BA162" s="428" t="s">
        <v>4</v>
      </c>
      <c r="BB162" s="429"/>
      <c r="BC162" s="429"/>
      <c r="BD162" s="429"/>
      <c r="BE162" s="289">
        <f t="shared" si="3"/>
        <v>12</v>
      </c>
    </row>
    <row r="163" spans="2:57" ht="12" hidden="1" customHeight="1" thickBot="1" x14ac:dyDescent="0.3">
      <c r="B163" s="8"/>
      <c r="E163" s="181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182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/>
      <c r="AS163" s="182"/>
      <c r="AT163" s="182"/>
      <c r="AU163" s="182"/>
      <c r="AV163" s="182"/>
      <c r="AW163" s="182"/>
      <c r="AX163" s="182"/>
      <c r="AY163" s="182"/>
      <c r="AZ163" s="182"/>
      <c r="BA163" s="182"/>
      <c r="BB163" s="182"/>
      <c r="BC163" s="182"/>
      <c r="BD163" s="182"/>
      <c r="BE163" s="289">
        <f t="shared" si="3"/>
        <v>0</v>
      </c>
    </row>
    <row r="164" spans="2:57" ht="12" hidden="1" customHeight="1" thickBot="1" x14ac:dyDescent="0.3">
      <c r="B164" s="8"/>
      <c r="E164" s="422" t="s">
        <v>15</v>
      </c>
      <c r="F164" s="423"/>
      <c r="G164" s="423"/>
      <c r="H164" s="423"/>
      <c r="I164" s="424"/>
      <c r="J164" s="422" t="s">
        <v>14</v>
      </c>
      <c r="K164" s="423"/>
      <c r="L164" s="423"/>
      <c r="M164" s="424"/>
      <c r="N164" s="419" t="s">
        <v>13</v>
      </c>
      <c r="O164" s="420"/>
      <c r="P164" s="420"/>
      <c r="Q164" s="421"/>
      <c r="R164" s="419" t="s">
        <v>12</v>
      </c>
      <c r="S164" s="420"/>
      <c r="T164" s="420"/>
      <c r="U164" s="420"/>
      <c r="V164" s="421"/>
      <c r="W164" s="419" t="s">
        <v>11</v>
      </c>
      <c r="X164" s="420"/>
      <c r="Y164" s="420"/>
      <c r="Z164" s="421"/>
      <c r="AA164" s="422" t="s">
        <v>10</v>
      </c>
      <c r="AB164" s="423"/>
      <c r="AC164" s="423"/>
      <c r="AD164" s="424"/>
      <c r="AE164" s="419" t="s">
        <v>9</v>
      </c>
      <c r="AF164" s="420"/>
      <c r="AG164" s="420"/>
      <c r="AH164" s="420"/>
      <c r="AI164" s="421"/>
      <c r="AJ164" s="419" t="s">
        <v>8</v>
      </c>
      <c r="AK164" s="420"/>
      <c r="AL164" s="420"/>
      <c r="AM164" s="421"/>
      <c r="AN164" s="422" t="s">
        <v>7</v>
      </c>
      <c r="AO164" s="423"/>
      <c r="AP164" s="423"/>
      <c r="AQ164" s="423"/>
      <c r="AR164" s="424"/>
      <c r="AS164" s="419" t="s">
        <v>6</v>
      </c>
      <c r="AT164" s="420"/>
      <c r="AU164" s="420"/>
      <c r="AV164" s="421"/>
      <c r="AW164" s="419" t="s">
        <v>5</v>
      </c>
      <c r="AX164" s="420"/>
      <c r="AY164" s="420"/>
      <c r="AZ164" s="421"/>
      <c r="BA164" s="422" t="s">
        <v>4</v>
      </c>
      <c r="BB164" s="423"/>
      <c r="BC164" s="423"/>
      <c r="BD164" s="423"/>
      <c r="BE164" s="289">
        <f t="shared" si="3"/>
        <v>12</v>
      </c>
    </row>
    <row r="165" spans="2:57" ht="12" hidden="1" customHeight="1" thickBot="1" x14ac:dyDescent="0.3">
      <c r="B165" s="37"/>
      <c r="C165" s="372" t="s">
        <v>19</v>
      </c>
      <c r="E165" s="84">
        <v>1</v>
      </c>
      <c r="F165" s="85">
        <v>2</v>
      </c>
      <c r="G165" s="85">
        <v>3</v>
      </c>
      <c r="H165" s="85">
        <v>4</v>
      </c>
      <c r="I165" s="85">
        <v>5</v>
      </c>
      <c r="J165" s="85">
        <v>6</v>
      </c>
      <c r="K165" s="85">
        <v>7</v>
      </c>
      <c r="L165" s="85">
        <v>8</v>
      </c>
      <c r="M165" s="85">
        <v>9</v>
      </c>
      <c r="N165" s="85">
        <v>10</v>
      </c>
      <c r="O165" s="85">
        <v>11</v>
      </c>
      <c r="P165" s="85">
        <v>12</v>
      </c>
      <c r="Q165" s="85">
        <v>13</v>
      </c>
      <c r="R165" s="85">
        <v>14</v>
      </c>
      <c r="S165" s="85">
        <v>15</v>
      </c>
      <c r="T165" s="85">
        <v>16</v>
      </c>
      <c r="U165" s="85">
        <v>17</v>
      </c>
      <c r="V165" s="85">
        <v>18</v>
      </c>
      <c r="W165" s="85">
        <v>19</v>
      </c>
      <c r="X165" s="85">
        <v>20</v>
      </c>
      <c r="Y165" s="85">
        <v>21</v>
      </c>
      <c r="Z165" s="85">
        <v>22</v>
      </c>
      <c r="AA165" s="85">
        <v>23</v>
      </c>
      <c r="AB165" s="85">
        <v>24</v>
      </c>
      <c r="AC165" s="85">
        <v>25</v>
      </c>
      <c r="AD165" s="85">
        <v>26</v>
      </c>
      <c r="AE165" s="85">
        <v>27</v>
      </c>
      <c r="AF165" s="85">
        <v>28</v>
      </c>
      <c r="AG165" s="85">
        <v>29</v>
      </c>
      <c r="AH165" s="85">
        <v>30</v>
      </c>
      <c r="AI165" s="85">
        <v>31</v>
      </c>
      <c r="AJ165" s="85">
        <v>32</v>
      </c>
      <c r="AK165" s="85">
        <v>33</v>
      </c>
      <c r="AL165" s="85">
        <v>34</v>
      </c>
      <c r="AM165" s="85">
        <v>35</v>
      </c>
      <c r="AN165" s="85">
        <v>36</v>
      </c>
      <c r="AO165" s="85">
        <v>37</v>
      </c>
      <c r="AP165" s="85">
        <v>38</v>
      </c>
      <c r="AQ165" s="85">
        <v>39</v>
      </c>
      <c r="AR165" s="85">
        <v>40</v>
      </c>
      <c r="AS165" s="85">
        <v>41</v>
      </c>
      <c r="AT165" s="85">
        <v>42</v>
      </c>
      <c r="AU165" s="85">
        <v>43</v>
      </c>
      <c r="AV165" s="85">
        <v>44</v>
      </c>
      <c r="AW165" s="85">
        <v>45</v>
      </c>
      <c r="AX165" s="85">
        <v>46</v>
      </c>
      <c r="AY165" s="85">
        <v>47</v>
      </c>
      <c r="AZ165" s="85">
        <v>48</v>
      </c>
      <c r="BA165" s="85">
        <v>49</v>
      </c>
      <c r="BB165" s="85">
        <v>50</v>
      </c>
      <c r="BC165" s="85">
        <v>51</v>
      </c>
      <c r="BD165" s="85">
        <v>52</v>
      </c>
      <c r="BE165" s="289">
        <f t="shared" si="3"/>
        <v>52</v>
      </c>
    </row>
    <row r="166" spans="2:57" ht="12" hidden="1" customHeight="1" x14ac:dyDescent="0.25">
      <c r="B166" s="38" t="s">
        <v>19</v>
      </c>
      <c r="C166" s="387"/>
      <c r="E166" s="62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289">
        <f t="shared" si="3"/>
        <v>0</v>
      </c>
    </row>
    <row r="167" spans="2:57" ht="12" hidden="1" customHeight="1" thickBot="1" x14ac:dyDescent="0.3">
      <c r="B167" s="8"/>
      <c r="C167" s="380" t="s">
        <v>18</v>
      </c>
      <c r="E167" s="59" t="s">
        <v>0</v>
      </c>
      <c r="F167" s="72"/>
      <c r="G167" s="72"/>
      <c r="H167" s="72"/>
      <c r="I167" s="72"/>
      <c r="J167" s="59" t="s">
        <v>0</v>
      </c>
      <c r="K167" s="72"/>
      <c r="L167" s="72"/>
      <c r="M167" s="72"/>
      <c r="N167" s="59" t="s">
        <v>0</v>
      </c>
      <c r="O167" s="72"/>
      <c r="P167" s="72"/>
      <c r="Q167" s="72"/>
      <c r="R167" s="59" t="s">
        <v>0</v>
      </c>
      <c r="S167" s="72"/>
      <c r="T167" s="72"/>
      <c r="U167" s="72"/>
      <c r="V167" s="72"/>
      <c r="W167" s="59" t="s">
        <v>0</v>
      </c>
      <c r="X167" s="72"/>
      <c r="Y167" s="72"/>
      <c r="Z167" s="72"/>
      <c r="AA167" s="59" t="s">
        <v>0</v>
      </c>
      <c r="AB167" s="72"/>
      <c r="AC167" s="72"/>
      <c r="AD167" s="72"/>
      <c r="AE167" s="59" t="s">
        <v>0</v>
      </c>
      <c r="AF167" s="72"/>
      <c r="AG167" s="72"/>
      <c r="AH167" s="72"/>
      <c r="AI167" s="72"/>
      <c r="AJ167" s="59" t="s">
        <v>0</v>
      </c>
      <c r="AK167" s="72"/>
      <c r="AL167" s="72"/>
      <c r="AM167" s="72"/>
      <c r="AN167" s="59" t="s">
        <v>0</v>
      </c>
      <c r="AO167" s="72"/>
      <c r="AP167" s="72"/>
      <c r="AQ167" s="72"/>
      <c r="AR167" s="72"/>
      <c r="AS167" s="59" t="s">
        <v>0</v>
      </c>
      <c r="AT167" s="72"/>
      <c r="AU167" s="72"/>
      <c r="AV167" s="72"/>
      <c r="AW167" s="59" t="s">
        <v>0</v>
      </c>
      <c r="AX167" s="72"/>
      <c r="AY167" s="72"/>
      <c r="AZ167" s="72"/>
      <c r="BA167" s="59" t="s">
        <v>0</v>
      </c>
      <c r="BB167" s="72"/>
      <c r="BC167" s="72"/>
      <c r="BD167" s="72"/>
      <c r="BE167" s="289">
        <f t="shared" si="3"/>
        <v>12</v>
      </c>
    </row>
    <row r="168" spans="2:57" ht="12" hidden="1" customHeight="1" thickBot="1" x14ac:dyDescent="0.3">
      <c r="B168" s="8"/>
      <c r="E168" s="416" t="s">
        <v>15</v>
      </c>
      <c r="F168" s="417"/>
      <c r="G168" s="417"/>
      <c r="H168" s="417"/>
      <c r="I168" s="418"/>
      <c r="J168" s="416" t="s">
        <v>14</v>
      </c>
      <c r="K168" s="417"/>
      <c r="L168" s="417"/>
      <c r="M168" s="418"/>
      <c r="N168" s="413" t="s">
        <v>13</v>
      </c>
      <c r="O168" s="414"/>
      <c r="P168" s="414"/>
      <c r="Q168" s="415"/>
      <c r="R168" s="413" t="s">
        <v>12</v>
      </c>
      <c r="S168" s="414"/>
      <c r="T168" s="414"/>
      <c r="U168" s="414"/>
      <c r="V168" s="415"/>
      <c r="W168" s="413" t="s">
        <v>11</v>
      </c>
      <c r="X168" s="414"/>
      <c r="Y168" s="414"/>
      <c r="Z168" s="415"/>
      <c r="AA168" s="416" t="s">
        <v>10</v>
      </c>
      <c r="AB168" s="417"/>
      <c r="AC168" s="417"/>
      <c r="AD168" s="418"/>
      <c r="AE168" s="413" t="s">
        <v>9</v>
      </c>
      <c r="AF168" s="414"/>
      <c r="AG168" s="414"/>
      <c r="AH168" s="414"/>
      <c r="AI168" s="415"/>
      <c r="AJ168" s="413" t="s">
        <v>8</v>
      </c>
      <c r="AK168" s="414"/>
      <c r="AL168" s="414"/>
      <c r="AM168" s="415"/>
      <c r="AN168" s="416" t="s">
        <v>7</v>
      </c>
      <c r="AO168" s="417"/>
      <c r="AP168" s="417"/>
      <c r="AQ168" s="417"/>
      <c r="AR168" s="418"/>
      <c r="AS168" s="413" t="s">
        <v>6</v>
      </c>
      <c r="AT168" s="414"/>
      <c r="AU168" s="414"/>
      <c r="AV168" s="415"/>
      <c r="AW168" s="413" t="s">
        <v>5</v>
      </c>
      <c r="AX168" s="414"/>
      <c r="AY168" s="414"/>
      <c r="AZ168" s="415"/>
      <c r="BA168" s="416" t="s">
        <v>4</v>
      </c>
      <c r="BB168" s="417"/>
      <c r="BC168" s="417"/>
      <c r="BD168" s="417"/>
      <c r="BE168" s="289">
        <f t="shared" si="3"/>
        <v>12</v>
      </c>
    </row>
    <row r="169" spans="2:57" ht="12" customHeight="1" thickBot="1" x14ac:dyDescent="0.3">
      <c r="B169" s="4"/>
      <c r="C169" s="372" t="s">
        <v>17</v>
      </c>
      <c r="D169" s="363"/>
      <c r="E169" s="80">
        <v>1</v>
      </c>
      <c r="F169" s="81">
        <v>2</v>
      </c>
      <c r="G169" s="81">
        <v>3</v>
      </c>
      <c r="H169" s="81">
        <v>4</v>
      </c>
      <c r="I169" s="81">
        <v>5</v>
      </c>
      <c r="J169" s="81">
        <v>6</v>
      </c>
      <c r="K169" s="81">
        <v>7</v>
      </c>
      <c r="L169" s="81">
        <v>8</v>
      </c>
      <c r="M169" s="81">
        <v>9</v>
      </c>
      <c r="N169" s="81">
        <v>10</v>
      </c>
      <c r="O169" s="81">
        <v>11</v>
      </c>
      <c r="P169" s="81">
        <v>12</v>
      </c>
      <c r="Q169" s="81">
        <v>13</v>
      </c>
      <c r="R169" s="81">
        <v>14</v>
      </c>
      <c r="S169" s="81">
        <v>15</v>
      </c>
      <c r="T169" s="81">
        <v>16</v>
      </c>
      <c r="U169" s="81">
        <v>17</v>
      </c>
      <c r="V169" s="81">
        <v>18</v>
      </c>
      <c r="W169" s="81">
        <v>19</v>
      </c>
      <c r="X169" s="81">
        <v>20</v>
      </c>
      <c r="Y169" s="81">
        <v>21</v>
      </c>
      <c r="Z169" s="81">
        <v>22</v>
      </c>
      <c r="AA169" s="81">
        <v>23</v>
      </c>
      <c r="AB169" s="81">
        <v>24</v>
      </c>
      <c r="AC169" s="81">
        <v>25</v>
      </c>
      <c r="AD169" s="81">
        <v>26</v>
      </c>
      <c r="AE169" s="81">
        <v>27</v>
      </c>
      <c r="AF169" s="81">
        <v>28</v>
      </c>
      <c r="AG169" s="81">
        <v>29</v>
      </c>
      <c r="AH169" s="81">
        <v>30</v>
      </c>
      <c r="AI169" s="81">
        <v>31</v>
      </c>
      <c r="AJ169" s="81">
        <v>32</v>
      </c>
      <c r="AK169" s="81">
        <v>33</v>
      </c>
      <c r="AL169" s="81">
        <v>34</v>
      </c>
      <c r="AM169" s="81">
        <v>35</v>
      </c>
      <c r="AN169" s="81">
        <v>36</v>
      </c>
      <c r="AO169" s="81">
        <v>37</v>
      </c>
      <c r="AP169" s="81">
        <v>38</v>
      </c>
      <c r="AQ169" s="81">
        <v>39</v>
      </c>
      <c r="AR169" s="81">
        <v>40</v>
      </c>
      <c r="AS169" s="81">
        <v>41</v>
      </c>
      <c r="AT169" s="81">
        <v>42</v>
      </c>
      <c r="AU169" s="81">
        <v>43</v>
      </c>
      <c r="AV169" s="81">
        <v>44</v>
      </c>
      <c r="AW169" s="81">
        <v>45</v>
      </c>
      <c r="AX169" s="81">
        <v>46</v>
      </c>
      <c r="AY169" s="81">
        <v>47</v>
      </c>
      <c r="AZ169" s="81">
        <v>48</v>
      </c>
      <c r="BA169" s="81">
        <v>49</v>
      </c>
      <c r="BB169" s="81">
        <v>50</v>
      </c>
      <c r="BC169" s="81">
        <v>51</v>
      </c>
      <c r="BD169" s="228">
        <v>52</v>
      </c>
    </row>
    <row r="170" spans="2:57" ht="12" hidden="1" customHeight="1" thickBot="1" x14ac:dyDescent="0.3">
      <c r="B170" s="51" t="s">
        <v>16</v>
      </c>
      <c r="C170" s="409"/>
      <c r="D170" s="361"/>
      <c r="E170" s="64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233"/>
      <c r="BE170" s="289">
        <f t="shared" si="3"/>
        <v>0</v>
      </c>
    </row>
    <row r="171" spans="2:57" ht="12" customHeight="1" x14ac:dyDescent="0.25">
      <c r="B171" s="5"/>
      <c r="C171" s="410" t="s">
        <v>255</v>
      </c>
      <c r="D171" s="361" t="s">
        <v>189</v>
      </c>
      <c r="E171" s="174"/>
      <c r="F171" s="107"/>
      <c r="G171" s="107"/>
      <c r="H171" s="186"/>
      <c r="I171" s="154"/>
      <c r="J171" s="107"/>
      <c r="K171" s="107"/>
      <c r="L171" s="107"/>
      <c r="M171" s="108"/>
      <c r="N171" s="177"/>
      <c r="O171" s="107"/>
      <c r="P171" s="107"/>
      <c r="Q171" s="186"/>
      <c r="R171" s="154"/>
      <c r="S171" s="107"/>
      <c r="T171" s="107"/>
      <c r="U171" s="186"/>
      <c r="V171" s="154"/>
      <c r="W171" s="107"/>
      <c r="X171" s="107"/>
      <c r="Y171" s="186"/>
      <c r="Z171" s="154"/>
      <c r="AA171" s="107"/>
      <c r="AB171" s="107"/>
      <c r="AC171" s="107"/>
      <c r="AD171" s="108"/>
      <c r="AE171" s="154"/>
      <c r="AF171" s="107"/>
      <c r="AG171" s="107"/>
      <c r="AH171" s="186"/>
      <c r="AI171" s="154"/>
      <c r="AJ171" s="107"/>
      <c r="AK171" s="107"/>
      <c r="AL171" s="107"/>
      <c r="AM171" s="108"/>
      <c r="AN171" s="154"/>
      <c r="AO171" s="107"/>
      <c r="AP171" s="107"/>
      <c r="AQ171" s="186"/>
      <c r="AR171" s="154"/>
      <c r="AS171" s="107"/>
      <c r="AT171" s="107"/>
      <c r="AU171" s="186"/>
      <c r="AV171" s="154"/>
      <c r="AW171" s="107"/>
      <c r="AX171" s="107"/>
      <c r="AY171" s="107"/>
      <c r="AZ171" s="108"/>
      <c r="BA171" s="177"/>
      <c r="BB171" s="107"/>
      <c r="BC171" s="107"/>
      <c r="BD171" s="108"/>
      <c r="BE171" s="289">
        <f t="shared" si="3"/>
        <v>0</v>
      </c>
    </row>
    <row r="172" spans="2:57" ht="12" customHeight="1" x14ac:dyDescent="0.25">
      <c r="B172" s="5"/>
      <c r="C172" s="398" t="s">
        <v>239</v>
      </c>
      <c r="D172" s="361" t="s">
        <v>190</v>
      </c>
      <c r="E172" s="175"/>
      <c r="F172" s="111"/>
      <c r="G172" s="111"/>
      <c r="H172" s="194"/>
      <c r="I172" s="110"/>
      <c r="J172" s="111"/>
      <c r="K172" s="111"/>
      <c r="L172" s="111"/>
      <c r="M172" s="112"/>
      <c r="N172" s="113"/>
      <c r="O172" s="111"/>
      <c r="P172" s="111"/>
      <c r="Q172" s="187"/>
      <c r="R172" s="110"/>
      <c r="S172" s="111"/>
      <c r="T172" s="111"/>
      <c r="U172" s="194"/>
      <c r="V172" s="110"/>
      <c r="W172" s="111"/>
      <c r="X172" s="111"/>
      <c r="Y172" s="187"/>
      <c r="Z172" s="110"/>
      <c r="AA172" s="111"/>
      <c r="AB172" s="111"/>
      <c r="AC172" s="111"/>
      <c r="AD172" s="112"/>
      <c r="AE172" s="110"/>
      <c r="AF172" s="111"/>
      <c r="AG172" s="111"/>
      <c r="AH172" s="187"/>
      <c r="AI172" s="110"/>
      <c r="AJ172" s="111"/>
      <c r="AK172" s="111"/>
      <c r="AL172" s="111"/>
      <c r="AM172" s="112"/>
      <c r="AN172" s="110"/>
      <c r="AO172" s="111"/>
      <c r="AP172" s="111"/>
      <c r="AQ172" s="187"/>
      <c r="AR172" s="110"/>
      <c r="AS172" s="111"/>
      <c r="AT172" s="111"/>
      <c r="AU172" s="111"/>
      <c r="AV172" s="110"/>
      <c r="AW172" s="111"/>
      <c r="AX172" s="111"/>
      <c r="AY172" s="111"/>
      <c r="AZ172" s="112"/>
      <c r="BA172" s="113"/>
      <c r="BB172" s="111"/>
      <c r="BC172" s="111"/>
      <c r="BD172" s="112"/>
      <c r="BE172" s="289">
        <f t="shared" si="3"/>
        <v>0</v>
      </c>
    </row>
    <row r="173" spans="2:57" ht="12" customHeight="1" thickBot="1" x14ac:dyDescent="0.3">
      <c r="B173" s="3"/>
      <c r="C173" s="380"/>
      <c r="D173" s="364"/>
      <c r="E173" s="147"/>
      <c r="F173" s="148"/>
      <c r="G173" s="148"/>
      <c r="H173" s="195"/>
      <c r="I173" s="147"/>
      <c r="J173" s="148"/>
      <c r="K173" s="148"/>
      <c r="L173" s="148"/>
      <c r="M173" s="149"/>
      <c r="N173" s="176"/>
      <c r="O173" s="148"/>
      <c r="P173" s="148"/>
      <c r="Q173" s="193"/>
      <c r="R173" s="147"/>
      <c r="S173" s="148"/>
      <c r="T173" s="148"/>
      <c r="U173" s="193"/>
      <c r="V173" s="147"/>
      <c r="W173" s="148"/>
      <c r="X173" s="148"/>
      <c r="Y173" s="193"/>
      <c r="Z173" s="147"/>
      <c r="AA173" s="148"/>
      <c r="AB173" s="148"/>
      <c r="AC173" s="148"/>
      <c r="AD173" s="149"/>
      <c r="AE173" s="147"/>
      <c r="AF173" s="148"/>
      <c r="AG173" s="148"/>
      <c r="AH173" s="193"/>
      <c r="AI173" s="147"/>
      <c r="AJ173" s="148"/>
      <c r="AK173" s="148"/>
      <c r="AL173" s="148"/>
      <c r="AM173" s="149"/>
      <c r="AN173" s="147"/>
      <c r="AO173" s="148"/>
      <c r="AP173" s="148"/>
      <c r="AQ173" s="193"/>
      <c r="AR173" s="147"/>
      <c r="AS173" s="148"/>
      <c r="AT173" s="148"/>
      <c r="AU173" s="193"/>
      <c r="AV173" s="147"/>
      <c r="AW173" s="148"/>
      <c r="AX173" s="148"/>
      <c r="AY173" s="148"/>
      <c r="AZ173" s="149"/>
      <c r="BA173" s="176"/>
      <c r="BB173" s="148"/>
      <c r="BC173" s="148"/>
      <c r="BD173" s="149"/>
      <c r="BE173" s="289">
        <f t="shared" si="3"/>
        <v>0</v>
      </c>
    </row>
    <row r="174" spans="2:57" ht="14.25" customHeight="1" thickBot="1" x14ac:dyDescent="0.3">
      <c r="B174" s="8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</row>
    <row r="175" spans="2:57" ht="12" hidden="1" customHeight="1" thickBot="1" x14ac:dyDescent="0.3">
      <c r="B175" s="8"/>
      <c r="E175" s="416" t="s">
        <v>15</v>
      </c>
      <c r="F175" s="417"/>
      <c r="G175" s="417"/>
      <c r="H175" s="417"/>
      <c r="I175" s="418"/>
      <c r="J175" s="416" t="s">
        <v>14</v>
      </c>
      <c r="K175" s="417"/>
      <c r="L175" s="417"/>
      <c r="M175" s="418"/>
      <c r="N175" s="413" t="s">
        <v>13</v>
      </c>
      <c r="O175" s="414"/>
      <c r="P175" s="414"/>
      <c r="Q175" s="415"/>
      <c r="R175" s="413" t="s">
        <v>12</v>
      </c>
      <c r="S175" s="414"/>
      <c r="T175" s="414"/>
      <c r="U175" s="414"/>
      <c r="V175" s="415"/>
      <c r="W175" s="413" t="s">
        <v>11</v>
      </c>
      <c r="X175" s="414"/>
      <c r="Y175" s="414"/>
      <c r="Z175" s="415"/>
      <c r="AA175" s="416" t="s">
        <v>10</v>
      </c>
      <c r="AB175" s="417"/>
      <c r="AC175" s="417"/>
      <c r="AD175" s="418"/>
      <c r="AE175" s="413" t="s">
        <v>9</v>
      </c>
      <c r="AF175" s="414"/>
      <c r="AG175" s="414"/>
      <c r="AH175" s="414"/>
      <c r="AI175" s="415"/>
      <c r="AJ175" s="413" t="s">
        <v>8</v>
      </c>
      <c r="AK175" s="414"/>
      <c r="AL175" s="414"/>
      <c r="AM175" s="415"/>
      <c r="AN175" s="416" t="s">
        <v>7</v>
      </c>
      <c r="AO175" s="417"/>
      <c r="AP175" s="417"/>
      <c r="AQ175" s="417"/>
      <c r="AR175" s="418"/>
      <c r="AS175" s="413" t="s">
        <v>6</v>
      </c>
      <c r="AT175" s="414"/>
      <c r="AU175" s="414"/>
      <c r="AV175" s="415"/>
      <c r="AW175" s="413" t="s">
        <v>5</v>
      </c>
      <c r="AX175" s="414"/>
      <c r="AY175" s="414"/>
      <c r="AZ175" s="415"/>
      <c r="BA175" s="416" t="s">
        <v>4</v>
      </c>
      <c r="BB175" s="417"/>
      <c r="BC175" s="417"/>
      <c r="BD175" s="417"/>
      <c r="BE175" s="289">
        <f t="shared" si="3"/>
        <v>12</v>
      </c>
    </row>
    <row r="176" spans="2:57" ht="12" customHeight="1" thickBot="1" x14ac:dyDescent="0.3">
      <c r="B176" s="4"/>
      <c r="C176" s="372" t="s">
        <v>179</v>
      </c>
      <c r="E176" s="94">
        <v>1</v>
      </c>
      <c r="F176" s="95">
        <v>2</v>
      </c>
      <c r="G176" s="95">
        <v>3</v>
      </c>
      <c r="H176" s="95">
        <v>4</v>
      </c>
      <c r="I176" s="95">
        <v>5</v>
      </c>
      <c r="J176" s="95">
        <v>6</v>
      </c>
      <c r="K176" s="95">
        <v>7</v>
      </c>
      <c r="L176" s="95">
        <v>8</v>
      </c>
      <c r="M176" s="95">
        <v>9</v>
      </c>
      <c r="N176" s="95">
        <v>10</v>
      </c>
      <c r="O176" s="95">
        <v>11</v>
      </c>
      <c r="P176" s="95">
        <v>12</v>
      </c>
      <c r="Q176" s="95">
        <v>13</v>
      </c>
      <c r="R176" s="95">
        <v>14</v>
      </c>
      <c r="S176" s="95">
        <v>15</v>
      </c>
      <c r="T176" s="95">
        <v>16</v>
      </c>
      <c r="U176" s="95">
        <v>17</v>
      </c>
      <c r="V176" s="95">
        <v>18</v>
      </c>
      <c r="W176" s="95">
        <v>19</v>
      </c>
      <c r="X176" s="95">
        <v>20</v>
      </c>
      <c r="Y176" s="95">
        <v>21</v>
      </c>
      <c r="Z176" s="95">
        <v>22</v>
      </c>
      <c r="AA176" s="95">
        <v>23</v>
      </c>
      <c r="AB176" s="95">
        <v>24</v>
      </c>
      <c r="AC176" s="95">
        <v>25</v>
      </c>
      <c r="AD176" s="95">
        <v>26</v>
      </c>
      <c r="AE176" s="95">
        <v>27</v>
      </c>
      <c r="AF176" s="95">
        <v>28</v>
      </c>
      <c r="AG176" s="95">
        <v>29</v>
      </c>
      <c r="AH176" s="95">
        <v>30</v>
      </c>
      <c r="AI176" s="95">
        <v>31</v>
      </c>
      <c r="AJ176" s="95">
        <v>32</v>
      </c>
      <c r="AK176" s="95">
        <v>33</v>
      </c>
      <c r="AL176" s="95">
        <v>34</v>
      </c>
      <c r="AM176" s="95">
        <v>35</v>
      </c>
      <c r="AN176" s="95">
        <v>36</v>
      </c>
      <c r="AO176" s="95">
        <v>37</v>
      </c>
      <c r="AP176" s="95">
        <v>38</v>
      </c>
      <c r="AQ176" s="95">
        <v>39</v>
      </c>
      <c r="AR176" s="95">
        <v>40</v>
      </c>
      <c r="AS176" s="95">
        <v>41</v>
      </c>
      <c r="AT176" s="95">
        <v>42</v>
      </c>
      <c r="AU176" s="95">
        <v>43</v>
      </c>
      <c r="AV176" s="95">
        <v>44</v>
      </c>
      <c r="AW176" s="95">
        <v>45</v>
      </c>
      <c r="AX176" s="95">
        <v>46</v>
      </c>
      <c r="AY176" s="95">
        <v>47</v>
      </c>
      <c r="AZ176" s="95">
        <v>48</v>
      </c>
      <c r="BA176" s="95">
        <v>49</v>
      </c>
      <c r="BB176" s="95">
        <v>50</v>
      </c>
      <c r="BC176" s="95">
        <v>51</v>
      </c>
      <c r="BD176" s="95">
        <v>52</v>
      </c>
    </row>
    <row r="177" spans="2:57" ht="12" hidden="1" customHeight="1" x14ac:dyDescent="0.25">
      <c r="B177" s="6" t="s">
        <v>3</v>
      </c>
      <c r="C177" s="411"/>
      <c r="E177" s="104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289">
        <f t="shared" si="3"/>
        <v>0</v>
      </c>
    </row>
    <row r="178" spans="2:57" ht="12" hidden="1" customHeight="1" x14ac:dyDescent="0.25">
      <c r="B178" s="6" t="s">
        <v>2</v>
      </c>
      <c r="C178" s="412"/>
      <c r="E178" s="110"/>
      <c r="F178" s="111"/>
      <c r="G178" s="111"/>
      <c r="H178" s="187"/>
      <c r="I178" s="110"/>
      <c r="J178" s="111"/>
      <c r="K178" s="111"/>
      <c r="L178" s="111"/>
      <c r="M178" s="112"/>
      <c r="N178" s="113"/>
      <c r="O178" s="111"/>
      <c r="P178" s="111"/>
      <c r="Q178" s="112"/>
      <c r="R178" s="110"/>
      <c r="S178" s="111"/>
      <c r="T178" s="111"/>
      <c r="U178" s="187"/>
      <c r="V178" s="110"/>
      <c r="W178" s="111"/>
      <c r="X178" s="111"/>
      <c r="Y178" s="187"/>
      <c r="Z178" s="110"/>
      <c r="AA178" s="111"/>
      <c r="AB178" s="111"/>
      <c r="AC178" s="111"/>
      <c r="AD178" s="112"/>
      <c r="AE178" s="110"/>
      <c r="AF178" s="111"/>
      <c r="AG178" s="111"/>
      <c r="AH178" s="187"/>
      <c r="AI178" s="110"/>
      <c r="AJ178" s="111"/>
      <c r="AK178" s="111"/>
      <c r="AL178" s="111"/>
      <c r="AM178" s="187"/>
      <c r="AN178" s="110"/>
      <c r="AO178" s="111"/>
      <c r="AP178" s="111"/>
      <c r="AQ178" s="187"/>
      <c r="AR178" s="110"/>
      <c r="AS178" s="111"/>
      <c r="AT178" s="111"/>
      <c r="AU178" s="187"/>
      <c r="AV178" s="110"/>
      <c r="AW178" s="111"/>
      <c r="AX178" s="111"/>
      <c r="AY178" s="111"/>
      <c r="AZ178" s="112"/>
      <c r="BA178" s="113"/>
      <c r="BB178" s="111"/>
      <c r="BC178" s="111"/>
      <c r="BD178" s="111"/>
      <c r="BE178" s="289">
        <f t="shared" si="3"/>
        <v>0</v>
      </c>
    </row>
    <row r="179" spans="2:57" ht="12" customHeight="1" x14ac:dyDescent="0.25">
      <c r="B179" s="6"/>
      <c r="C179" s="399" t="s">
        <v>240</v>
      </c>
      <c r="D179" s="358" t="s">
        <v>189</v>
      </c>
      <c r="E179" s="110"/>
      <c r="F179" s="357"/>
      <c r="G179" s="111"/>
      <c r="H179" s="187"/>
      <c r="I179" s="110"/>
      <c r="J179" s="111"/>
      <c r="K179" s="111"/>
      <c r="L179" s="111"/>
      <c r="M179" s="112"/>
      <c r="N179" s="113"/>
      <c r="O179" s="357"/>
      <c r="P179" s="111"/>
      <c r="Q179" s="112"/>
      <c r="R179" s="110"/>
      <c r="S179" s="111"/>
      <c r="T179" s="111"/>
      <c r="U179" s="187"/>
      <c r="V179" s="110"/>
      <c r="W179" s="111"/>
      <c r="X179" s="111"/>
      <c r="Y179" s="187"/>
      <c r="Z179" s="110"/>
      <c r="AA179" s="111"/>
      <c r="AB179" s="156"/>
      <c r="AC179" s="111"/>
      <c r="AD179" s="112"/>
      <c r="AE179" s="110"/>
      <c r="AF179" s="357"/>
      <c r="AG179" s="111"/>
      <c r="AH179" s="187"/>
      <c r="AI179" s="110"/>
      <c r="AJ179" s="111"/>
      <c r="AK179" s="111"/>
      <c r="AL179" s="111"/>
      <c r="AM179" s="187"/>
      <c r="AN179" s="110"/>
      <c r="AO179" s="111"/>
      <c r="AP179" s="111"/>
      <c r="AQ179" s="187"/>
      <c r="AR179" s="110"/>
      <c r="AS179" s="111"/>
      <c r="AT179" s="111"/>
      <c r="AU179" s="187"/>
      <c r="AV179" s="110"/>
      <c r="AW179" s="111"/>
      <c r="AX179" s="111"/>
      <c r="AY179" s="111"/>
      <c r="AZ179" s="112"/>
      <c r="BA179" s="113"/>
      <c r="BB179" s="156"/>
      <c r="BC179" s="111"/>
      <c r="BD179" s="111"/>
      <c r="BE179" s="289">
        <f t="shared" si="3"/>
        <v>0</v>
      </c>
    </row>
    <row r="180" spans="2:57" ht="12" customHeight="1" x14ac:dyDescent="0.25">
      <c r="B180" s="6"/>
      <c r="C180" s="399" t="s">
        <v>241</v>
      </c>
      <c r="D180" s="358" t="s">
        <v>189</v>
      </c>
      <c r="E180" s="110"/>
      <c r="F180" s="111"/>
      <c r="G180" s="357"/>
      <c r="H180" s="187"/>
      <c r="I180" s="110"/>
      <c r="J180" s="111"/>
      <c r="K180" s="111"/>
      <c r="L180" s="111"/>
      <c r="M180" s="112"/>
      <c r="N180" s="113"/>
      <c r="O180" s="111"/>
      <c r="P180" s="111"/>
      <c r="Q180" s="112"/>
      <c r="R180" s="110"/>
      <c r="S180" s="111"/>
      <c r="T180" s="357"/>
      <c r="U180" s="187"/>
      <c r="V180" s="110"/>
      <c r="W180" s="111"/>
      <c r="X180" s="111"/>
      <c r="Y180" s="187"/>
      <c r="Z180" s="110"/>
      <c r="AA180" s="111"/>
      <c r="AB180" s="111"/>
      <c r="AC180" s="111"/>
      <c r="AD180" s="112"/>
      <c r="AE180" s="110"/>
      <c r="AF180" s="111"/>
      <c r="AG180" s="357"/>
      <c r="AH180" s="187"/>
      <c r="AI180" s="110"/>
      <c r="AJ180" s="111"/>
      <c r="AK180" s="111"/>
      <c r="AL180" s="111"/>
      <c r="AM180" s="187"/>
      <c r="AN180" s="110"/>
      <c r="AO180" s="111"/>
      <c r="AP180" s="111"/>
      <c r="AQ180" s="187"/>
      <c r="AR180" s="110"/>
      <c r="AS180" s="111"/>
      <c r="AT180" s="111"/>
      <c r="AU180" s="187"/>
      <c r="AV180" s="110"/>
      <c r="AW180" s="111"/>
      <c r="AX180" s="111"/>
      <c r="AY180" s="111"/>
      <c r="AZ180" s="112"/>
      <c r="BA180" s="113"/>
      <c r="BB180" s="111"/>
      <c r="BC180" s="111"/>
      <c r="BD180" s="111"/>
      <c r="BE180" s="289">
        <f t="shared" si="3"/>
        <v>0</v>
      </c>
    </row>
    <row r="181" spans="2:57" ht="12" customHeight="1" thickBot="1" x14ac:dyDescent="0.3">
      <c r="B181" s="3"/>
      <c r="C181" s="384" t="s">
        <v>242</v>
      </c>
      <c r="D181" s="358" t="s">
        <v>190</v>
      </c>
      <c r="E181" s="147"/>
      <c r="F181" s="148"/>
      <c r="G181" s="148"/>
      <c r="H181" s="193"/>
      <c r="I181" s="147"/>
      <c r="J181" s="148"/>
      <c r="K181" s="148"/>
      <c r="L181" s="148"/>
      <c r="M181" s="149"/>
      <c r="N181" s="176"/>
      <c r="O181" s="148"/>
      <c r="P181" s="148"/>
      <c r="Q181" s="149"/>
      <c r="R181" s="147"/>
      <c r="S181" s="148"/>
      <c r="T181" s="148"/>
      <c r="U181" s="193"/>
      <c r="V181" s="147"/>
      <c r="W181" s="148"/>
      <c r="X181" s="148"/>
      <c r="Y181" s="193"/>
      <c r="Z181" s="147"/>
      <c r="AA181" s="148"/>
      <c r="AB181" s="158"/>
      <c r="AC181" s="148"/>
      <c r="AD181" s="149"/>
      <c r="AE181" s="147"/>
      <c r="AF181" s="148"/>
      <c r="AG181" s="148"/>
      <c r="AH181" s="193"/>
      <c r="AI181" s="147"/>
      <c r="AJ181" s="148"/>
      <c r="AK181" s="148"/>
      <c r="AL181" s="148"/>
      <c r="AM181" s="193"/>
      <c r="AN181" s="147"/>
      <c r="AO181" s="148"/>
      <c r="AP181" s="148"/>
      <c r="AQ181" s="193"/>
      <c r="AR181" s="147"/>
      <c r="AS181" s="148"/>
      <c r="AT181" s="148"/>
      <c r="AU181" s="193"/>
      <c r="AV181" s="147"/>
      <c r="AW181" s="148"/>
      <c r="AX181" s="148"/>
      <c r="AY181" s="148"/>
      <c r="AZ181" s="149"/>
      <c r="BA181" s="176"/>
      <c r="BB181" s="158"/>
      <c r="BC181" s="148"/>
      <c r="BD181" s="148"/>
      <c r="BE181" s="289">
        <f t="shared" si="3"/>
        <v>0</v>
      </c>
    </row>
    <row r="182" spans="2:57" x14ac:dyDescent="0.25">
      <c r="B182" s="8"/>
    </row>
    <row r="183" spans="2:57" hidden="1" x14ac:dyDescent="0.25">
      <c r="B183" s="8"/>
    </row>
    <row r="184" spans="2:57" hidden="1" x14ac:dyDescent="0.25">
      <c r="B184" s="8"/>
    </row>
    <row r="185" spans="2:57" hidden="1" x14ac:dyDescent="0.25">
      <c r="B185" s="8"/>
    </row>
    <row r="186" spans="2:57" hidden="1" x14ac:dyDescent="0.25">
      <c r="B186" s="8"/>
    </row>
    <row r="187" spans="2:57" hidden="1" x14ac:dyDescent="0.25">
      <c r="B187" s="8"/>
    </row>
    <row r="188" spans="2:57" hidden="1" x14ac:dyDescent="0.25">
      <c r="B188" s="8"/>
    </row>
    <row r="189" spans="2:57" hidden="1" x14ac:dyDescent="0.25">
      <c r="B189" s="8"/>
    </row>
    <row r="190" spans="2:57" hidden="1" x14ac:dyDescent="0.25">
      <c r="B190" s="8"/>
    </row>
    <row r="191" spans="2:57" hidden="1" x14ac:dyDescent="0.25">
      <c r="B191" s="8"/>
    </row>
    <row r="192" spans="2:57" hidden="1" x14ac:dyDescent="0.25">
      <c r="B192" s="8"/>
    </row>
    <row r="193" spans="2:2" hidden="1" x14ac:dyDescent="0.25">
      <c r="B193" s="8"/>
    </row>
    <row r="194" spans="2:2" hidden="1" x14ac:dyDescent="0.25">
      <c r="B194" s="8"/>
    </row>
    <row r="195" spans="2:2" hidden="1" x14ac:dyDescent="0.25">
      <c r="B195" s="8"/>
    </row>
    <row r="196" spans="2:2" hidden="1" x14ac:dyDescent="0.25">
      <c r="B196" s="8"/>
    </row>
    <row r="197" spans="2:2" hidden="1" x14ac:dyDescent="0.25">
      <c r="B197" s="8"/>
    </row>
    <row r="198" spans="2:2" hidden="1" x14ac:dyDescent="0.25">
      <c r="B198" s="8"/>
    </row>
    <row r="199" spans="2:2" hidden="1" x14ac:dyDescent="0.25">
      <c r="B199" s="8"/>
    </row>
    <row r="200" spans="2:2" hidden="1" x14ac:dyDescent="0.25">
      <c r="B200" s="8"/>
    </row>
    <row r="201" spans="2:2" hidden="1" x14ac:dyDescent="0.25">
      <c r="B201" s="8"/>
    </row>
    <row r="202" spans="2:2" hidden="1" x14ac:dyDescent="0.25">
      <c r="B202" s="8"/>
    </row>
    <row r="203" spans="2:2" hidden="1" x14ac:dyDescent="0.25">
      <c r="B203" s="8"/>
    </row>
    <row r="204" spans="2:2" hidden="1" x14ac:dyDescent="0.25">
      <c r="B204" s="8"/>
    </row>
    <row r="205" spans="2:2" hidden="1" x14ac:dyDescent="0.25">
      <c r="B205" s="8"/>
    </row>
    <row r="206" spans="2:2" hidden="1" x14ac:dyDescent="0.25">
      <c r="B206" s="8"/>
    </row>
    <row r="207" spans="2:2" hidden="1" x14ac:dyDescent="0.25">
      <c r="B207" s="8"/>
    </row>
    <row r="208" spans="2:2" hidden="1" x14ac:dyDescent="0.25">
      <c r="B208" s="8"/>
    </row>
    <row r="209" spans="2:2" hidden="1" x14ac:dyDescent="0.25">
      <c r="B209" s="8"/>
    </row>
    <row r="210" spans="2:2" hidden="1" x14ac:dyDescent="0.25">
      <c r="B210" s="8"/>
    </row>
    <row r="211" spans="2:2" hidden="1" x14ac:dyDescent="0.25">
      <c r="B211" s="8"/>
    </row>
    <row r="212" spans="2:2" hidden="1" x14ac:dyDescent="0.25">
      <c r="B212" s="8"/>
    </row>
    <row r="213" spans="2:2" hidden="1" x14ac:dyDescent="0.25">
      <c r="B213" s="8"/>
    </row>
    <row r="214" spans="2:2" hidden="1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</sheetData>
  <mergeCells count="110">
    <mergeCell ref="E117:I117"/>
    <mergeCell ref="J117:M117"/>
    <mergeCell ref="N117:Q117"/>
    <mergeCell ref="R117:V117"/>
    <mergeCell ref="W117:Z117"/>
    <mergeCell ref="AA117:AD117"/>
    <mergeCell ref="Q2:AS2"/>
    <mergeCell ref="E9:BD9"/>
    <mergeCell ref="E10:H10"/>
    <mergeCell ref="I10:M10"/>
    <mergeCell ref="N10:Q10"/>
    <mergeCell ref="R10:U10"/>
    <mergeCell ref="V10:Y10"/>
    <mergeCell ref="Z10:AD10"/>
    <mergeCell ref="AE10:AH10"/>
    <mergeCell ref="AI10:AM10"/>
    <mergeCell ref="AE117:AI117"/>
    <mergeCell ref="AJ117:AM117"/>
    <mergeCell ref="AN117:AR117"/>
    <mergeCell ref="AS117:AV117"/>
    <mergeCell ref="AW117:AZ117"/>
    <mergeCell ref="BA117:BD117"/>
    <mergeCell ref="AN10:AQ10"/>
    <mergeCell ref="AR10:AU10"/>
    <mergeCell ref="AV10:AZ10"/>
    <mergeCell ref="BA10:BD10"/>
    <mergeCell ref="AE131:AI131"/>
    <mergeCell ref="AJ131:AM131"/>
    <mergeCell ref="AN131:AR131"/>
    <mergeCell ref="AS131:AV131"/>
    <mergeCell ref="AW131:AZ131"/>
    <mergeCell ref="BA131:BD131"/>
    <mergeCell ref="E131:I131"/>
    <mergeCell ref="J131:M131"/>
    <mergeCell ref="N131:Q131"/>
    <mergeCell ref="R131:V131"/>
    <mergeCell ref="W131:Z131"/>
    <mergeCell ref="AA131:AD131"/>
    <mergeCell ref="AE141:AI141"/>
    <mergeCell ref="AJ141:AM141"/>
    <mergeCell ref="AN141:AR141"/>
    <mergeCell ref="AS141:AV141"/>
    <mergeCell ref="AW141:AZ141"/>
    <mergeCell ref="BA141:BD141"/>
    <mergeCell ref="E141:I141"/>
    <mergeCell ref="J141:M141"/>
    <mergeCell ref="N141:Q141"/>
    <mergeCell ref="R141:V141"/>
    <mergeCell ref="W141:Z141"/>
    <mergeCell ref="AA141:AD141"/>
    <mergeCell ref="AE153:AI153"/>
    <mergeCell ref="AJ153:AM153"/>
    <mergeCell ref="AN153:AR153"/>
    <mergeCell ref="AS153:AV153"/>
    <mergeCell ref="AW153:AZ153"/>
    <mergeCell ref="BA153:BD153"/>
    <mergeCell ref="E153:I153"/>
    <mergeCell ref="J153:M153"/>
    <mergeCell ref="N153:Q153"/>
    <mergeCell ref="R153:V153"/>
    <mergeCell ref="W153:Z153"/>
    <mergeCell ref="AA153:AD153"/>
    <mergeCell ref="AE162:AI162"/>
    <mergeCell ref="AJ162:AM162"/>
    <mergeCell ref="AN162:AR162"/>
    <mergeCell ref="AS162:AV162"/>
    <mergeCell ref="AW162:AZ162"/>
    <mergeCell ref="BA162:BD162"/>
    <mergeCell ref="E162:I162"/>
    <mergeCell ref="J162:M162"/>
    <mergeCell ref="N162:Q162"/>
    <mergeCell ref="R162:V162"/>
    <mergeCell ref="W162:Z162"/>
    <mergeCell ref="AA162:AD162"/>
    <mergeCell ref="AE164:AI164"/>
    <mergeCell ref="AJ164:AM164"/>
    <mergeCell ref="AN164:AR164"/>
    <mergeCell ref="AS164:AV164"/>
    <mergeCell ref="AW164:AZ164"/>
    <mergeCell ref="BA164:BD164"/>
    <mergeCell ref="E164:I164"/>
    <mergeCell ref="J164:M164"/>
    <mergeCell ref="N164:Q164"/>
    <mergeCell ref="R164:V164"/>
    <mergeCell ref="W164:Z164"/>
    <mergeCell ref="AA164:AD164"/>
    <mergeCell ref="AE168:AI168"/>
    <mergeCell ref="AJ168:AM168"/>
    <mergeCell ref="AN168:AR168"/>
    <mergeCell ref="AS168:AV168"/>
    <mergeCell ref="AW168:AZ168"/>
    <mergeCell ref="BA168:BD168"/>
    <mergeCell ref="E168:I168"/>
    <mergeCell ref="J168:M168"/>
    <mergeCell ref="N168:Q168"/>
    <mergeCell ref="R168:V168"/>
    <mergeCell ref="W168:Z168"/>
    <mergeCell ref="AA168:AD168"/>
    <mergeCell ref="AE175:AI175"/>
    <mergeCell ref="AJ175:AM175"/>
    <mergeCell ref="AN175:AR175"/>
    <mergeCell ref="AS175:AV175"/>
    <mergeCell ref="AW175:AZ175"/>
    <mergeCell ref="BA175:BD175"/>
    <mergeCell ref="E175:I175"/>
    <mergeCell ref="J175:M175"/>
    <mergeCell ref="N175:Q175"/>
    <mergeCell ref="R175:V175"/>
    <mergeCell ref="W175:Z175"/>
    <mergeCell ref="AA175:AD175"/>
  </mergeCells>
  <conditionalFormatting sqref="F19 F24 H22 F28 F22">
    <cfRule type="cellIs" dxfId="158" priority="97" operator="equal">
      <formula>"BV"</formula>
    </cfRule>
  </conditionalFormatting>
  <conditionalFormatting sqref="AU36">
    <cfRule type="cellIs" dxfId="157" priority="96" operator="equal">
      <formula>2</formula>
    </cfRule>
  </conditionalFormatting>
  <conditionalFormatting sqref="E13">
    <cfRule type="containsText" dxfId="156" priority="95" operator="containsText" text="BQ-BV">
      <formula>NOT(ISERROR(SEARCH("BQ-BV",E13)))</formula>
    </cfRule>
  </conditionalFormatting>
  <conditionalFormatting sqref="BB28">
    <cfRule type="cellIs" dxfId="155" priority="94" operator="equal">
      <formula>"BV"</formula>
    </cfRule>
  </conditionalFormatting>
  <conditionalFormatting sqref="B90:B93">
    <cfRule type="containsText" dxfId="154" priority="85" operator="containsText" text="BV">
      <formula>NOT(ISERROR(SEARCH("BV",B90)))</formula>
    </cfRule>
    <cfRule type="containsText" dxfId="153" priority="86" operator="containsText" text="V">
      <formula>NOT(ISERROR(SEARCH("V",B90)))</formula>
    </cfRule>
    <cfRule type="containsText" dxfId="152" priority="87" operator="containsText" text="BQ-BV">
      <formula>NOT(ISERROR(SEARCH("BQ-BV",B90)))</formula>
    </cfRule>
    <cfRule type="containsText" dxfId="151" priority="88" operator="containsText" text="V">
      <formula>NOT(ISERROR(SEARCH("V",B90)))</formula>
    </cfRule>
    <cfRule type="containsText" dxfId="150" priority="89" operator="containsText" text="QB">
      <formula>NOT(ISERROR(SEARCH("QB",B90)))</formula>
    </cfRule>
    <cfRule type="containsText" dxfId="149" priority="90" operator="containsText" text="BQ">
      <formula>NOT(ISERROR(SEARCH("BQ",B90)))</formula>
    </cfRule>
    <cfRule type="containsText" dxfId="148" priority="91" operator="containsText" text="BQ-BV">
      <formula>NOT(ISERROR(SEARCH("BQ-BV",B90)))</formula>
    </cfRule>
    <cfRule type="containsText" dxfId="147" priority="92" operator="containsText" text="BV">
      <formula>NOT(ISERROR(SEARCH("BV",B90)))</formula>
    </cfRule>
    <cfRule type="containsText" dxfId="146" priority="93" operator="containsText" text="BQ">
      <formula>NOT(ISERROR(SEARCH("BQ",B90)))</formula>
    </cfRule>
  </conditionalFormatting>
  <conditionalFormatting sqref="B90:B93">
    <cfRule type="containsText" dxfId="145" priority="84" operator="containsText" text="V">
      <formula>NOT(ISERROR(SEARCH("V",B90)))</formula>
    </cfRule>
  </conditionalFormatting>
  <conditionalFormatting sqref="J28">
    <cfRule type="cellIs" dxfId="144" priority="83" operator="equal">
      <formula>"BV"</formula>
    </cfRule>
  </conditionalFormatting>
  <conditionalFormatting sqref="O28">
    <cfRule type="cellIs" dxfId="143" priority="82" operator="equal">
      <formula>"BV"</formula>
    </cfRule>
  </conditionalFormatting>
  <conditionalFormatting sqref="S28">
    <cfRule type="cellIs" dxfId="142" priority="81" operator="equal">
      <formula>"BV"</formula>
    </cfRule>
  </conditionalFormatting>
  <conditionalFormatting sqref="W28">
    <cfRule type="cellIs" dxfId="141" priority="80" operator="equal">
      <formula>"BV"</formula>
    </cfRule>
  </conditionalFormatting>
  <conditionalFormatting sqref="AA28">
    <cfRule type="cellIs" dxfId="140" priority="79" operator="equal">
      <formula>"BV"</formula>
    </cfRule>
  </conditionalFormatting>
  <conditionalFormatting sqref="AJ28">
    <cfRule type="cellIs" dxfId="139" priority="78" operator="equal">
      <formula>"BV"</formula>
    </cfRule>
  </conditionalFormatting>
  <conditionalFormatting sqref="AO28">
    <cfRule type="cellIs" dxfId="138" priority="77" operator="equal">
      <formula>"BV"</formula>
    </cfRule>
  </conditionalFormatting>
  <conditionalFormatting sqref="AS28">
    <cfRule type="cellIs" dxfId="137" priority="76" operator="equal">
      <formula>"BV"</formula>
    </cfRule>
  </conditionalFormatting>
  <conditionalFormatting sqref="AW28">
    <cfRule type="cellIs" dxfId="136" priority="75" operator="equal">
      <formula>"BV"</formula>
    </cfRule>
  </conditionalFormatting>
  <conditionalFormatting sqref="BB28">
    <cfRule type="cellIs" dxfId="135" priority="74" operator="equal">
      <formula>"BV"</formula>
    </cfRule>
  </conditionalFormatting>
  <conditionalFormatting sqref="K24">
    <cfRule type="cellIs" dxfId="134" priority="73" operator="equal">
      <formula>"BV"</formula>
    </cfRule>
  </conditionalFormatting>
  <conditionalFormatting sqref="O24">
    <cfRule type="cellIs" dxfId="133" priority="72" operator="equal">
      <formula>"BV"</formula>
    </cfRule>
  </conditionalFormatting>
  <conditionalFormatting sqref="S24">
    <cfRule type="cellIs" dxfId="132" priority="71" operator="equal">
      <formula>"BV"</formula>
    </cfRule>
  </conditionalFormatting>
  <conditionalFormatting sqref="X24">
    <cfRule type="cellIs" dxfId="131" priority="70" operator="equal">
      <formula>"BV"</formula>
    </cfRule>
  </conditionalFormatting>
  <conditionalFormatting sqref="AB24">
    <cfRule type="cellIs" dxfId="130" priority="69" operator="equal">
      <formula>"BV"</formula>
    </cfRule>
  </conditionalFormatting>
  <conditionalFormatting sqref="AF24">
    <cfRule type="cellIs" dxfId="129" priority="68" operator="equal">
      <formula>"BV"</formula>
    </cfRule>
  </conditionalFormatting>
  <conditionalFormatting sqref="AK24">
    <cfRule type="cellIs" dxfId="128" priority="67" operator="equal">
      <formula>"BV"</formula>
    </cfRule>
  </conditionalFormatting>
  <conditionalFormatting sqref="AO24">
    <cfRule type="cellIs" dxfId="127" priority="66" operator="equal">
      <formula>"BV"</formula>
    </cfRule>
  </conditionalFormatting>
  <conditionalFormatting sqref="AT24">
    <cfRule type="cellIs" dxfId="126" priority="65" operator="equal">
      <formula>"BV"</formula>
    </cfRule>
  </conditionalFormatting>
  <conditionalFormatting sqref="AX24">
    <cfRule type="cellIs" dxfId="125" priority="64" operator="equal">
      <formula>"BV"</formula>
    </cfRule>
  </conditionalFormatting>
  <conditionalFormatting sqref="BB24">
    <cfRule type="cellIs" dxfId="124" priority="63" operator="equal">
      <formula>"BV"</formula>
    </cfRule>
  </conditionalFormatting>
  <conditionalFormatting sqref="A137:B137 D137:XFD137">
    <cfRule type="containsText" dxfId="123" priority="54" operator="containsText" text="BV">
      <formula>NOT(ISERROR(SEARCH("BV",A137)))</formula>
    </cfRule>
    <cfRule type="containsText" dxfId="122" priority="55" operator="containsText" text="V">
      <formula>NOT(ISERROR(SEARCH("V",A137)))</formula>
    </cfRule>
    <cfRule type="containsText" dxfId="121" priority="56" operator="containsText" text="BQ-BV">
      <formula>NOT(ISERROR(SEARCH("BQ-BV",A137)))</formula>
    </cfRule>
    <cfRule type="containsText" dxfId="120" priority="57" operator="containsText" text="V">
      <formula>NOT(ISERROR(SEARCH("V",A137)))</formula>
    </cfRule>
    <cfRule type="containsText" dxfId="119" priority="58" operator="containsText" text="QB">
      <formula>NOT(ISERROR(SEARCH("QB",A137)))</formula>
    </cfRule>
    <cfRule type="containsText" dxfId="118" priority="59" operator="containsText" text="BQ">
      <formula>NOT(ISERROR(SEARCH("BQ",A137)))</formula>
    </cfRule>
    <cfRule type="containsText" dxfId="117" priority="60" operator="containsText" text="BQ-BV">
      <formula>NOT(ISERROR(SEARCH("BQ-BV",A137)))</formula>
    </cfRule>
    <cfRule type="containsText" dxfId="116" priority="61" operator="containsText" text="BV">
      <formula>NOT(ISERROR(SEARCH("BV",A137)))</formula>
    </cfRule>
    <cfRule type="containsText" dxfId="115" priority="62" operator="containsText" text="BQ">
      <formula>NOT(ISERROR(SEARCH("BQ",A137)))</formula>
    </cfRule>
  </conditionalFormatting>
  <conditionalFormatting sqref="A137:B137 D137:XFD137">
    <cfRule type="containsText" dxfId="114" priority="53" operator="containsText" text="V">
      <formula>NOT(ISERROR(SEARCH("V",A137)))</formula>
    </cfRule>
  </conditionalFormatting>
  <conditionalFormatting sqref="G38">
    <cfRule type="cellIs" dxfId="113" priority="51" operator="equal">
      <formula>"V"</formula>
    </cfRule>
    <cfRule type="cellIs" dxfId="112" priority="52" operator="equal">
      <formula>"BQ"</formula>
    </cfRule>
  </conditionalFormatting>
  <conditionalFormatting sqref="I38">
    <cfRule type="containsText" dxfId="111" priority="42" operator="containsText" text="BV">
      <formula>NOT(ISERROR(SEARCH("BV",I38)))</formula>
    </cfRule>
    <cfRule type="containsText" dxfId="110" priority="43" operator="containsText" text="V">
      <formula>NOT(ISERROR(SEARCH("V",I38)))</formula>
    </cfRule>
    <cfRule type="containsText" dxfId="109" priority="44" operator="containsText" text="BQ-BV">
      <formula>NOT(ISERROR(SEARCH("BQ-BV",I38)))</formula>
    </cfRule>
    <cfRule type="containsText" dxfId="108" priority="45" operator="containsText" text="V">
      <formula>NOT(ISERROR(SEARCH("V",I38)))</formula>
    </cfRule>
    <cfRule type="containsText" dxfId="107" priority="46" operator="containsText" text="QB">
      <formula>NOT(ISERROR(SEARCH("QB",I38)))</formula>
    </cfRule>
    <cfRule type="containsText" dxfId="106" priority="47" operator="containsText" text="BQ">
      <formula>NOT(ISERROR(SEARCH("BQ",I38)))</formula>
    </cfRule>
    <cfRule type="containsText" dxfId="105" priority="48" operator="containsText" text="BQ-BV">
      <formula>NOT(ISERROR(SEARCH("BQ-BV",I38)))</formula>
    </cfRule>
    <cfRule type="containsText" dxfId="104" priority="49" operator="containsText" text="BV">
      <formula>NOT(ISERROR(SEARCH("BV",I38)))</formula>
    </cfRule>
    <cfRule type="containsText" dxfId="103" priority="50" operator="containsText" text="BQ">
      <formula>NOT(ISERROR(SEARCH("BQ",I38)))</formula>
    </cfRule>
  </conditionalFormatting>
  <conditionalFormatting sqref="I38">
    <cfRule type="containsText" dxfId="102" priority="41" operator="containsText" text="V">
      <formula>NOT(ISERROR(SEARCH("V",I38)))</formula>
    </cfRule>
  </conditionalFormatting>
  <conditionalFormatting sqref="A40:B42 D40:XFD41 E42:XFD42">
    <cfRule type="containsText" dxfId="101" priority="31" operator="containsText" text="V">
      <formula>NOT(ISERROR(SEARCH("V",A40)))</formula>
    </cfRule>
  </conditionalFormatting>
  <conditionalFormatting sqref="D42">
    <cfRule type="containsText" dxfId="100" priority="21" operator="containsText" text="V">
      <formula>NOT(ISERROR(SEARCH("V",D42)))</formula>
    </cfRule>
  </conditionalFormatting>
  <conditionalFormatting sqref="A40:B42 D40:XFD41 E42:XFD42">
    <cfRule type="containsText" dxfId="99" priority="32" operator="containsText" text="BV">
      <formula>NOT(ISERROR(SEARCH("BV",A40)))</formula>
    </cfRule>
    <cfRule type="containsText" dxfId="98" priority="33" operator="containsText" text="V">
      <formula>NOT(ISERROR(SEARCH("V",A40)))</formula>
    </cfRule>
    <cfRule type="containsText" dxfId="97" priority="34" operator="containsText" text="BQ-BV">
      <formula>NOT(ISERROR(SEARCH("BQ-BV",A40)))</formula>
    </cfRule>
    <cfRule type="containsText" dxfId="96" priority="35" operator="containsText" text="V">
      <formula>NOT(ISERROR(SEARCH("V",A40)))</formula>
    </cfRule>
    <cfRule type="containsText" dxfId="95" priority="36" operator="containsText" text="QB">
      <formula>NOT(ISERROR(SEARCH("QB",A40)))</formula>
    </cfRule>
    <cfRule type="containsText" dxfId="94" priority="37" operator="containsText" text="BQ">
      <formula>NOT(ISERROR(SEARCH("BQ",A40)))</formula>
    </cfRule>
    <cfRule type="containsText" dxfId="93" priority="38" operator="containsText" text="BQ-BV">
      <formula>NOT(ISERROR(SEARCH("BQ-BV",A40)))</formula>
    </cfRule>
    <cfRule type="containsText" dxfId="92" priority="39" operator="containsText" text="BV">
      <formula>NOT(ISERROR(SEARCH("BV",A40)))</formula>
    </cfRule>
    <cfRule type="containsText" dxfId="91" priority="40" operator="containsText" text="BQ">
      <formula>NOT(ISERROR(SEARCH("BQ",A40)))</formula>
    </cfRule>
  </conditionalFormatting>
  <conditionalFormatting sqref="D42">
    <cfRule type="containsText" dxfId="90" priority="22" operator="containsText" text="BV">
      <formula>NOT(ISERROR(SEARCH("BV",D42)))</formula>
    </cfRule>
    <cfRule type="containsText" dxfId="89" priority="23" operator="containsText" text="V">
      <formula>NOT(ISERROR(SEARCH("V",D42)))</formula>
    </cfRule>
    <cfRule type="containsText" dxfId="88" priority="24" operator="containsText" text="BQ-BV">
      <formula>NOT(ISERROR(SEARCH("BQ-BV",D42)))</formula>
    </cfRule>
    <cfRule type="containsText" dxfId="87" priority="25" operator="containsText" text="V">
      <formula>NOT(ISERROR(SEARCH("V",D42)))</formula>
    </cfRule>
    <cfRule type="containsText" dxfId="86" priority="26" operator="containsText" text="QB">
      <formula>NOT(ISERROR(SEARCH("QB",D42)))</formula>
    </cfRule>
    <cfRule type="containsText" dxfId="85" priority="27" operator="containsText" text="BQ">
      <formula>NOT(ISERROR(SEARCH("BQ",D42)))</formula>
    </cfRule>
    <cfRule type="containsText" dxfId="84" priority="28" operator="containsText" text="BQ-BV">
      <formula>NOT(ISERROR(SEARCH("BQ-BV",D42)))</formula>
    </cfRule>
    <cfRule type="containsText" dxfId="83" priority="29" operator="containsText" text="BV">
      <formula>NOT(ISERROR(SEARCH("BV",D42)))</formula>
    </cfRule>
    <cfRule type="containsText" dxfId="82" priority="30" operator="containsText" text="BQ">
      <formula>NOT(ISERROR(SEARCH("BQ",D42)))</formula>
    </cfRule>
  </conditionalFormatting>
  <conditionalFormatting sqref="D93">
    <cfRule type="containsText" dxfId="81" priority="12" operator="containsText" text="BV">
      <formula>NOT(ISERROR(SEARCH("BV",D93)))</formula>
    </cfRule>
    <cfRule type="containsText" dxfId="80" priority="13" operator="containsText" text="V">
      <formula>NOT(ISERROR(SEARCH("V",D93)))</formula>
    </cfRule>
    <cfRule type="containsText" dxfId="79" priority="14" operator="containsText" text="BQ-BV">
      <formula>NOT(ISERROR(SEARCH("BQ-BV",D93)))</formula>
    </cfRule>
    <cfRule type="containsText" dxfId="78" priority="15" operator="containsText" text="V">
      <formula>NOT(ISERROR(SEARCH("V",D93)))</formula>
    </cfRule>
    <cfRule type="containsText" dxfId="77" priority="16" operator="containsText" text="QB">
      <formula>NOT(ISERROR(SEARCH("QB",D93)))</formula>
    </cfRule>
    <cfRule type="containsText" dxfId="76" priority="17" operator="containsText" text="BQ">
      <formula>NOT(ISERROR(SEARCH("BQ",D93)))</formula>
    </cfRule>
    <cfRule type="containsText" dxfId="75" priority="18" operator="containsText" text="BQ-BV">
      <formula>NOT(ISERROR(SEARCH("BQ-BV",D93)))</formula>
    </cfRule>
    <cfRule type="containsText" dxfId="74" priority="19" operator="containsText" text="BV">
      <formula>NOT(ISERROR(SEARCH("BV",D93)))</formula>
    </cfRule>
    <cfRule type="containsText" dxfId="73" priority="20" operator="containsText" text="BQ">
      <formula>NOT(ISERROR(SEARCH("BQ",D93)))</formula>
    </cfRule>
  </conditionalFormatting>
  <conditionalFormatting sqref="D93">
    <cfRule type="containsText" dxfId="72" priority="11" operator="containsText" text="V">
      <formula>NOT(ISERROR(SEARCH("V",D93)))</formula>
    </cfRule>
  </conditionalFormatting>
  <conditionalFormatting sqref="A123:B125 D123:XFD125">
    <cfRule type="containsText" dxfId="71" priority="2" operator="containsText" text="BV">
      <formula>NOT(ISERROR(SEARCH("BV",A123)))</formula>
    </cfRule>
    <cfRule type="containsText" dxfId="70" priority="3" operator="containsText" text="V">
      <formula>NOT(ISERROR(SEARCH("V",A123)))</formula>
    </cfRule>
    <cfRule type="containsText" dxfId="69" priority="4" operator="containsText" text="BQ-BV">
      <formula>NOT(ISERROR(SEARCH("BQ-BV",A123)))</formula>
    </cfRule>
    <cfRule type="containsText" dxfId="68" priority="5" operator="containsText" text="V">
      <formula>NOT(ISERROR(SEARCH("V",A123)))</formula>
    </cfRule>
    <cfRule type="containsText" dxfId="67" priority="6" operator="containsText" text="QB">
      <formula>NOT(ISERROR(SEARCH("QB",A123)))</formula>
    </cfRule>
    <cfRule type="containsText" dxfId="66" priority="7" operator="containsText" text="BQ">
      <formula>NOT(ISERROR(SEARCH("BQ",A123)))</formula>
    </cfRule>
    <cfRule type="containsText" dxfId="65" priority="8" operator="containsText" text="BQ-BV">
      <formula>NOT(ISERROR(SEARCH("BQ-BV",A123)))</formula>
    </cfRule>
    <cfRule type="containsText" dxfId="64" priority="9" operator="containsText" text="BV">
      <formula>NOT(ISERROR(SEARCH("BV",A123)))</formula>
    </cfRule>
    <cfRule type="containsText" dxfId="63" priority="10" operator="containsText" text="BQ">
      <formula>NOT(ISERROR(SEARCH("BQ",A123)))</formula>
    </cfRule>
  </conditionalFormatting>
  <conditionalFormatting sqref="A123:B125 D123:XFD125">
    <cfRule type="containsText" dxfId="62" priority="1" operator="containsText" text="V">
      <formula>NOT(ISERROR(SEARCH("V",A123)))</formula>
    </cfRule>
  </conditionalFormatting>
  <printOptions horizontalCentered="1" verticalCentered="1"/>
  <pageMargins left="0.70866141732283472" right="0.70866141732283472" top="0.74803149606299213" bottom="0.59055118110236227" header="0.31496062992125984" footer="0.31496062992125984"/>
  <pageSetup paperSize="17" scale="36" orientation="landscape" r:id="rId1"/>
  <headerFooter>
    <oddFooter>&amp;L&amp;F&amp;RHoja &amp;P de &amp;N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278"/>
  <sheetViews>
    <sheetView view="pageBreakPreview" topLeftCell="A32" zoomScale="70" zoomScaleNormal="85" zoomScaleSheetLayoutView="70" workbookViewId="0">
      <selection activeCell="F13" sqref="F13"/>
    </sheetView>
  </sheetViews>
  <sheetFormatPr baseColWidth="10" defaultColWidth="0" defaultRowHeight="15.75" zeroHeight="1" x14ac:dyDescent="0.25"/>
  <cols>
    <col min="1" max="1" width="3.6640625" style="2" customWidth="1"/>
    <col min="2" max="2" width="1.77734375" style="40" customWidth="1"/>
    <col min="3" max="3" width="54.5546875" style="20" customWidth="1"/>
    <col min="4" max="4" width="4" style="2" customWidth="1"/>
    <col min="5" max="5" width="7.5546875" style="1" bestFit="1" customWidth="1"/>
    <col min="6" max="6" width="7.33203125" style="1" customWidth="1"/>
    <col min="7" max="7" width="7.5546875" style="1" customWidth="1"/>
    <col min="8" max="10" width="7.5546875" style="1" bestFit="1" customWidth="1"/>
    <col min="11" max="53" width="0" style="1" hidden="1" customWidth="1"/>
    <col min="54" max="253" width="11.5546875" style="1" hidden="1" customWidth="1"/>
    <col min="254" max="16384" width="0" style="1" hidden="1"/>
  </cols>
  <sheetData>
    <row r="1" spans="2:10" s="2" customFormat="1" hidden="1" x14ac:dyDescent="0.25">
      <c r="B1" s="35"/>
      <c r="C1" s="17"/>
    </row>
    <row r="2" spans="2:10" s="2" customFormat="1" ht="26.25" x14ac:dyDescent="0.25">
      <c r="B2" s="35"/>
      <c r="C2" s="286" t="s">
        <v>87</v>
      </c>
    </row>
    <row r="3" spans="2:10" s="2" customFormat="1" ht="26.25" x14ac:dyDescent="0.25">
      <c r="B3" s="35"/>
      <c r="C3" s="227" t="s">
        <v>158</v>
      </c>
      <c r="D3" s="227"/>
    </row>
    <row r="4" spans="2:10" s="2" customFormat="1" ht="26.25" x14ac:dyDescent="0.25">
      <c r="B4" s="35"/>
      <c r="C4" s="286" t="s">
        <v>141</v>
      </c>
    </row>
    <row r="5" spans="2:10" s="2" customFormat="1" ht="26.25" x14ac:dyDescent="0.25">
      <c r="B5" s="35"/>
      <c r="C5" s="286" t="s">
        <v>148</v>
      </c>
      <c r="J5" s="229"/>
    </row>
    <row r="6" spans="2:10" s="2" customFormat="1" ht="16.5" thickBot="1" x14ac:dyDescent="0.3">
      <c r="B6" s="35"/>
      <c r="C6" s="13"/>
      <c r="J6" s="229"/>
    </row>
    <row r="7" spans="2:10" s="2" customFormat="1" ht="16.5" hidden="1" thickBot="1" x14ac:dyDescent="0.3">
      <c r="B7" s="35"/>
      <c r="C7" s="17"/>
      <c r="J7" s="229"/>
    </row>
    <row r="8" spans="2:10" s="2" customFormat="1" ht="16.5" hidden="1" thickBot="1" x14ac:dyDescent="0.3">
      <c r="B8" s="35"/>
      <c r="C8" s="17"/>
      <c r="J8" s="229"/>
    </row>
    <row r="9" spans="2:10" ht="26.25" customHeight="1" thickBot="1" x14ac:dyDescent="0.3">
      <c r="B9" s="35"/>
      <c r="C9" s="17"/>
      <c r="E9" s="307"/>
      <c r="F9" s="308"/>
      <c r="G9" s="308"/>
      <c r="H9" s="308"/>
      <c r="I9" s="309"/>
      <c r="J9" s="229"/>
    </row>
    <row r="10" spans="2:10" ht="16.5" thickBot="1" x14ac:dyDescent="0.3">
      <c r="B10" s="35"/>
      <c r="C10" s="17"/>
      <c r="E10" s="431" t="s">
        <v>14</v>
      </c>
      <c r="F10" s="432"/>
      <c r="G10" s="432"/>
      <c r="H10" s="432"/>
      <c r="I10" s="433"/>
      <c r="J10" s="229"/>
    </row>
    <row r="11" spans="2:10" ht="16.5" thickBot="1" x14ac:dyDescent="0.3">
      <c r="B11" s="42"/>
      <c r="C11" s="23" t="s">
        <v>159</v>
      </c>
      <c r="E11" s="15">
        <v>5</v>
      </c>
      <c r="F11" s="15">
        <v>6</v>
      </c>
      <c r="G11" s="15">
        <v>7</v>
      </c>
      <c r="H11" s="15">
        <v>8</v>
      </c>
      <c r="I11" s="15">
        <v>9</v>
      </c>
      <c r="J11" s="229"/>
    </row>
    <row r="12" spans="2:10" ht="16.5" hidden="1" thickBot="1" x14ac:dyDescent="0.3">
      <c r="B12" s="41" t="s">
        <v>86</v>
      </c>
      <c r="C12" s="18"/>
      <c r="E12" s="11"/>
      <c r="F12" s="11"/>
      <c r="G12" s="11"/>
      <c r="H12" s="11"/>
      <c r="I12" s="11"/>
      <c r="J12" s="229"/>
    </row>
    <row r="13" spans="2:10" ht="12" customHeight="1" x14ac:dyDescent="0.25">
      <c r="B13" s="99"/>
      <c r="C13" s="100" t="s">
        <v>85</v>
      </c>
      <c r="E13" s="222"/>
      <c r="F13" s="109" t="s">
        <v>136</v>
      </c>
      <c r="G13" s="107"/>
      <c r="H13" s="107"/>
      <c r="I13" s="108"/>
      <c r="J13" s="229"/>
    </row>
    <row r="14" spans="2:10" ht="12" customHeight="1" x14ac:dyDescent="0.25">
      <c r="B14" s="6"/>
      <c r="C14" s="24" t="s">
        <v>84</v>
      </c>
      <c r="E14" s="110"/>
      <c r="F14" s="113"/>
      <c r="G14" s="111"/>
      <c r="H14" s="111"/>
      <c r="I14" s="112"/>
      <c r="J14" s="229"/>
    </row>
    <row r="15" spans="2:10" ht="12" hidden="1" customHeight="1" x14ac:dyDescent="0.25">
      <c r="B15" s="41" t="s">
        <v>83</v>
      </c>
      <c r="C15" s="18"/>
      <c r="E15" s="115"/>
      <c r="F15" s="118"/>
      <c r="G15" s="116"/>
      <c r="H15" s="116"/>
      <c r="I15" s="117"/>
      <c r="J15" s="229"/>
    </row>
    <row r="16" spans="2:10" ht="12" customHeight="1" x14ac:dyDescent="0.25">
      <c r="B16" s="6"/>
      <c r="C16" s="25" t="s">
        <v>82</v>
      </c>
      <c r="E16" s="123"/>
      <c r="F16" s="122" t="s">
        <v>136</v>
      </c>
      <c r="G16" s="120"/>
      <c r="H16" s="120"/>
      <c r="I16" s="121"/>
      <c r="J16" s="229"/>
    </row>
    <row r="17" spans="2:10" ht="12" customHeight="1" x14ac:dyDescent="0.25">
      <c r="B17" s="6"/>
      <c r="C17" s="24" t="s">
        <v>81</v>
      </c>
      <c r="E17" s="123"/>
      <c r="F17" s="124"/>
      <c r="G17" s="120"/>
      <c r="H17" s="120"/>
      <c r="I17" s="121"/>
      <c r="J17" s="229"/>
    </row>
    <row r="18" spans="2:10" ht="12" hidden="1" customHeight="1" x14ac:dyDescent="0.25">
      <c r="B18" s="41" t="s">
        <v>80</v>
      </c>
      <c r="C18" s="18"/>
      <c r="E18" s="115"/>
      <c r="F18" s="118"/>
      <c r="G18" s="116"/>
      <c r="H18" s="116"/>
      <c r="I18" s="117"/>
      <c r="J18" s="229"/>
    </row>
    <row r="19" spans="2:10" ht="12" customHeight="1" x14ac:dyDescent="0.25">
      <c r="B19" s="6"/>
      <c r="C19" s="24" t="s">
        <v>131</v>
      </c>
      <c r="E19" s="110"/>
      <c r="F19" s="113"/>
      <c r="G19" s="114" t="s">
        <v>136</v>
      </c>
      <c r="H19" s="111"/>
      <c r="I19" s="112"/>
      <c r="J19" s="229"/>
    </row>
    <row r="20" spans="2:10" ht="12" customHeight="1" x14ac:dyDescent="0.25">
      <c r="B20" s="6"/>
      <c r="C20" s="184" t="s">
        <v>132</v>
      </c>
      <c r="E20" s="110"/>
      <c r="F20" s="113"/>
      <c r="G20" s="111"/>
      <c r="H20" s="111"/>
      <c r="I20" s="112"/>
      <c r="J20" s="229"/>
    </row>
    <row r="21" spans="2:10" hidden="1" x14ac:dyDescent="0.25">
      <c r="B21" s="41" t="s">
        <v>79</v>
      </c>
      <c r="C21" s="18"/>
      <c r="E21" s="115"/>
      <c r="F21" s="118"/>
      <c r="G21" s="116"/>
      <c r="H21" s="116"/>
      <c r="I21" s="117"/>
      <c r="J21" s="229"/>
    </row>
    <row r="22" spans="2:10" ht="12" customHeight="1" x14ac:dyDescent="0.25">
      <c r="B22" s="6"/>
      <c r="C22" s="24" t="s">
        <v>78</v>
      </c>
      <c r="E22" s="110"/>
      <c r="F22" s="113"/>
      <c r="G22" s="111"/>
      <c r="H22" s="111"/>
      <c r="I22" s="112"/>
      <c r="J22" s="229"/>
    </row>
    <row r="23" spans="2:10" ht="12" hidden="1" customHeight="1" x14ac:dyDescent="0.25">
      <c r="B23" s="41" t="s">
        <v>77</v>
      </c>
      <c r="C23" s="18"/>
      <c r="E23" s="115"/>
      <c r="F23" s="118"/>
      <c r="G23" s="116"/>
      <c r="H23" s="116"/>
      <c r="I23" s="117"/>
      <c r="J23" s="229"/>
    </row>
    <row r="24" spans="2:10" ht="12" customHeight="1" x14ac:dyDescent="0.25">
      <c r="B24" s="6"/>
      <c r="C24" s="24" t="s">
        <v>133</v>
      </c>
      <c r="E24" s="110"/>
      <c r="F24" s="113"/>
      <c r="G24" s="150" t="s">
        <v>160</v>
      </c>
      <c r="H24" s="111"/>
      <c r="I24" s="112"/>
      <c r="J24" s="229"/>
    </row>
    <row r="25" spans="2:10" ht="12" customHeight="1" x14ac:dyDescent="0.25">
      <c r="B25" s="6"/>
      <c r="C25" s="24" t="s">
        <v>76</v>
      </c>
      <c r="E25" s="110"/>
      <c r="F25" s="113"/>
      <c r="G25" s="111"/>
      <c r="H25" s="111"/>
      <c r="I25" s="112"/>
      <c r="J25" s="229"/>
    </row>
    <row r="26" spans="2:10" ht="12" customHeight="1" x14ac:dyDescent="0.25">
      <c r="B26" s="6"/>
      <c r="C26" s="24" t="s">
        <v>75</v>
      </c>
      <c r="E26" s="110"/>
      <c r="F26" s="113"/>
      <c r="G26" s="111"/>
      <c r="H26" s="224"/>
      <c r="I26" s="112"/>
      <c r="J26" s="229"/>
    </row>
    <row r="27" spans="2:10" ht="12" hidden="1" customHeight="1" x14ac:dyDescent="0.25">
      <c r="B27" s="41" t="s">
        <v>74</v>
      </c>
      <c r="C27" s="18"/>
      <c r="E27" s="115"/>
      <c r="F27" s="118"/>
      <c r="G27" s="116"/>
      <c r="H27" s="116"/>
      <c r="I27" s="117"/>
      <c r="J27" s="229"/>
    </row>
    <row r="28" spans="2:10" ht="12" customHeight="1" x14ac:dyDescent="0.25">
      <c r="B28" s="5"/>
      <c r="C28" s="87" t="s">
        <v>93</v>
      </c>
      <c r="E28" s="110"/>
      <c r="F28" s="150" t="s">
        <v>89</v>
      </c>
      <c r="G28" s="111"/>
      <c r="H28" s="111"/>
      <c r="I28" s="112"/>
      <c r="J28" s="229"/>
    </row>
    <row r="29" spans="2:10" ht="12" customHeight="1" x14ac:dyDescent="0.25">
      <c r="B29" s="5"/>
      <c r="C29" s="24" t="s">
        <v>161</v>
      </c>
      <c r="E29" s="110"/>
      <c r="F29" s="113"/>
      <c r="G29" s="111"/>
      <c r="H29" s="111"/>
      <c r="I29" s="112"/>
      <c r="J29" s="229"/>
    </row>
    <row r="30" spans="2:10" ht="12" customHeight="1" x14ac:dyDescent="0.25">
      <c r="B30" s="5"/>
      <c r="C30" s="24" t="s">
        <v>73</v>
      </c>
      <c r="E30" s="110"/>
      <c r="F30" s="113"/>
      <c r="G30" s="111"/>
      <c r="H30" s="111"/>
      <c r="I30" s="112"/>
      <c r="J30" s="229"/>
    </row>
    <row r="31" spans="2:10" ht="12" hidden="1" customHeight="1" x14ac:dyDescent="0.25">
      <c r="B31" s="41" t="s">
        <v>72</v>
      </c>
      <c r="C31" s="18"/>
      <c r="E31" s="115"/>
      <c r="F31" s="118"/>
      <c r="G31" s="116"/>
      <c r="H31" s="116"/>
      <c r="I31" s="117"/>
      <c r="J31" s="229"/>
    </row>
    <row r="32" spans="2:10" ht="12" customHeight="1" x14ac:dyDescent="0.25">
      <c r="B32" s="6"/>
      <c r="C32" s="25" t="s">
        <v>134</v>
      </c>
      <c r="E32" s="110"/>
      <c r="F32" s="113"/>
      <c r="G32" s="114" t="s">
        <v>91</v>
      </c>
      <c r="H32" s="111"/>
      <c r="I32" s="112"/>
      <c r="J32" s="229"/>
    </row>
    <row r="33" spans="1:10" ht="12" customHeight="1" x14ac:dyDescent="0.25">
      <c r="B33" s="6"/>
      <c r="C33" s="25" t="s">
        <v>162</v>
      </c>
      <c r="E33" s="110"/>
      <c r="F33" s="113"/>
      <c r="G33" s="111"/>
      <c r="H33" s="111"/>
      <c r="I33" s="112"/>
      <c r="J33" s="229"/>
    </row>
    <row r="34" spans="1:10" ht="12" customHeight="1" thickBot="1" x14ac:dyDescent="0.3">
      <c r="B34" s="3"/>
      <c r="C34" s="26" t="s">
        <v>71</v>
      </c>
      <c r="E34" s="125"/>
      <c r="F34" s="128"/>
      <c r="G34" s="126"/>
      <c r="H34" s="126"/>
      <c r="I34" s="127"/>
      <c r="J34" s="229"/>
    </row>
    <row r="35" spans="1:10" s="7" customFormat="1" ht="16.5" thickBot="1" x14ac:dyDescent="0.3">
      <c r="A35" s="97"/>
      <c r="B35" s="8"/>
      <c r="C35" s="19"/>
      <c r="D35" s="97"/>
      <c r="E35" s="98"/>
      <c r="F35" s="98"/>
      <c r="G35" s="98"/>
      <c r="H35" s="98"/>
      <c r="I35" s="98"/>
      <c r="J35" s="229"/>
    </row>
    <row r="36" spans="1:10" ht="12" customHeight="1" thickBot="1" x14ac:dyDescent="0.3">
      <c r="B36" s="42"/>
      <c r="C36" s="23" t="s">
        <v>163</v>
      </c>
      <c r="E36" s="81">
        <v>5</v>
      </c>
      <c r="F36" s="81">
        <v>6</v>
      </c>
      <c r="G36" s="81">
        <v>7</v>
      </c>
      <c r="H36" s="81">
        <v>8</v>
      </c>
      <c r="I36" s="81">
        <v>9</v>
      </c>
      <c r="J36" s="229"/>
    </row>
    <row r="37" spans="1:10" ht="12" hidden="1" customHeight="1" x14ac:dyDescent="0.25">
      <c r="B37" s="58" t="s">
        <v>70</v>
      </c>
      <c r="C37" s="101"/>
      <c r="E37" s="61"/>
      <c r="F37" s="61"/>
      <c r="G37" s="61"/>
      <c r="H37" s="61"/>
      <c r="I37" s="61"/>
      <c r="J37" s="229"/>
    </row>
    <row r="38" spans="1:10" ht="12" customHeight="1" x14ac:dyDescent="0.25">
      <c r="B38" s="6"/>
      <c r="C38" s="184" t="s">
        <v>94</v>
      </c>
      <c r="E38" s="154"/>
      <c r="F38" s="131"/>
      <c r="G38" s="131"/>
      <c r="H38" s="131"/>
      <c r="I38" s="132"/>
      <c r="J38" s="229"/>
    </row>
    <row r="39" spans="1:10" ht="12" hidden="1" customHeight="1" x14ac:dyDescent="0.25">
      <c r="B39" s="58" t="s">
        <v>69</v>
      </c>
      <c r="C39" s="184"/>
      <c r="E39" s="110"/>
      <c r="F39" s="133"/>
      <c r="G39" s="133"/>
      <c r="H39" s="133"/>
      <c r="I39" s="134"/>
      <c r="J39" s="229"/>
    </row>
    <row r="40" spans="1:10" customFormat="1" ht="12" customHeight="1" x14ac:dyDescent="0.25">
      <c r="B40" s="93"/>
      <c r="C40" s="210" t="s">
        <v>135</v>
      </c>
      <c r="E40" s="110"/>
      <c r="F40" s="135"/>
      <c r="G40" s="135"/>
      <c r="H40" s="135"/>
      <c r="I40" s="136"/>
      <c r="J40" s="229"/>
    </row>
    <row r="41" spans="1:10" ht="12" customHeight="1" x14ac:dyDescent="0.25">
      <c r="B41" s="6"/>
      <c r="C41" s="24" t="s">
        <v>164</v>
      </c>
      <c r="E41" s="110"/>
      <c r="F41" s="120"/>
      <c r="G41" s="120"/>
      <c r="H41" s="120"/>
      <c r="I41" s="143" t="s">
        <v>91</v>
      </c>
      <c r="J41" s="229"/>
    </row>
    <row r="42" spans="1:10" ht="12" customHeight="1" x14ac:dyDescent="0.25">
      <c r="B42" s="6"/>
      <c r="C42" s="184" t="s">
        <v>123</v>
      </c>
      <c r="E42" s="110"/>
      <c r="F42" s="120"/>
      <c r="G42" s="120"/>
      <c r="H42" s="120"/>
      <c r="I42" s="121"/>
      <c r="J42" s="229"/>
    </row>
    <row r="43" spans="1:10" ht="12" customHeight="1" x14ac:dyDescent="0.25">
      <c r="B43" s="6"/>
      <c r="C43" s="24" t="s">
        <v>95</v>
      </c>
      <c r="E43" s="110"/>
      <c r="F43" s="120"/>
      <c r="G43" s="120"/>
      <c r="H43" s="120"/>
      <c r="I43" s="143" t="s">
        <v>91</v>
      </c>
      <c r="J43" s="229"/>
    </row>
    <row r="44" spans="1:10" ht="12" customHeight="1" x14ac:dyDescent="0.25">
      <c r="B44" s="6"/>
      <c r="C44" s="184" t="s">
        <v>144</v>
      </c>
      <c r="E44" s="110"/>
      <c r="F44" s="120"/>
      <c r="G44" s="120"/>
      <c r="H44" s="120"/>
      <c r="I44" s="143" t="s">
        <v>91</v>
      </c>
      <c r="J44" s="229"/>
    </row>
    <row r="45" spans="1:10" ht="12" hidden="1" customHeight="1" x14ac:dyDescent="0.25">
      <c r="B45" s="58" t="s">
        <v>68</v>
      </c>
      <c r="C45" s="184"/>
      <c r="E45" s="110"/>
      <c r="F45" s="133"/>
      <c r="G45" s="133"/>
      <c r="H45" s="133"/>
      <c r="I45" s="134"/>
      <c r="J45" s="229"/>
    </row>
    <row r="46" spans="1:10" ht="12" customHeight="1" x14ac:dyDescent="0.25">
      <c r="B46" s="6"/>
      <c r="C46" s="184" t="s">
        <v>96</v>
      </c>
      <c r="E46" s="110"/>
      <c r="F46" s="114" t="s">
        <v>89</v>
      </c>
      <c r="G46" s="114" t="s">
        <v>91</v>
      </c>
      <c r="H46" s="120"/>
      <c r="I46" s="121"/>
      <c r="J46" s="229"/>
    </row>
    <row r="47" spans="1:10" ht="12" customHeight="1" x14ac:dyDescent="0.25">
      <c r="B47" s="6"/>
      <c r="C47" s="184" t="s">
        <v>145</v>
      </c>
      <c r="E47" s="110"/>
      <c r="F47" s="120"/>
      <c r="G47" s="120"/>
      <c r="H47" s="120"/>
      <c r="I47" s="121"/>
      <c r="J47" s="229"/>
    </row>
    <row r="48" spans="1:10" ht="12" hidden="1" customHeight="1" x14ac:dyDescent="0.25">
      <c r="B48" s="58" t="s">
        <v>67</v>
      </c>
      <c r="C48" s="184"/>
      <c r="E48" s="110"/>
      <c r="F48" s="133"/>
      <c r="G48" s="133"/>
      <c r="H48" s="133"/>
      <c r="I48" s="134"/>
      <c r="J48" s="229"/>
    </row>
    <row r="49" spans="2:10" ht="12" customHeight="1" x14ac:dyDescent="0.25">
      <c r="B49" s="6"/>
      <c r="C49" s="184" t="s">
        <v>66</v>
      </c>
      <c r="E49" s="110"/>
      <c r="F49" s="120"/>
      <c r="G49" s="120"/>
      <c r="H49" s="114" t="s">
        <v>136</v>
      </c>
      <c r="I49" s="121"/>
      <c r="J49" s="229"/>
    </row>
    <row r="50" spans="2:10" ht="12" customHeight="1" x14ac:dyDescent="0.25">
      <c r="B50" s="6"/>
      <c r="C50" s="184" t="s">
        <v>65</v>
      </c>
      <c r="E50" s="110"/>
      <c r="F50" s="120"/>
      <c r="G50" s="120"/>
      <c r="H50" s="114" t="s">
        <v>136</v>
      </c>
      <c r="I50" s="121"/>
      <c r="J50" s="229"/>
    </row>
    <row r="51" spans="2:10" ht="12" hidden="1" customHeight="1" x14ac:dyDescent="0.25">
      <c r="B51" s="58" t="s">
        <v>64</v>
      </c>
      <c r="C51" s="184"/>
      <c r="E51" s="110"/>
      <c r="F51" s="133"/>
      <c r="G51" s="133"/>
      <c r="H51" s="133"/>
      <c r="I51" s="134"/>
      <c r="J51" s="229"/>
    </row>
    <row r="52" spans="2:10" ht="12" customHeight="1" x14ac:dyDescent="0.25">
      <c r="B52" s="6"/>
      <c r="C52" s="184" t="s">
        <v>124</v>
      </c>
      <c r="E52" s="110"/>
      <c r="F52" s="120"/>
      <c r="G52" s="120"/>
      <c r="H52" s="120"/>
      <c r="I52" s="121"/>
      <c r="J52" s="229"/>
    </row>
    <row r="53" spans="2:10" ht="12" customHeight="1" x14ac:dyDescent="0.25">
      <c r="B53" s="6"/>
      <c r="C53" s="184" t="s">
        <v>113</v>
      </c>
      <c r="E53" s="110"/>
      <c r="F53" s="120"/>
      <c r="G53" s="114" t="s">
        <v>112</v>
      </c>
      <c r="H53" s="120"/>
      <c r="I53" s="121"/>
      <c r="J53" s="229"/>
    </row>
    <row r="54" spans="2:10" ht="12" customHeight="1" x14ac:dyDescent="0.25">
      <c r="B54" s="6"/>
      <c r="C54" s="184" t="s">
        <v>143</v>
      </c>
      <c r="E54" s="110"/>
      <c r="F54" s="114" t="s">
        <v>91</v>
      </c>
      <c r="G54" s="120"/>
      <c r="H54" s="120"/>
      <c r="I54" s="121"/>
      <c r="J54" s="229"/>
    </row>
    <row r="55" spans="2:10" ht="12" hidden="1" customHeight="1" x14ac:dyDescent="0.25">
      <c r="B55" s="58" t="s">
        <v>63</v>
      </c>
      <c r="C55" s="184"/>
      <c r="E55" s="110"/>
      <c r="F55" s="133"/>
      <c r="G55" s="133"/>
      <c r="H55" s="133"/>
      <c r="I55" s="134"/>
      <c r="J55" s="229"/>
    </row>
    <row r="56" spans="2:10" ht="12" customHeight="1" x14ac:dyDescent="0.25">
      <c r="B56" s="6"/>
      <c r="C56" s="184" t="s">
        <v>115</v>
      </c>
      <c r="E56" s="110"/>
      <c r="F56" s="120"/>
      <c r="G56" s="120"/>
      <c r="H56" s="120"/>
      <c r="I56" s="121"/>
      <c r="J56" s="229"/>
    </row>
    <row r="57" spans="2:10" ht="12" customHeight="1" x14ac:dyDescent="0.25">
      <c r="B57" s="6"/>
      <c r="C57" s="184" t="s">
        <v>114</v>
      </c>
      <c r="E57" s="110"/>
      <c r="F57" s="120"/>
      <c r="G57" s="120"/>
      <c r="H57" s="120"/>
      <c r="I57" s="121"/>
      <c r="J57" s="229"/>
    </row>
    <row r="58" spans="2:10" ht="12" customHeight="1" thickBot="1" x14ac:dyDescent="0.3">
      <c r="B58" s="3"/>
      <c r="C58" s="211" t="s">
        <v>62</v>
      </c>
      <c r="E58" s="223" t="s">
        <v>90</v>
      </c>
      <c r="F58" s="139"/>
      <c r="G58" s="139"/>
      <c r="H58" s="139"/>
      <c r="I58" s="140"/>
      <c r="J58" s="229"/>
    </row>
    <row r="59" spans="2:10" ht="12" customHeight="1" thickBot="1" x14ac:dyDescent="0.3">
      <c r="B59" s="36"/>
      <c r="C59" s="17"/>
      <c r="E59" s="20"/>
      <c r="F59" s="20"/>
      <c r="G59" s="20"/>
      <c r="H59" s="20"/>
      <c r="I59" s="20"/>
      <c r="J59" s="229"/>
    </row>
    <row r="60" spans="2:10" ht="12" customHeight="1" thickBot="1" x14ac:dyDescent="0.3">
      <c r="B60" s="4"/>
      <c r="C60" s="23" t="s">
        <v>61</v>
      </c>
      <c r="E60" s="90">
        <v>5</v>
      </c>
      <c r="F60" s="90">
        <v>6</v>
      </c>
      <c r="G60" s="90">
        <v>7</v>
      </c>
      <c r="H60" s="90">
        <v>8</v>
      </c>
      <c r="I60" s="90">
        <v>9</v>
      </c>
      <c r="J60" s="229"/>
    </row>
    <row r="61" spans="2:10" ht="12" customHeight="1" x14ac:dyDescent="0.25">
      <c r="B61" s="6"/>
      <c r="C61" s="88" t="s">
        <v>97</v>
      </c>
      <c r="E61" s="154" t="s">
        <v>90</v>
      </c>
      <c r="F61" s="131"/>
      <c r="G61" s="131"/>
      <c r="H61" s="131"/>
      <c r="I61" s="132"/>
      <c r="J61" s="229"/>
    </row>
    <row r="62" spans="2:10" ht="12" customHeight="1" x14ac:dyDescent="0.25">
      <c r="B62" s="6"/>
      <c r="C62" s="24" t="s">
        <v>165</v>
      </c>
      <c r="E62" s="110" t="s">
        <v>90</v>
      </c>
      <c r="F62" s="111"/>
      <c r="G62" s="111"/>
      <c r="H62" s="111"/>
      <c r="I62" s="112"/>
      <c r="J62" s="229"/>
    </row>
    <row r="63" spans="2:10" ht="12" hidden="1" customHeight="1" x14ac:dyDescent="0.25">
      <c r="B63" s="57" t="s">
        <v>60</v>
      </c>
      <c r="C63" s="27"/>
      <c r="E63" s="110"/>
      <c r="F63" s="141"/>
      <c r="G63" s="141"/>
      <c r="H63" s="141"/>
      <c r="I63" s="142"/>
      <c r="J63" s="229"/>
    </row>
    <row r="64" spans="2:10" ht="12" hidden="1" customHeight="1" x14ac:dyDescent="0.25">
      <c r="B64" s="57" t="s">
        <v>59</v>
      </c>
      <c r="C64" s="27"/>
      <c r="E64" s="110"/>
      <c r="F64" s="141"/>
      <c r="G64" s="141"/>
      <c r="H64" s="141"/>
      <c r="I64" s="142"/>
      <c r="J64" s="229"/>
    </row>
    <row r="65" spans="2:10" ht="12" customHeight="1" x14ac:dyDescent="0.25">
      <c r="B65" s="6"/>
      <c r="C65" s="25" t="s">
        <v>98</v>
      </c>
      <c r="E65" s="110" t="s">
        <v>90</v>
      </c>
      <c r="F65" s="120"/>
      <c r="G65" s="120"/>
      <c r="H65" s="120"/>
      <c r="I65" s="121"/>
      <c r="J65" s="229"/>
    </row>
    <row r="66" spans="2:10" ht="12" customHeight="1" x14ac:dyDescent="0.25">
      <c r="B66" s="6"/>
      <c r="C66" s="25" t="s">
        <v>125</v>
      </c>
      <c r="E66" s="110"/>
      <c r="F66" s="120"/>
      <c r="G66" s="120"/>
      <c r="H66" s="120"/>
      <c r="I66" s="121"/>
      <c r="J66" s="229"/>
    </row>
    <row r="67" spans="2:10" ht="12" hidden="1" customHeight="1" x14ac:dyDescent="0.25">
      <c r="B67" s="57" t="s">
        <v>58</v>
      </c>
      <c r="C67" s="27"/>
      <c r="E67" s="110"/>
      <c r="F67" s="141"/>
      <c r="G67" s="141"/>
      <c r="H67" s="141"/>
      <c r="I67" s="142"/>
      <c r="J67" s="229"/>
    </row>
    <row r="68" spans="2:10" ht="12" customHeight="1" x14ac:dyDescent="0.25">
      <c r="B68" s="6"/>
      <c r="C68" s="25" t="s">
        <v>57</v>
      </c>
      <c r="E68" s="110"/>
      <c r="F68" s="120"/>
      <c r="G68" s="120"/>
      <c r="H68" s="114" t="s">
        <v>89</v>
      </c>
      <c r="I68" s="121"/>
      <c r="J68" s="229"/>
    </row>
    <row r="69" spans="2:10" ht="12" customHeight="1" x14ac:dyDescent="0.25">
      <c r="B69" s="6"/>
      <c r="C69" s="25" t="s">
        <v>99</v>
      </c>
      <c r="E69" s="110"/>
      <c r="F69" s="120"/>
      <c r="G69" s="120"/>
      <c r="H69" s="120"/>
      <c r="I69" s="121"/>
      <c r="J69" s="229"/>
    </row>
    <row r="70" spans="2:10" ht="12" hidden="1" customHeight="1" x14ac:dyDescent="0.25">
      <c r="B70" s="57" t="s">
        <v>56</v>
      </c>
      <c r="C70" s="27"/>
      <c r="E70" s="110"/>
      <c r="F70" s="141"/>
      <c r="G70" s="141"/>
      <c r="H70" s="141"/>
      <c r="I70" s="142"/>
      <c r="J70" s="229"/>
    </row>
    <row r="71" spans="2:10" ht="12" customHeight="1" x14ac:dyDescent="0.25">
      <c r="B71" s="6"/>
      <c r="C71" s="184" t="s">
        <v>166</v>
      </c>
      <c r="E71" s="110"/>
      <c r="F71" s="120"/>
      <c r="G71" s="120"/>
      <c r="H71" s="120"/>
      <c r="I71" s="121"/>
      <c r="J71" s="229"/>
    </row>
    <row r="72" spans="2:10" ht="12" customHeight="1" x14ac:dyDescent="0.25">
      <c r="B72" s="6"/>
      <c r="C72" s="184" t="s">
        <v>167</v>
      </c>
      <c r="E72" s="110"/>
      <c r="F72" s="120"/>
      <c r="G72" s="120"/>
      <c r="H72" s="120"/>
      <c r="I72" s="121"/>
      <c r="J72" s="229"/>
    </row>
    <row r="73" spans="2:10" ht="12" hidden="1" customHeight="1" x14ac:dyDescent="0.25">
      <c r="B73" s="57" t="s">
        <v>55</v>
      </c>
      <c r="C73" s="27"/>
      <c r="E73" s="110"/>
      <c r="F73" s="141"/>
      <c r="G73" s="141"/>
      <c r="H73" s="141"/>
      <c r="I73" s="142"/>
      <c r="J73" s="229"/>
    </row>
    <row r="74" spans="2:10" ht="12" customHeight="1" x14ac:dyDescent="0.25">
      <c r="B74" s="6"/>
      <c r="C74" s="25" t="s">
        <v>54</v>
      </c>
      <c r="E74" s="110"/>
      <c r="F74" s="120"/>
      <c r="G74" s="120"/>
      <c r="H74" s="114" t="s">
        <v>112</v>
      </c>
      <c r="I74" s="121"/>
      <c r="J74" s="229"/>
    </row>
    <row r="75" spans="2:10" ht="12" customHeight="1" thickBot="1" x14ac:dyDescent="0.3">
      <c r="B75" s="9"/>
      <c r="C75" s="28" t="s">
        <v>116</v>
      </c>
      <c r="E75" s="147"/>
      <c r="F75" s="139"/>
      <c r="G75" s="139"/>
      <c r="H75" s="139"/>
      <c r="I75" s="140"/>
      <c r="J75" s="229"/>
    </row>
    <row r="76" spans="2:10" ht="12" customHeight="1" thickBot="1" x14ac:dyDescent="0.3">
      <c r="B76" s="36"/>
      <c r="C76" s="17"/>
      <c r="E76" s="20"/>
      <c r="F76" s="20"/>
      <c r="G76" s="20"/>
      <c r="H76" s="20"/>
      <c r="I76" s="20"/>
      <c r="J76" s="229"/>
    </row>
    <row r="77" spans="2:10" ht="16.5" thickBot="1" x14ac:dyDescent="0.3">
      <c r="B77" s="4"/>
      <c r="C77" s="23" t="s">
        <v>53</v>
      </c>
      <c r="E77" s="89">
        <v>5</v>
      </c>
      <c r="F77" s="90">
        <v>6</v>
      </c>
      <c r="G77" s="90">
        <v>7</v>
      </c>
      <c r="H77" s="90">
        <v>8</v>
      </c>
      <c r="I77" s="230">
        <v>9</v>
      </c>
      <c r="J77" s="229"/>
    </row>
    <row r="78" spans="2:10" x14ac:dyDescent="0.25">
      <c r="B78" s="6"/>
      <c r="C78" s="25" t="s">
        <v>52</v>
      </c>
      <c r="E78" s="183" t="s">
        <v>137</v>
      </c>
      <c r="F78" s="185" t="s">
        <v>137</v>
      </c>
      <c r="G78" s="185" t="s">
        <v>137</v>
      </c>
      <c r="H78" s="185" t="s">
        <v>137</v>
      </c>
      <c r="I78" s="207" t="s">
        <v>137</v>
      </c>
      <c r="J78" s="229"/>
    </row>
    <row r="79" spans="2:10" ht="12" customHeight="1" x14ac:dyDescent="0.25">
      <c r="B79" s="6"/>
      <c r="C79" s="24" t="s">
        <v>101</v>
      </c>
      <c r="E79" s="119" t="s">
        <v>137</v>
      </c>
      <c r="F79" s="120"/>
      <c r="G79" s="120"/>
      <c r="H79" s="120"/>
      <c r="I79" s="151" t="s">
        <v>137</v>
      </c>
      <c r="J79" s="229"/>
    </row>
    <row r="80" spans="2:10" ht="12" customHeight="1" thickBot="1" x14ac:dyDescent="0.3">
      <c r="B80" s="3"/>
      <c r="C80" s="211" t="s">
        <v>100</v>
      </c>
      <c r="E80" s="138"/>
      <c r="F80" s="139"/>
      <c r="G80" s="139"/>
      <c r="H80" s="139"/>
      <c r="I80" s="140"/>
      <c r="J80" s="229"/>
    </row>
    <row r="81" spans="2:10" ht="12" customHeight="1" thickBot="1" x14ac:dyDescent="0.3">
      <c r="B81" s="8"/>
      <c r="E81" s="20"/>
      <c r="F81" s="20"/>
      <c r="G81" s="20"/>
      <c r="H81" s="20"/>
      <c r="I81" s="20"/>
      <c r="J81" s="229"/>
    </row>
    <row r="82" spans="2:10" ht="16.5" thickBot="1" x14ac:dyDescent="0.3">
      <c r="B82" s="4"/>
      <c r="C82" s="23" t="s">
        <v>51</v>
      </c>
      <c r="E82" s="80">
        <v>5</v>
      </c>
      <c r="F82" s="81">
        <v>6</v>
      </c>
      <c r="G82" s="81">
        <v>7</v>
      </c>
      <c r="H82" s="81">
        <v>8</v>
      </c>
      <c r="I82" s="228">
        <v>9</v>
      </c>
      <c r="J82" s="229"/>
    </row>
    <row r="83" spans="2:10" ht="8.25" hidden="1" customHeight="1" thickBot="1" x14ac:dyDescent="0.3">
      <c r="B83" s="56" t="s">
        <v>50</v>
      </c>
      <c r="C83" s="44"/>
      <c r="E83" s="66"/>
      <c r="F83" s="67"/>
      <c r="G83" s="67"/>
      <c r="H83" s="67"/>
      <c r="I83" s="291"/>
      <c r="J83" s="229"/>
    </row>
    <row r="84" spans="2:10" ht="12.75" customHeight="1" x14ac:dyDescent="0.25">
      <c r="B84" s="294"/>
      <c r="C84" s="100" t="s">
        <v>49</v>
      </c>
      <c r="E84" s="200" t="s">
        <v>142</v>
      </c>
      <c r="F84" s="201" t="s">
        <v>142</v>
      </c>
      <c r="G84" s="201" t="s">
        <v>142</v>
      </c>
      <c r="H84" s="201" t="s">
        <v>142</v>
      </c>
      <c r="I84" s="202" t="s">
        <v>142</v>
      </c>
      <c r="J84" s="229"/>
    </row>
    <row r="85" spans="2:10" ht="12" customHeight="1" x14ac:dyDescent="0.25">
      <c r="B85" s="6"/>
      <c r="C85" s="25" t="s">
        <v>48</v>
      </c>
      <c r="E85" s="110"/>
      <c r="F85" s="203" t="s">
        <v>142</v>
      </c>
      <c r="G85" s="111"/>
      <c r="H85" s="111"/>
      <c r="I85" s="112"/>
      <c r="J85" s="229"/>
    </row>
    <row r="86" spans="2:10" ht="12" customHeight="1" x14ac:dyDescent="0.25">
      <c r="B86" s="6"/>
      <c r="C86" s="25" t="s">
        <v>47</v>
      </c>
      <c r="E86" s="123"/>
      <c r="F86" s="120"/>
      <c r="G86" s="120"/>
      <c r="H86" s="120"/>
      <c r="I86" s="121"/>
      <c r="J86" s="229"/>
    </row>
    <row r="87" spans="2:10" ht="12" hidden="1" customHeight="1" x14ac:dyDescent="0.25">
      <c r="B87" s="6" t="s">
        <v>46</v>
      </c>
      <c r="C87" s="44"/>
      <c r="E87" s="204"/>
      <c r="F87" s="205"/>
      <c r="G87" s="205"/>
      <c r="H87" s="205"/>
      <c r="I87" s="206"/>
      <c r="J87" s="229"/>
    </row>
    <row r="88" spans="2:10" ht="12" customHeight="1" x14ac:dyDescent="0.25">
      <c r="B88" s="6"/>
      <c r="C88" s="96" t="s">
        <v>45</v>
      </c>
      <c r="E88" s="297" t="s">
        <v>91</v>
      </c>
      <c r="F88" s="296"/>
      <c r="G88" s="296"/>
      <c r="H88" s="296"/>
      <c r="I88" s="298"/>
      <c r="J88" s="229"/>
    </row>
    <row r="89" spans="2:10" s="2" customFormat="1" ht="12" customHeight="1" x14ac:dyDescent="0.25">
      <c r="B89" s="6"/>
      <c r="C89" s="24" t="s">
        <v>168</v>
      </c>
      <c r="E89" s="123"/>
      <c r="F89" s="120" t="s">
        <v>92</v>
      </c>
      <c r="G89" s="120"/>
      <c r="H89" s="120"/>
      <c r="I89" s="121"/>
      <c r="J89" s="229"/>
    </row>
    <row r="90" spans="2:10" s="2" customFormat="1" ht="12" customHeight="1" x14ac:dyDescent="0.25">
      <c r="B90" s="6"/>
      <c r="C90" s="24" t="s">
        <v>169</v>
      </c>
      <c r="E90" s="123"/>
      <c r="F90" s="120" t="s">
        <v>92</v>
      </c>
      <c r="G90" s="120"/>
      <c r="H90" s="120"/>
      <c r="I90" s="121"/>
      <c r="J90" s="229"/>
    </row>
    <row r="91" spans="2:10" s="2" customFormat="1" ht="12" customHeight="1" x14ac:dyDescent="0.25">
      <c r="B91" s="6"/>
      <c r="C91" s="24" t="s">
        <v>170</v>
      </c>
      <c r="E91" s="123"/>
      <c r="F91" s="120" t="s">
        <v>92</v>
      </c>
      <c r="G91" s="120"/>
      <c r="H91" s="120"/>
      <c r="I91" s="121"/>
      <c r="J91" s="229"/>
    </row>
    <row r="92" spans="2:10" s="2" customFormat="1" ht="12" customHeight="1" x14ac:dyDescent="0.25">
      <c r="B92" s="6"/>
      <c r="C92" s="24" t="s">
        <v>171</v>
      </c>
      <c r="E92" s="123"/>
      <c r="F92" s="120"/>
      <c r="G92" s="120"/>
      <c r="H92" s="120"/>
      <c r="I92" s="121"/>
      <c r="J92" s="229"/>
    </row>
    <row r="93" spans="2:10" s="2" customFormat="1" ht="12" customHeight="1" x14ac:dyDescent="0.25">
      <c r="B93" s="6"/>
      <c r="C93" s="24" t="s">
        <v>172</v>
      </c>
      <c r="E93" s="123"/>
      <c r="F93" s="120"/>
      <c r="G93" s="120"/>
      <c r="H93" s="120"/>
      <c r="I93" s="121"/>
      <c r="J93" s="229"/>
    </row>
    <row r="94" spans="2:10" s="2" customFormat="1" ht="12" customHeight="1" thickBot="1" x14ac:dyDescent="0.3">
      <c r="B94" s="3"/>
      <c r="C94" s="30" t="s">
        <v>173</v>
      </c>
      <c r="E94" s="138"/>
      <c r="F94" s="139"/>
      <c r="G94" s="139"/>
      <c r="H94" s="139"/>
      <c r="I94" s="140"/>
      <c r="J94" s="229"/>
    </row>
    <row r="95" spans="2:10" ht="12" customHeight="1" thickBot="1" x14ac:dyDescent="0.3">
      <c r="B95" s="8"/>
      <c r="E95" s="20"/>
      <c r="F95" s="20"/>
      <c r="G95" s="20"/>
      <c r="H95" s="20"/>
      <c r="I95" s="20"/>
      <c r="J95" s="229"/>
    </row>
    <row r="96" spans="2:10" ht="12" customHeight="1" thickBot="1" x14ac:dyDescent="0.3">
      <c r="B96" s="4"/>
      <c r="C96" s="23" t="s">
        <v>174</v>
      </c>
      <c r="E96" s="290">
        <v>5</v>
      </c>
      <c r="F96" s="81">
        <v>6</v>
      </c>
      <c r="G96" s="81">
        <v>7</v>
      </c>
      <c r="H96" s="81">
        <v>8</v>
      </c>
      <c r="I96" s="81">
        <v>9</v>
      </c>
      <c r="J96" s="229"/>
    </row>
    <row r="97" spans="2:10" ht="12" hidden="1" customHeight="1" x14ac:dyDescent="0.25">
      <c r="B97" s="16" t="s">
        <v>44</v>
      </c>
      <c r="C97" s="45"/>
      <c r="E97" s="69"/>
      <c r="F97" s="69"/>
      <c r="G97" s="69"/>
      <c r="H97" s="69"/>
      <c r="I97" s="69"/>
      <c r="J97" s="229"/>
    </row>
    <row r="98" spans="2:10" ht="12" customHeight="1" x14ac:dyDescent="0.25">
      <c r="B98" s="6"/>
      <c r="C98" s="25" t="s">
        <v>138</v>
      </c>
      <c r="E98" s="130"/>
      <c r="F98" s="131"/>
      <c r="G98" s="131"/>
      <c r="H98" s="109" t="s">
        <v>91</v>
      </c>
      <c r="I98" s="191" t="s">
        <v>89</v>
      </c>
      <c r="J98" s="229"/>
    </row>
    <row r="99" spans="2:10" ht="12" customHeight="1" x14ac:dyDescent="0.25">
      <c r="B99" s="6"/>
      <c r="C99" s="25" t="s">
        <v>102</v>
      </c>
      <c r="E99" s="123"/>
      <c r="F99" s="120"/>
      <c r="G99" s="120"/>
      <c r="H99" s="114" t="s">
        <v>175</v>
      </c>
      <c r="I99" s="188"/>
      <c r="J99" s="229"/>
    </row>
    <row r="100" spans="2:10" ht="12" customHeight="1" x14ac:dyDescent="0.25">
      <c r="B100" s="6"/>
      <c r="C100" s="25" t="s">
        <v>126</v>
      </c>
      <c r="E100" s="137" t="s">
        <v>90</v>
      </c>
      <c r="F100" s="120"/>
      <c r="G100" s="120"/>
      <c r="H100" s="120"/>
      <c r="I100" s="188"/>
      <c r="J100" s="229"/>
    </row>
    <row r="101" spans="2:10" ht="12" customHeight="1" x14ac:dyDescent="0.25">
      <c r="B101" s="6"/>
      <c r="C101" s="184" t="s">
        <v>103</v>
      </c>
      <c r="E101" s="137" t="s">
        <v>136</v>
      </c>
      <c r="F101" s="114" t="s">
        <v>136</v>
      </c>
      <c r="G101" s="114" t="s">
        <v>136</v>
      </c>
      <c r="H101" s="114" t="s">
        <v>136</v>
      </c>
      <c r="I101" s="190" t="s">
        <v>136</v>
      </c>
      <c r="J101" s="229"/>
    </row>
    <row r="102" spans="2:10" ht="15" hidden="1" customHeight="1" x14ac:dyDescent="0.25">
      <c r="B102" s="16" t="s">
        <v>43</v>
      </c>
      <c r="C102" s="29"/>
      <c r="E102" s="145"/>
      <c r="F102" s="146"/>
      <c r="G102" s="146"/>
      <c r="H102" s="146"/>
      <c r="I102" s="192"/>
      <c r="J102" s="229"/>
    </row>
    <row r="103" spans="2:10" ht="12" customHeight="1" x14ac:dyDescent="0.25">
      <c r="B103" s="6"/>
      <c r="C103" s="24" t="s">
        <v>117</v>
      </c>
      <c r="E103" s="123"/>
      <c r="F103" s="120"/>
      <c r="G103" s="120"/>
      <c r="H103" s="120"/>
      <c r="I103" s="188"/>
      <c r="J103" s="229"/>
    </row>
    <row r="104" spans="2:10" ht="12" hidden="1" customHeight="1" x14ac:dyDescent="0.25">
      <c r="B104" s="16" t="s">
        <v>42</v>
      </c>
      <c r="C104" s="29"/>
      <c r="E104" s="145"/>
      <c r="F104" s="146"/>
      <c r="G104" s="146"/>
      <c r="H104" s="146"/>
      <c r="I104" s="192"/>
      <c r="J104" s="229"/>
    </row>
    <row r="105" spans="2:10" ht="12" customHeight="1" x14ac:dyDescent="0.25">
      <c r="B105" s="6"/>
      <c r="C105" s="25" t="s">
        <v>30</v>
      </c>
      <c r="E105" s="137" t="s">
        <v>89</v>
      </c>
      <c r="F105" s="120"/>
      <c r="G105" s="120"/>
      <c r="H105" s="114" t="s">
        <v>91</v>
      </c>
      <c r="I105" s="188"/>
      <c r="J105" s="229"/>
    </row>
    <row r="106" spans="2:10" ht="12" customHeight="1" thickBot="1" x14ac:dyDescent="0.3">
      <c r="B106" s="3"/>
      <c r="C106" s="30" t="s">
        <v>41</v>
      </c>
      <c r="E106" s="147"/>
      <c r="F106" s="148"/>
      <c r="G106" s="148"/>
      <c r="H106" s="148"/>
      <c r="I106" s="193"/>
      <c r="J106" s="229"/>
    </row>
    <row r="107" spans="2:10" ht="16.5" thickBot="1" x14ac:dyDescent="0.3">
      <c r="B107" s="8"/>
      <c r="C107" s="86"/>
      <c r="E107" s="86"/>
      <c r="F107" s="86"/>
      <c r="G107" s="86"/>
      <c r="H107" s="86"/>
      <c r="I107" s="86"/>
      <c r="J107" s="229"/>
    </row>
    <row r="108" spans="2:10" ht="12" hidden="1" customHeight="1" thickBot="1" x14ac:dyDescent="0.3">
      <c r="B108" s="8"/>
      <c r="E108" s="287"/>
      <c r="F108" s="428" t="s">
        <v>14</v>
      </c>
      <c r="G108" s="429"/>
      <c r="H108" s="429"/>
      <c r="I108" s="430"/>
      <c r="J108" s="229"/>
    </row>
    <row r="109" spans="2:10" ht="12" customHeight="1" thickBot="1" x14ac:dyDescent="0.3">
      <c r="B109" s="4"/>
      <c r="C109" s="23" t="s">
        <v>176</v>
      </c>
      <c r="E109" s="81">
        <v>5</v>
      </c>
      <c r="F109" s="81">
        <v>6</v>
      </c>
      <c r="G109" s="81">
        <v>7</v>
      </c>
      <c r="H109" s="81">
        <v>8</v>
      </c>
      <c r="I109" s="81">
        <v>9</v>
      </c>
      <c r="J109" s="229"/>
    </row>
    <row r="110" spans="2:10" ht="12" hidden="1" customHeight="1" x14ac:dyDescent="0.25">
      <c r="B110" s="55" t="s">
        <v>40</v>
      </c>
      <c r="C110" s="46"/>
      <c r="E110" s="71"/>
      <c r="F110" s="71"/>
      <c r="G110" s="71"/>
      <c r="H110" s="71"/>
      <c r="I110" s="71"/>
      <c r="J110" s="229"/>
    </row>
    <row r="111" spans="2:10" ht="12" customHeight="1" x14ac:dyDescent="0.25">
      <c r="B111" s="6"/>
      <c r="C111" s="25" t="s">
        <v>39</v>
      </c>
      <c r="E111" s="106" t="s">
        <v>90</v>
      </c>
      <c r="F111" s="131"/>
      <c r="G111" s="131"/>
      <c r="H111" s="131"/>
      <c r="I111" s="132"/>
      <c r="J111" s="229"/>
    </row>
    <row r="112" spans="2:10" ht="12" customHeight="1" x14ac:dyDescent="0.25">
      <c r="B112" s="6"/>
      <c r="C112" s="25" t="s">
        <v>104</v>
      </c>
      <c r="E112" s="123"/>
      <c r="F112" s="120"/>
      <c r="G112" s="120"/>
      <c r="H112" s="120"/>
      <c r="I112" s="121"/>
      <c r="J112" s="229"/>
    </row>
    <row r="113" spans="2:10" ht="12" customHeight="1" x14ac:dyDescent="0.25">
      <c r="B113" s="6"/>
      <c r="C113" s="25" t="s">
        <v>105</v>
      </c>
      <c r="E113" s="123"/>
      <c r="F113" s="120"/>
      <c r="G113" s="120"/>
      <c r="H113" s="120"/>
      <c r="I113" s="121"/>
      <c r="J113" s="229"/>
    </row>
    <row r="114" spans="2:10" ht="12" customHeight="1" x14ac:dyDescent="0.25">
      <c r="B114" s="6"/>
      <c r="C114" s="25" t="s">
        <v>106</v>
      </c>
      <c r="E114" s="123"/>
      <c r="F114" s="120"/>
      <c r="G114" s="120"/>
      <c r="H114" s="120"/>
      <c r="I114" s="121"/>
      <c r="J114" s="229"/>
    </row>
    <row r="115" spans="2:10" ht="12" hidden="1" customHeight="1" x14ac:dyDescent="0.25">
      <c r="B115" s="55" t="s">
        <v>38</v>
      </c>
      <c r="C115" s="31"/>
      <c r="E115" s="119"/>
      <c r="F115" s="150"/>
      <c r="G115" s="150"/>
      <c r="H115" s="150"/>
      <c r="I115" s="151"/>
      <c r="J115" s="229"/>
    </row>
    <row r="116" spans="2:10" ht="12" customHeight="1" thickBot="1" x14ac:dyDescent="0.3">
      <c r="B116" s="3"/>
      <c r="C116" s="26" t="s">
        <v>118</v>
      </c>
      <c r="E116" s="138"/>
      <c r="F116" s="139"/>
      <c r="G116" s="139"/>
      <c r="H116" s="139"/>
      <c r="I116" s="140"/>
      <c r="J116" s="229"/>
    </row>
    <row r="117" spans="2:10" ht="16.5" thickBot="1" x14ac:dyDescent="0.3">
      <c r="B117" s="8"/>
      <c r="E117" s="20"/>
      <c r="F117" s="20"/>
      <c r="G117" s="20"/>
      <c r="H117" s="20"/>
      <c r="I117" s="20"/>
      <c r="J117" s="229"/>
    </row>
    <row r="118" spans="2:10" ht="12" hidden="1" customHeight="1" thickBot="1" x14ac:dyDescent="0.3">
      <c r="B118" s="8"/>
      <c r="E118" s="287"/>
      <c r="F118" s="428" t="s">
        <v>14</v>
      </c>
      <c r="G118" s="429"/>
      <c r="H118" s="429"/>
      <c r="I118" s="430"/>
      <c r="J118" s="229"/>
    </row>
    <row r="119" spans="2:10" ht="12" customHeight="1" thickBot="1" x14ac:dyDescent="0.3">
      <c r="B119" s="4"/>
      <c r="C119" s="23" t="s">
        <v>37</v>
      </c>
      <c r="E119" s="95">
        <v>5</v>
      </c>
      <c r="F119" s="95">
        <v>6</v>
      </c>
      <c r="G119" s="95">
        <v>7</v>
      </c>
      <c r="H119" s="95">
        <v>8</v>
      </c>
      <c r="I119" s="95">
        <v>9</v>
      </c>
      <c r="J119" s="229"/>
    </row>
    <row r="120" spans="2:10" ht="12" hidden="1" customHeight="1" x14ac:dyDescent="0.25">
      <c r="B120" s="54" t="s">
        <v>36</v>
      </c>
      <c r="C120" s="47"/>
      <c r="E120" s="103"/>
      <c r="F120" s="103"/>
      <c r="G120" s="103"/>
      <c r="H120" s="103"/>
      <c r="I120" s="103"/>
      <c r="J120" s="229"/>
    </row>
    <row r="121" spans="2:10" ht="12" customHeight="1" x14ac:dyDescent="0.25">
      <c r="B121" s="6"/>
      <c r="C121" s="25" t="s">
        <v>35</v>
      </c>
      <c r="E121" s="106" t="s">
        <v>90</v>
      </c>
      <c r="F121" s="131"/>
      <c r="G121" s="109" t="s">
        <v>112</v>
      </c>
      <c r="H121" s="131"/>
      <c r="I121" s="132"/>
      <c r="J121" s="229"/>
    </row>
    <row r="122" spans="2:10" customFormat="1" ht="12" customHeight="1" x14ac:dyDescent="0.25">
      <c r="B122" s="93"/>
      <c r="C122" s="25" t="s">
        <v>120</v>
      </c>
      <c r="E122" s="152"/>
      <c r="F122" s="153"/>
      <c r="G122" s="153"/>
      <c r="H122" s="153"/>
      <c r="I122" s="143" t="s">
        <v>112</v>
      </c>
      <c r="J122" s="229"/>
    </row>
    <row r="123" spans="2:10" ht="12" hidden="1" customHeight="1" x14ac:dyDescent="0.25">
      <c r="B123" s="54" t="s">
        <v>34</v>
      </c>
      <c r="C123" s="32"/>
      <c r="E123" s="119"/>
      <c r="F123" s="150"/>
      <c r="G123" s="150"/>
      <c r="H123" s="150"/>
      <c r="I123" s="151"/>
      <c r="J123" s="229"/>
    </row>
    <row r="124" spans="2:10" ht="12" customHeight="1" x14ac:dyDescent="0.25">
      <c r="B124" s="6"/>
      <c r="C124" s="91" t="s">
        <v>121</v>
      </c>
      <c r="E124" s="123"/>
      <c r="F124" s="120"/>
      <c r="G124" s="120"/>
      <c r="H124" s="120"/>
      <c r="I124" s="143" t="s">
        <v>112</v>
      </c>
      <c r="J124" s="229"/>
    </row>
    <row r="125" spans="2:10" ht="12" customHeight="1" x14ac:dyDescent="0.25">
      <c r="B125" s="6"/>
      <c r="C125" s="92" t="s">
        <v>180</v>
      </c>
      <c r="E125" s="295"/>
      <c r="F125" s="296"/>
      <c r="G125" s="296"/>
      <c r="H125" s="317"/>
      <c r="I125" s="298"/>
      <c r="J125" s="229"/>
    </row>
    <row r="126" spans="2:10" ht="12" customHeight="1" x14ac:dyDescent="0.25">
      <c r="B126" s="6"/>
      <c r="C126" s="91" t="s">
        <v>122</v>
      </c>
      <c r="E126" s="123"/>
      <c r="F126" s="120"/>
      <c r="G126" s="120"/>
      <c r="H126" s="114" t="s">
        <v>112</v>
      </c>
      <c r="I126" s="121"/>
      <c r="J126" s="229"/>
    </row>
    <row r="127" spans="2:10" ht="12.75" customHeight="1" thickBot="1" x14ac:dyDescent="0.3">
      <c r="B127" s="3"/>
      <c r="C127" s="26" t="s">
        <v>33</v>
      </c>
      <c r="E127" s="138"/>
      <c r="F127" s="139"/>
      <c r="G127" s="139"/>
      <c r="H127" s="139"/>
      <c r="I127" s="140"/>
      <c r="J127" s="229"/>
    </row>
    <row r="128" spans="2:10" ht="12" hidden="1" customHeight="1" thickBot="1" x14ac:dyDescent="0.3">
      <c r="B128" s="8"/>
      <c r="C128" s="19"/>
      <c r="E128" s="19"/>
      <c r="F128" s="19"/>
      <c r="G128" s="19"/>
      <c r="H128" s="19"/>
      <c r="I128" s="19"/>
      <c r="J128" s="229"/>
    </row>
    <row r="129" spans="2:10" ht="12" hidden="1" customHeight="1" thickBot="1" x14ac:dyDescent="0.3">
      <c r="B129" s="8"/>
      <c r="E129" s="287"/>
      <c r="F129" s="428" t="s">
        <v>14</v>
      </c>
      <c r="G129" s="429"/>
      <c r="H129" s="429"/>
      <c r="I129" s="430"/>
      <c r="J129" s="229"/>
    </row>
    <row r="130" spans="2:10" ht="12" hidden="1" customHeight="1" thickBot="1" x14ac:dyDescent="0.3">
      <c r="B130" s="37"/>
      <c r="C130" s="23" t="s">
        <v>32</v>
      </c>
      <c r="E130" s="83">
        <v>5</v>
      </c>
      <c r="F130" s="83">
        <v>6</v>
      </c>
      <c r="G130" s="83">
        <v>7</v>
      </c>
      <c r="H130" s="83">
        <v>8</v>
      </c>
      <c r="I130" s="83">
        <v>9</v>
      </c>
      <c r="J130" s="229"/>
    </row>
    <row r="131" spans="2:10" ht="12" hidden="1" customHeight="1" x14ac:dyDescent="0.25">
      <c r="B131" s="39" t="s">
        <v>31</v>
      </c>
      <c r="C131" s="21"/>
      <c r="E131" s="74"/>
      <c r="F131" s="74"/>
      <c r="G131" s="74"/>
      <c r="H131" s="74"/>
      <c r="I131" s="74"/>
      <c r="J131" s="229"/>
    </row>
    <row r="132" spans="2:10" ht="12" hidden="1" customHeight="1" thickBot="1" x14ac:dyDescent="0.3">
      <c r="B132" s="8"/>
      <c r="E132" s="20"/>
      <c r="F132" s="20"/>
      <c r="G132" s="20"/>
      <c r="H132" s="20"/>
      <c r="I132" s="20"/>
      <c r="J132" s="229"/>
    </row>
    <row r="133" spans="2:10" ht="16.5" thickBot="1" x14ac:dyDescent="0.3">
      <c r="B133" s="8"/>
      <c r="E133" s="17"/>
      <c r="F133" s="17"/>
      <c r="G133" s="17"/>
      <c r="H133" s="17"/>
      <c r="I133" s="17"/>
      <c r="J133" s="229"/>
    </row>
    <row r="134" spans="2:10" ht="12.75" customHeight="1" thickBot="1" x14ac:dyDescent="0.3">
      <c r="B134" s="299"/>
      <c r="C134" s="300" t="s">
        <v>29</v>
      </c>
      <c r="E134" s="81">
        <v>5</v>
      </c>
      <c r="F134" s="81">
        <v>6</v>
      </c>
      <c r="G134" s="81">
        <v>7</v>
      </c>
      <c r="H134" s="81">
        <v>8</v>
      </c>
      <c r="I134" s="81">
        <v>9</v>
      </c>
      <c r="J134" s="229"/>
    </row>
    <row r="135" spans="2:10" ht="12" hidden="1" customHeight="1" x14ac:dyDescent="0.25">
      <c r="B135" s="301" t="s">
        <v>28</v>
      </c>
      <c r="C135" s="302"/>
      <c r="E135" s="76"/>
      <c r="F135" s="76"/>
      <c r="G135" s="76"/>
      <c r="H135" s="76"/>
      <c r="I135" s="76"/>
      <c r="J135" s="229"/>
    </row>
    <row r="136" spans="2:10" ht="12" customHeight="1" x14ac:dyDescent="0.25">
      <c r="B136" s="99"/>
      <c r="C136" s="303" t="s">
        <v>27</v>
      </c>
      <c r="E136" s="106" t="s">
        <v>127</v>
      </c>
      <c r="F136" s="107"/>
      <c r="G136" s="107"/>
      <c r="H136" s="107"/>
      <c r="I136" s="108"/>
      <c r="J136" s="229"/>
    </row>
    <row r="137" spans="2:10" ht="12" hidden="1" customHeight="1" x14ac:dyDescent="0.25">
      <c r="B137" s="304" t="s">
        <v>26</v>
      </c>
      <c r="C137" s="305"/>
      <c r="E137" s="110"/>
      <c r="F137" s="111"/>
      <c r="G137" s="111"/>
      <c r="H137" s="111"/>
      <c r="I137" s="112"/>
      <c r="J137" s="229"/>
    </row>
    <row r="138" spans="2:10" ht="12" customHeight="1" x14ac:dyDescent="0.25">
      <c r="B138" s="6"/>
      <c r="C138" s="88" t="s">
        <v>107</v>
      </c>
      <c r="E138" s="137" t="s">
        <v>90</v>
      </c>
      <c r="F138" s="111"/>
      <c r="G138" s="114" t="s">
        <v>136</v>
      </c>
      <c r="H138" s="111"/>
      <c r="I138" s="143" t="s">
        <v>90</v>
      </c>
      <c r="J138" s="229"/>
    </row>
    <row r="139" spans="2:10" ht="12" customHeight="1" x14ac:dyDescent="0.25">
      <c r="B139" s="6"/>
      <c r="C139" s="25" t="s">
        <v>139</v>
      </c>
      <c r="E139" s="110"/>
      <c r="F139" s="111"/>
      <c r="G139" s="111"/>
      <c r="H139" s="114" t="s">
        <v>89</v>
      </c>
      <c r="I139" s="143" t="s">
        <v>91</v>
      </c>
      <c r="J139" s="229"/>
    </row>
    <row r="140" spans="2:10" ht="12" customHeight="1" thickBot="1" x14ac:dyDescent="0.3">
      <c r="B140" s="3"/>
      <c r="C140" s="306" t="s">
        <v>108</v>
      </c>
      <c r="E140" s="147"/>
      <c r="F140" s="148"/>
      <c r="G140" s="148"/>
      <c r="H140" s="148"/>
      <c r="I140" s="149"/>
      <c r="J140" s="229"/>
    </row>
    <row r="141" spans="2:10" ht="16.5" customHeight="1" thickBot="1" x14ac:dyDescent="0.3">
      <c r="B141" s="8"/>
      <c r="E141" s="20"/>
      <c r="F141" s="20"/>
      <c r="G141" s="20"/>
      <c r="H141" s="20"/>
      <c r="I141" s="20"/>
      <c r="J141" s="229"/>
    </row>
    <row r="142" spans="2:10" ht="12" hidden="1" customHeight="1" thickBot="1" x14ac:dyDescent="0.3">
      <c r="B142" s="8"/>
      <c r="E142" s="287"/>
      <c r="F142" s="428" t="s">
        <v>14</v>
      </c>
      <c r="G142" s="429"/>
      <c r="H142" s="429"/>
      <c r="I142" s="430"/>
      <c r="J142" s="229"/>
    </row>
    <row r="143" spans="2:10" ht="12" customHeight="1" thickBot="1" x14ac:dyDescent="0.3">
      <c r="B143" s="4"/>
      <c r="C143" s="23" t="s">
        <v>25</v>
      </c>
      <c r="E143" s="81">
        <v>5</v>
      </c>
      <c r="F143" s="81">
        <v>6</v>
      </c>
      <c r="G143" s="81">
        <v>7</v>
      </c>
      <c r="H143" s="81">
        <v>8</v>
      </c>
      <c r="I143" s="81">
        <v>9</v>
      </c>
      <c r="J143" s="229"/>
    </row>
    <row r="144" spans="2:10" ht="12" hidden="1" customHeight="1" x14ac:dyDescent="0.25">
      <c r="B144" s="53" t="s">
        <v>25</v>
      </c>
      <c r="C144" s="48"/>
      <c r="E144" s="77"/>
      <c r="F144" s="77"/>
      <c r="G144" s="77"/>
      <c r="H144" s="77"/>
      <c r="I144" s="77"/>
      <c r="J144" s="229"/>
    </row>
    <row r="145" spans="2:10" ht="12" customHeight="1" thickBot="1" x14ac:dyDescent="0.3">
      <c r="B145" s="3"/>
      <c r="C145" s="26" t="s">
        <v>24</v>
      </c>
      <c r="E145" s="159"/>
      <c r="F145" s="162"/>
      <c r="G145" s="160"/>
      <c r="H145" s="161" t="s">
        <v>136</v>
      </c>
      <c r="I145" s="163"/>
      <c r="J145" s="229"/>
    </row>
    <row r="146" spans="2:10" ht="16.5" customHeight="1" thickBot="1" x14ac:dyDescent="0.3">
      <c r="B146" s="8"/>
      <c r="C146" s="22"/>
      <c r="E146" s="20"/>
      <c r="F146" s="20"/>
      <c r="G146" s="20"/>
      <c r="H146" s="20"/>
      <c r="I146" s="20"/>
      <c r="J146" s="229"/>
    </row>
    <row r="147" spans="2:10" ht="12" hidden="1" customHeight="1" thickBot="1" x14ac:dyDescent="0.3">
      <c r="B147" s="8"/>
      <c r="C147" s="22"/>
      <c r="E147" s="287"/>
      <c r="F147" s="428" t="s">
        <v>14</v>
      </c>
      <c r="G147" s="429"/>
      <c r="H147" s="429"/>
      <c r="I147" s="430"/>
      <c r="J147" s="229"/>
    </row>
    <row r="148" spans="2:10" ht="12" customHeight="1" thickBot="1" x14ac:dyDescent="0.3">
      <c r="B148" s="4"/>
      <c r="C148" s="23" t="s">
        <v>23</v>
      </c>
      <c r="E148" s="81">
        <v>5</v>
      </c>
      <c r="F148" s="81">
        <v>6</v>
      </c>
      <c r="G148" s="81">
        <v>7</v>
      </c>
      <c r="H148" s="81">
        <v>8</v>
      </c>
      <c r="I148" s="81">
        <v>9</v>
      </c>
      <c r="J148" s="229"/>
    </row>
    <row r="149" spans="2:10" ht="12" hidden="1" customHeight="1" x14ac:dyDescent="0.25">
      <c r="B149" s="52" t="s">
        <v>22</v>
      </c>
      <c r="C149" s="49"/>
      <c r="E149" s="79"/>
      <c r="F149" s="79"/>
      <c r="G149" s="79"/>
      <c r="H149" s="79"/>
      <c r="I149" s="79"/>
      <c r="J149" s="229"/>
    </row>
    <row r="150" spans="2:10" ht="12" customHeight="1" x14ac:dyDescent="0.25">
      <c r="B150" s="6"/>
      <c r="C150" s="25" t="s">
        <v>140</v>
      </c>
      <c r="E150" s="164"/>
      <c r="F150" s="165"/>
      <c r="G150" s="165"/>
      <c r="H150" s="165"/>
      <c r="I150" s="166"/>
      <c r="J150" s="229"/>
    </row>
    <row r="151" spans="2:10" ht="12" customHeight="1" x14ac:dyDescent="0.25">
      <c r="B151" s="5"/>
      <c r="C151" s="24" t="s">
        <v>109</v>
      </c>
      <c r="E151" s="167"/>
      <c r="F151" s="168"/>
      <c r="G151" s="168"/>
      <c r="H151" s="168"/>
      <c r="I151" s="169"/>
      <c r="J151" s="229"/>
    </row>
    <row r="152" spans="2:10" ht="12" hidden="1" customHeight="1" x14ac:dyDescent="0.25">
      <c r="B152" s="52" t="s">
        <v>21</v>
      </c>
      <c r="C152" s="33"/>
      <c r="E152" s="167"/>
      <c r="F152" s="168"/>
      <c r="G152" s="168"/>
      <c r="H152" s="168"/>
      <c r="I152" s="169"/>
      <c r="J152" s="229"/>
    </row>
    <row r="153" spans="2:10" ht="12" customHeight="1" thickBot="1" x14ac:dyDescent="0.3">
      <c r="B153" s="3"/>
      <c r="C153" s="26" t="s">
        <v>20</v>
      </c>
      <c r="E153" s="170"/>
      <c r="F153" s="171"/>
      <c r="G153" s="171"/>
      <c r="H153" s="129" t="s">
        <v>89</v>
      </c>
      <c r="I153" s="173"/>
      <c r="J153" s="229"/>
    </row>
    <row r="154" spans="2:10" ht="15.75" customHeight="1" thickBot="1" x14ac:dyDescent="0.3">
      <c r="B154" s="8"/>
      <c r="E154" s="20"/>
      <c r="F154" s="20"/>
      <c r="G154" s="20"/>
      <c r="H154" s="20"/>
      <c r="I154" s="20"/>
      <c r="J154" s="229"/>
    </row>
    <row r="155" spans="2:10" ht="12" hidden="1" customHeight="1" thickBot="1" x14ac:dyDescent="0.3">
      <c r="B155" s="8"/>
      <c r="E155" s="287"/>
      <c r="F155" s="428" t="s">
        <v>14</v>
      </c>
      <c r="G155" s="429"/>
      <c r="H155" s="429"/>
      <c r="I155" s="430"/>
      <c r="J155" s="229"/>
    </row>
    <row r="156" spans="2:10" ht="12" hidden="1" customHeight="1" thickBot="1" x14ac:dyDescent="0.3">
      <c r="B156" s="8"/>
      <c r="E156" s="182"/>
      <c r="F156" s="182"/>
      <c r="G156" s="182"/>
      <c r="H156" s="182"/>
      <c r="I156" s="182"/>
      <c r="J156" s="229"/>
    </row>
    <row r="157" spans="2:10" ht="12" hidden="1" customHeight="1" thickBot="1" x14ac:dyDescent="0.3">
      <c r="B157" s="8"/>
      <c r="E157" s="287"/>
      <c r="F157" s="422" t="s">
        <v>14</v>
      </c>
      <c r="G157" s="423"/>
      <c r="H157" s="423"/>
      <c r="I157" s="424"/>
      <c r="J157" s="229"/>
    </row>
    <row r="158" spans="2:10" ht="12" hidden="1" customHeight="1" thickBot="1" x14ac:dyDescent="0.3">
      <c r="B158" s="37"/>
      <c r="C158" s="23" t="s">
        <v>19</v>
      </c>
      <c r="E158" s="85">
        <v>5</v>
      </c>
      <c r="F158" s="85">
        <v>6</v>
      </c>
      <c r="G158" s="85">
        <v>7</v>
      </c>
      <c r="H158" s="85">
        <v>8</v>
      </c>
      <c r="I158" s="85">
        <v>9</v>
      </c>
      <c r="J158" s="229"/>
    </row>
    <row r="159" spans="2:10" ht="12" hidden="1" customHeight="1" x14ac:dyDescent="0.25">
      <c r="B159" s="38" t="s">
        <v>19</v>
      </c>
      <c r="C159" s="27"/>
      <c r="E159" s="63"/>
      <c r="F159" s="63"/>
      <c r="G159" s="63"/>
      <c r="H159" s="63"/>
      <c r="I159" s="63"/>
      <c r="J159" s="229"/>
    </row>
    <row r="160" spans="2:10" ht="12" hidden="1" customHeight="1" thickBot="1" x14ac:dyDescent="0.3">
      <c r="B160" s="8"/>
      <c r="C160" s="26" t="s">
        <v>18</v>
      </c>
      <c r="E160" s="72"/>
      <c r="F160" s="59" t="s">
        <v>0</v>
      </c>
      <c r="G160" s="72"/>
      <c r="H160" s="72"/>
      <c r="I160" s="72"/>
      <c r="J160" s="229"/>
    </row>
    <row r="161" spans="2:10" ht="12" hidden="1" customHeight="1" thickBot="1" x14ac:dyDescent="0.3">
      <c r="B161" s="8"/>
      <c r="E161" s="287"/>
      <c r="F161" s="416" t="s">
        <v>14</v>
      </c>
      <c r="G161" s="417"/>
      <c r="H161" s="417"/>
      <c r="I161" s="418"/>
      <c r="J161" s="229"/>
    </row>
    <row r="162" spans="2:10" ht="12" customHeight="1" thickBot="1" x14ac:dyDescent="0.3">
      <c r="B162" s="4"/>
      <c r="C162" s="23" t="s">
        <v>17</v>
      </c>
      <c r="D162" s="213"/>
      <c r="E162" s="81">
        <v>5</v>
      </c>
      <c r="F162" s="81">
        <v>6</v>
      </c>
      <c r="G162" s="81">
        <v>7</v>
      </c>
      <c r="H162" s="81">
        <v>8</v>
      </c>
      <c r="I162" s="81">
        <v>9</v>
      </c>
      <c r="J162" s="229"/>
    </row>
    <row r="163" spans="2:10" ht="12" hidden="1" customHeight="1" thickBot="1" x14ac:dyDescent="0.3">
      <c r="B163" s="51" t="s">
        <v>16</v>
      </c>
      <c r="C163" s="43"/>
      <c r="D163" s="97"/>
      <c r="E163" s="65"/>
      <c r="F163" s="65"/>
      <c r="G163" s="65"/>
      <c r="H163" s="65"/>
      <c r="I163" s="65"/>
      <c r="J163" s="229"/>
    </row>
    <row r="164" spans="2:10" ht="12" customHeight="1" x14ac:dyDescent="0.25">
      <c r="B164" s="5"/>
      <c r="C164" s="96" t="s">
        <v>128</v>
      </c>
      <c r="D164" s="97"/>
      <c r="E164" s="154"/>
      <c r="F164" s="107"/>
      <c r="G164" s="107"/>
      <c r="H164" s="109" t="s">
        <v>177</v>
      </c>
      <c r="I164" s="155" t="s">
        <v>90</v>
      </c>
      <c r="J164" s="229"/>
    </row>
    <row r="165" spans="2:10" ht="12" customHeight="1" x14ac:dyDescent="0.25">
      <c r="B165" s="5"/>
      <c r="C165" s="92" t="s">
        <v>130</v>
      </c>
      <c r="D165" s="97"/>
      <c r="E165" s="137" t="s">
        <v>90</v>
      </c>
      <c r="F165" s="156"/>
      <c r="G165" s="156"/>
      <c r="H165" s="156"/>
      <c r="I165" s="157"/>
      <c r="J165" s="229"/>
    </row>
    <row r="166" spans="2:10" ht="12" customHeight="1" x14ac:dyDescent="0.25">
      <c r="B166" s="5"/>
      <c r="C166" s="92" t="s">
        <v>178</v>
      </c>
      <c r="D166" s="97"/>
      <c r="E166" s="110"/>
      <c r="F166" s="190" t="s">
        <v>90</v>
      </c>
      <c r="G166" s="156"/>
      <c r="H166" s="156"/>
      <c r="I166" s="157"/>
      <c r="J166" s="229"/>
    </row>
    <row r="167" spans="2:10" ht="12" customHeight="1" x14ac:dyDescent="0.25">
      <c r="B167" s="5"/>
      <c r="C167" s="92" t="s">
        <v>129</v>
      </c>
      <c r="D167" s="97"/>
      <c r="E167" s="110"/>
      <c r="F167" s="111"/>
      <c r="G167" s="111"/>
      <c r="H167" s="111"/>
      <c r="I167" s="112"/>
      <c r="J167" s="229"/>
    </row>
    <row r="168" spans="2:10" ht="12" customHeight="1" thickBot="1" x14ac:dyDescent="0.3">
      <c r="B168" s="3"/>
      <c r="C168" s="26" t="s">
        <v>110</v>
      </c>
      <c r="D168" s="220"/>
      <c r="E168" s="147"/>
      <c r="F168" s="148"/>
      <c r="G168" s="129" t="s">
        <v>89</v>
      </c>
      <c r="H168" s="148"/>
      <c r="I168" s="149"/>
      <c r="J168" s="229"/>
    </row>
    <row r="169" spans="2:10" ht="14.25" customHeight="1" thickBot="1" x14ac:dyDescent="0.3">
      <c r="B169" s="8"/>
      <c r="E169" s="20"/>
      <c r="F169" s="20"/>
      <c r="G169" s="20"/>
      <c r="H169" s="20"/>
      <c r="I169" s="20"/>
      <c r="J169" s="229"/>
    </row>
    <row r="170" spans="2:10" ht="12" hidden="1" customHeight="1" thickBot="1" x14ac:dyDescent="0.3">
      <c r="B170" s="8"/>
      <c r="E170" s="287"/>
      <c r="F170" s="416" t="s">
        <v>14</v>
      </c>
      <c r="G170" s="417"/>
      <c r="H170" s="417"/>
      <c r="I170" s="418"/>
      <c r="J170" s="229"/>
    </row>
    <row r="171" spans="2:10" ht="12" customHeight="1" thickBot="1" x14ac:dyDescent="0.3">
      <c r="B171" s="4"/>
      <c r="C171" s="23" t="s">
        <v>179</v>
      </c>
      <c r="E171" s="95">
        <v>5</v>
      </c>
      <c r="F171" s="95">
        <v>6</v>
      </c>
      <c r="G171" s="95">
        <v>7</v>
      </c>
      <c r="H171" s="95">
        <v>8</v>
      </c>
      <c r="I171" s="95">
        <v>9</v>
      </c>
      <c r="J171" s="229"/>
    </row>
    <row r="172" spans="2:10" ht="12" hidden="1" customHeight="1" x14ac:dyDescent="0.25">
      <c r="B172" s="6" t="s">
        <v>3</v>
      </c>
      <c r="C172" s="50"/>
      <c r="E172" s="105"/>
      <c r="F172" s="105"/>
      <c r="G172" s="105"/>
      <c r="H172" s="105"/>
      <c r="I172" s="105"/>
      <c r="J172" s="229"/>
    </row>
    <row r="173" spans="2:10" ht="12" hidden="1" customHeight="1" x14ac:dyDescent="0.25">
      <c r="B173" s="6" t="s">
        <v>2</v>
      </c>
      <c r="C173" s="34"/>
      <c r="E173" s="110"/>
      <c r="F173" s="111"/>
      <c r="G173" s="111"/>
      <c r="H173" s="111"/>
      <c r="I173" s="112"/>
      <c r="J173" s="229"/>
    </row>
    <row r="174" spans="2:10" ht="12" customHeight="1" x14ac:dyDescent="0.25">
      <c r="B174" s="6"/>
      <c r="C174" s="91" t="s">
        <v>111</v>
      </c>
      <c r="E174" s="110"/>
      <c r="F174" s="111"/>
      <c r="G174" s="114" t="s">
        <v>136</v>
      </c>
      <c r="H174" s="111"/>
      <c r="I174" s="112"/>
      <c r="J174" s="229"/>
    </row>
    <row r="175" spans="2:10" ht="12" customHeight="1" x14ac:dyDescent="0.25">
      <c r="B175" s="6"/>
      <c r="C175" s="91" t="s">
        <v>119</v>
      </c>
      <c r="E175" s="110"/>
      <c r="F175" s="111"/>
      <c r="G175" s="111"/>
      <c r="H175" s="111"/>
      <c r="I175" s="112"/>
      <c r="J175" s="229"/>
    </row>
    <row r="176" spans="2:10" ht="12" customHeight="1" thickBot="1" x14ac:dyDescent="0.3">
      <c r="B176" s="3"/>
      <c r="C176" s="28" t="s">
        <v>1</v>
      </c>
      <c r="E176" s="147"/>
      <c r="F176" s="148"/>
      <c r="G176" s="148"/>
      <c r="H176" s="148"/>
      <c r="I176" s="149"/>
      <c r="J176" s="229"/>
    </row>
    <row r="177" spans="2:10" x14ac:dyDescent="0.25">
      <c r="B177" s="8"/>
      <c r="J177" s="229"/>
    </row>
    <row r="178" spans="2:10" hidden="1" x14ac:dyDescent="0.25">
      <c r="B178" s="8"/>
    </row>
    <row r="179" spans="2:10" hidden="1" x14ac:dyDescent="0.25">
      <c r="B179" s="8"/>
    </row>
    <row r="180" spans="2:10" hidden="1" x14ac:dyDescent="0.25">
      <c r="B180" s="8"/>
    </row>
    <row r="181" spans="2:10" hidden="1" x14ac:dyDescent="0.25">
      <c r="B181" s="8"/>
    </row>
    <row r="182" spans="2:10" hidden="1" x14ac:dyDescent="0.25">
      <c r="B182" s="8"/>
    </row>
    <row r="183" spans="2:10" hidden="1" x14ac:dyDescent="0.25">
      <c r="B183" s="8"/>
    </row>
    <row r="184" spans="2:10" hidden="1" x14ac:dyDescent="0.25">
      <c r="B184" s="8"/>
    </row>
    <row r="185" spans="2:10" hidden="1" x14ac:dyDescent="0.25">
      <c r="B185" s="8"/>
    </row>
    <row r="186" spans="2:10" hidden="1" x14ac:dyDescent="0.25">
      <c r="B186" s="8"/>
    </row>
    <row r="187" spans="2:10" hidden="1" x14ac:dyDescent="0.25">
      <c r="B187" s="8"/>
    </row>
    <row r="188" spans="2:10" hidden="1" x14ac:dyDescent="0.25">
      <c r="B188" s="8"/>
    </row>
    <row r="189" spans="2:10" hidden="1" x14ac:dyDescent="0.25">
      <c r="B189" s="8"/>
    </row>
    <row r="190" spans="2:10" hidden="1" x14ac:dyDescent="0.25">
      <c r="B190" s="8"/>
    </row>
    <row r="191" spans="2:10" hidden="1" x14ac:dyDescent="0.25">
      <c r="B191" s="8"/>
    </row>
    <row r="192" spans="2:10" hidden="1" x14ac:dyDescent="0.25">
      <c r="B192" s="8"/>
    </row>
    <row r="193" spans="2:2" hidden="1" x14ac:dyDescent="0.25">
      <c r="B193" s="8"/>
    </row>
    <row r="194" spans="2:2" hidden="1" x14ac:dyDescent="0.25">
      <c r="B194" s="8"/>
    </row>
    <row r="195" spans="2:2" hidden="1" x14ac:dyDescent="0.25">
      <c r="B195" s="8"/>
    </row>
    <row r="196" spans="2:2" hidden="1" x14ac:dyDescent="0.25">
      <c r="B196" s="8"/>
    </row>
    <row r="197" spans="2:2" hidden="1" x14ac:dyDescent="0.25">
      <c r="B197" s="8"/>
    </row>
    <row r="198" spans="2:2" hidden="1" x14ac:dyDescent="0.25">
      <c r="B198" s="8"/>
    </row>
    <row r="199" spans="2:2" hidden="1" x14ac:dyDescent="0.25">
      <c r="B199" s="8"/>
    </row>
    <row r="200" spans="2:2" hidden="1" x14ac:dyDescent="0.25">
      <c r="B200" s="8"/>
    </row>
    <row r="201" spans="2:2" hidden="1" x14ac:dyDescent="0.25">
      <c r="B201" s="8"/>
    </row>
    <row r="202" spans="2:2" hidden="1" x14ac:dyDescent="0.25">
      <c r="B202" s="8"/>
    </row>
    <row r="203" spans="2:2" hidden="1" x14ac:dyDescent="0.25">
      <c r="B203" s="8"/>
    </row>
    <row r="204" spans="2:2" hidden="1" x14ac:dyDescent="0.25">
      <c r="B204" s="8"/>
    </row>
    <row r="205" spans="2:2" hidden="1" x14ac:dyDescent="0.25">
      <c r="B205" s="8"/>
    </row>
    <row r="206" spans="2:2" hidden="1" x14ac:dyDescent="0.25">
      <c r="B206" s="8"/>
    </row>
    <row r="207" spans="2:2" hidden="1" x14ac:dyDescent="0.25">
      <c r="B207" s="8"/>
    </row>
    <row r="208" spans="2:2" hidden="1" x14ac:dyDescent="0.25">
      <c r="B208" s="8"/>
    </row>
    <row r="209" hidden="1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</sheetData>
  <mergeCells count="10">
    <mergeCell ref="F170:I170"/>
    <mergeCell ref="F161:I161"/>
    <mergeCell ref="F157:I157"/>
    <mergeCell ref="F155:I155"/>
    <mergeCell ref="F147:I147"/>
    <mergeCell ref="F142:I142"/>
    <mergeCell ref="F129:I129"/>
    <mergeCell ref="F118:I118"/>
    <mergeCell ref="F108:I108"/>
    <mergeCell ref="E10:I10"/>
  </mergeCells>
  <conditionalFormatting sqref="A19:B20 A79:B79 A54:B54 A136:B136 A121:B121 A103:B103 A96:B96 A176:B176 A167:B167 A153:B153 A148:B148 A3:C3 A46:B47 A41:B44 D54 A45:D45 A38:D40 D46:D47 A48:D53 E3:J3 A10:E10 A55:D58 D41:D44 A99:B101 A85:A94 F38:I58 A2:J2 A4:J4 D19:I20 D136:I136 D121:I121 D103:I103 D96:I96 D176:I176 D153:I153 D148:I148 A97:I98 A178:XFD1048576 A149:I152 A1:XFD1 A137:I147 A104:I120 D79:I79 A102:I102 D99:I101 A122:I124 A95:I95 C85:I87 A80:I84 A59:I78 D88:I94 A154:I166 D167:I167 A168:I175 A21:I37 A126:I135 D125:I125 K125:XFD125 A11:I18 A177:I177 K177:XFD177 K11:XFD13 K6:XFD9 A5:I9">
    <cfRule type="containsText" dxfId="61" priority="74" operator="containsText" text="BV">
      <formula>NOT(ISERROR(SEARCH("BV",A1)))</formula>
    </cfRule>
    <cfRule type="containsText" dxfId="60" priority="75" operator="containsText" text="V">
      <formula>NOT(ISERROR(SEARCH("V",A1)))</formula>
    </cfRule>
    <cfRule type="containsText" dxfId="59" priority="76" operator="containsText" text="BQ-BV">
      <formula>NOT(ISERROR(SEARCH("BQ-BV",A1)))</formula>
    </cfRule>
    <cfRule type="containsText" dxfId="58" priority="77" operator="containsText" text="V">
      <formula>NOT(ISERROR(SEARCH("V",A1)))</formula>
    </cfRule>
    <cfRule type="containsText" dxfId="57" priority="78" operator="containsText" text="QB">
      <formula>NOT(ISERROR(SEARCH("QB",A1)))</formula>
    </cfRule>
    <cfRule type="containsText" dxfId="56" priority="79" operator="containsText" text="BQ">
      <formula>NOT(ISERROR(SEARCH("BQ",A1)))</formula>
    </cfRule>
    <cfRule type="containsText" dxfId="55" priority="81" operator="containsText" text="BQ-BV">
      <formula>NOT(ISERROR(SEARCH("BQ-BV",A1)))</formula>
    </cfRule>
    <cfRule type="containsText" dxfId="54" priority="82" operator="containsText" text="BV">
      <formula>NOT(ISERROR(SEARCH("BV",A1)))</formula>
    </cfRule>
    <cfRule type="containsText" dxfId="53" priority="83" operator="containsText" text="BQ">
      <formula>NOT(ISERROR(SEARCH("BQ",A1)))</formula>
    </cfRule>
  </conditionalFormatting>
  <conditionalFormatting sqref="A19:B20 A79:B79 A54:B54 A136:B136 A121:B121 A103:B103 A96:B96 A176:B176 A167:B167 A153:B153 A148:B148 A3:C3 A46:B47 A41:B44 D54 A45:D45 D46:D47 A48:D53 E3:J3 A10:E10 A55:D58 A38:D40 D41:D44 A99:B101 A85:A94 F38:I58 A2:J2 A4:J4 D19:I20 D136:I136 D121:I121 D103:I103 D96:I96 D176:I176 D153:I153 D148:I148 A97:I98 A178:XFD1048576 A149:I152 A1:XFD1 A137:I147 A104:I120 D79:I79 A102:I102 D99:I101 A122:I124 A95:I95 C85:I87 A80:I84 A59:I78 D88:I94 A154:I166 D167:I167 A168:I175 A21:I37 A126:I135 D125:I125 K125:XFD125 A11:I18 A177:I177 K177:XFD177 K11:XFD13 K6:XFD9 A5:I9">
    <cfRule type="containsText" dxfId="52" priority="73" operator="containsText" text="V">
      <formula>NOT(ISERROR(SEARCH("V",A1)))</formula>
    </cfRule>
  </conditionalFormatting>
  <conditionalFormatting sqref="E38:E58">
    <cfRule type="containsText" dxfId="51" priority="64" operator="containsText" text="BV">
      <formula>NOT(ISERROR(SEARCH("BV",E38)))</formula>
    </cfRule>
    <cfRule type="containsText" dxfId="50" priority="65" operator="containsText" text="V">
      <formula>NOT(ISERROR(SEARCH("V",E38)))</formula>
    </cfRule>
    <cfRule type="containsText" dxfId="49" priority="66" operator="containsText" text="BQ-BV">
      <formula>NOT(ISERROR(SEARCH("BQ-BV",E38)))</formula>
    </cfRule>
    <cfRule type="containsText" dxfId="48" priority="67" operator="containsText" text="V">
      <formula>NOT(ISERROR(SEARCH("V",E38)))</formula>
    </cfRule>
    <cfRule type="containsText" dxfId="47" priority="68" operator="containsText" text="QB">
      <formula>NOT(ISERROR(SEARCH("QB",E38)))</formula>
    </cfRule>
    <cfRule type="containsText" dxfId="46" priority="69" operator="containsText" text="BQ">
      <formula>NOT(ISERROR(SEARCH("BQ",E38)))</formula>
    </cfRule>
    <cfRule type="containsText" dxfId="45" priority="70" operator="containsText" text="BQ-BV">
      <formula>NOT(ISERROR(SEARCH("BQ-BV",E38)))</formula>
    </cfRule>
    <cfRule type="containsText" dxfId="44" priority="71" operator="containsText" text="BV">
      <formula>NOT(ISERROR(SEARCH("BV",E38)))</formula>
    </cfRule>
    <cfRule type="containsText" dxfId="43" priority="72" operator="containsText" text="BQ">
      <formula>NOT(ISERROR(SEARCH("BQ",E38)))</formula>
    </cfRule>
  </conditionalFormatting>
  <conditionalFormatting sqref="E38:E58">
    <cfRule type="containsText" dxfId="42" priority="63" operator="containsText" text="V">
      <formula>NOT(ISERROR(SEARCH("V",E38)))</formula>
    </cfRule>
  </conditionalFormatting>
  <conditionalFormatting sqref="C89:C90">
    <cfRule type="containsText" dxfId="41" priority="53" operator="containsText" text="BV">
      <formula>NOT(ISERROR(SEARCH("BV",C89)))</formula>
    </cfRule>
    <cfRule type="containsText" dxfId="40" priority="54" operator="containsText" text="V">
      <formula>NOT(ISERROR(SEARCH("V",C89)))</formula>
    </cfRule>
    <cfRule type="containsText" dxfId="39" priority="55" operator="containsText" text="BQ-BV">
      <formula>NOT(ISERROR(SEARCH("BQ-BV",C89)))</formula>
    </cfRule>
    <cfRule type="containsText" dxfId="38" priority="56" operator="containsText" text="V">
      <formula>NOT(ISERROR(SEARCH("V",C89)))</formula>
    </cfRule>
    <cfRule type="containsText" dxfId="37" priority="57" operator="containsText" text="QB">
      <formula>NOT(ISERROR(SEARCH("QB",C89)))</formula>
    </cfRule>
    <cfRule type="containsText" dxfId="36" priority="58" operator="containsText" text="BQ">
      <formula>NOT(ISERROR(SEARCH("BQ",C89)))</formula>
    </cfRule>
    <cfRule type="containsText" dxfId="35" priority="59" operator="containsText" text="BQ-BV">
      <formula>NOT(ISERROR(SEARCH("BQ-BV",C89)))</formula>
    </cfRule>
    <cfRule type="containsText" dxfId="34" priority="60" operator="containsText" text="BV">
      <formula>NOT(ISERROR(SEARCH("BV",C89)))</formula>
    </cfRule>
    <cfRule type="containsText" dxfId="33" priority="61" operator="containsText" text="BQ">
      <formula>NOT(ISERROR(SEARCH("BQ",C89)))</formula>
    </cfRule>
  </conditionalFormatting>
  <conditionalFormatting sqref="C89:C90">
    <cfRule type="containsText" dxfId="32" priority="52" operator="containsText" text="V">
      <formula>NOT(ISERROR(SEARCH("V",C89)))</formula>
    </cfRule>
  </conditionalFormatting>
  <conditionalFormatting sqref="B85:B88">
    <cfRule type="containsText" dxfId="31" priority="43" operator="containsText" text="BV">
      <formula>NOT(ISERROR(SEARCH("BV",B85)))</formula>
    </cfRule>
    <cfRule type="containsText" dxfId="30" priority="44" operator="containsText" text="V">
      <formula>NOT(ISERROR(SEARCH("V",B85)))</formula>
    </cfRule>
    <cfRule type="containsText" dxfId="29" priority="45" operator="containsText" text="BQ-BV">
      <formula>NOT(ISERROR(SEARCH("BQ-BV",B85)))</formula>
    </cfRule>
    <cfRule type="containsText" dxfId="28" priority="46" operator="containsText" text="V">
      <formula>NOT(ISERROR(SEARCH("V",B85)))</formula>
    </cfRule>
    <cfRule type="containsText" dxfId="27" priority="47" operator="containsText" text="QB">
      <formula>NOT(ISERROR(SEARCH("QB",B85)))</formula>
    </cfRule>
    <cfRule type="containsText" dxfId="26" priority="48" operator="containsText" text="BQ">
      <formula>NOT(ISERROR(SEARCH("BQ",B85)))</formula>
    </cfRule>
    <cfRule type="containsText" dxfId="25" priority="49" operator="containsText" text="BQ-BV">
      <formula>NOT(ISERROR(SEARCH("BQ-BV",B85)))</formula>
    </cfRule>
    <cfRule type="containsText" dxfId="24" priority="50" operator="containsText" text="BV">
      <formula>NOT(ISERROR(SEARCH("BV",B85)))</formula>
    </cfRule>
    <cfRule type="containsText" dxfId="23" priority="51" operator="containsText" text="BQ">
      <formula>NOT(ISERROR(SEARCH("BQ",B85)))</formula>
    </cfRule>
  </conditionalFormatting>
  <conditionalFormatting sqref="B85:B88">
    <cfRule type="containsText" dxfId="22" priority="42" operator="containsText" text="V">
      <formula>NOT(ISERROR(SEARCH("V",B85)))</formula>
    </cfRule>
  </conditionalFormatting>
  <conditionalFormatting sqref="B89:B94">
    <cfRule type="containsText" dxfId="21" priority="33" operator="containsText" text="BV">
      <formula>NOT(ISERROR(SEARCH("BV",B89)))</formula>
    </cfRule>
    <cfRule type="containsText" dxfId="20" priority="34" operator="containsText" text="V">
      <formula>NOT(ISERROR(SEARCH("V",B89)))</formula>
    </cfRule>
    <cfRule type="containsText" dxfId="19" priority="35" operator="containsText" text="BQ-BV">
      <formula>NOT(ISERROR(SEARCH("BQ-BV",B89)))</formula>
    </cfRule>
    <cfRule type="containsText" dxfId="18" priority="36" operator="containsText" text="V">
      <formula>NOT(ISERROR(SEARCH("V",B89)))</formula>
    </cfRule>
    <cfRule type="containsText" dxfId="17" priority="37" operator="containsText" text="QB">
      <formula>NOT(ISERROR(SEARCH("QB",B89)))</formula>
    </cfRule>
    <cfRule type="containsText" dxfId="16" priority="38" operator="containsText" text="BQ">
      <formula>NOT(ISERROR(SEARCH("BQ",B89)))</formula>
    </cfRule>
    <cfRule type="containsText" dxfId="15" priority="39" operator="containsText" text="BQ-BV">
      <formula>NOT(ISERROR(SEARCH("BQ-BV",B89)))</formula>
    </cfRule>
    <cfRule type="containsText" dxfId="14" priority="40" operator="containsText" text="BV">
      <formula>NOT(ISERROR(SEARCH("BV",B89)))</formula>
    </cfRule>
    <cfRule type="containsText" dxfId="13" priority="41" operator="containsText" text="BQ">
      <formula>NOT(ISERROR(SEARCH("BQ",B89)))</formula>
    </cfRule>
  </conditionalFormatting>
  <conditionalFormatting sqref="B89:B94">
    <cfRule type="containsText" dxfId="12" priority="32" operator="containsText" text="V">
      <formula>NOT(ISERROR(SEARCH("V",B89)))</formula>
    </cfRule>
  </conditionalFormatting>
  <conditionalFormatting sqref="F28">
    <cfRule type="cellIs" dxfId="11" priority="31" operator="equal">
      <formula>"BV"</formula>
    </cfRule>
  </conditionalFormatting>
  <conditionalFormatting sqref="G24">
    <cfRule type="cellIs" dxfId="10" priority="21" operator="equal">
      <formula>"BV"</formula>
    </cfRule>
  </conditionalFormatting>
  <conditionalFormatting sqref="A125:B125">
    <cfRule type="containsText" dxfId="9" priority="2" operator="containsText" text="BV">
      <formula>NOT(ISERROR(SEARCH("BV",A125)))</formula>
    </cfRule>
    <cfRule type="containsText" dxfId="8" priority="3" operator="containsText" text="V">
      <formula>NOT(ISERROR(SEARCH("V",A125)))</formula>
    </cfRule>
    <cfRule type="containsText" dxfId="7" priority="4" operator="containsText" text="BQ-BV">
      <formula>NOT(ISERROR(SEARCH("BQ-BV",A125)))</formula>
    </cfRule>
    <cfRule type="containsText" dxfId="6" priority="5" operator="containsText" text="V">
      <formula>NOT(ISERROR(SEARCH("V",A125)))</formula>
    </cfRule>
    <cfRule type="containsText" dxfId="5" priority="6" operator="containsText" text="QB">
      <formula>NOT(ISERROR(SEARCH("QB",A125)))</formula>
    </cfRule>
    <cfRule type="containsText" dxfId="4" priority="7" operator="containsText" text="BQ">
      <formula>NOT(ISERROR(SEARCH("BQ",A125)))</formula>
    </cfRule>
    <cfRule type="containsText" dxfId="3" priority="8" operator="containsText" text="BQ-BV">
      <formula>NOT(ISERROR(SEARCH("BQ-BV",A125)))</formula>
    </cfRule>
    <cfRule type="containsText" dxfId="2" priority="9" operator="containsText" text="BV">
      <formula>NOT(ISERROR(SEARCH("BV",A125)))</formula>
    </cfRule>
    <cfRule type="containsText" dxfId="1" priority="10" operator="containsText" text="BQ">
      <formula>NOT(ISERROR(SEARCH("BQ",A125)))</formula>
    </cfRule>
  </conditionalFormatting>
  <conditionalFormatting sqref="A125:B125">
    <cfRule type="containsText" dxfId="0" priority="1" operator="containsText" text="V">
      <formula>NOT(ISERROR(SEARCH("V",A125)))</formula>
    </cfRule>
  </conditionalFormatting>
  <printOptions horizontalCentered="1" verticalCentered="1"/>
  <pageMargins left="0.70866141732283472" right="0.70866141732283472" top="0.74803149606299213" bottom="0.59055118110236227" header="0.31496062992125984" footer="0.31496062992125984"/>
  <pageSetup paperSize="17" scale="42" orientation="landscape" r:id="rId1"/>
  <headerFooter>
    <oddFooter>&amp;L&amp;F&amp;RHoja &amp;P de &amp;N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view="pageBreakPreview" topLeftCell="A7" zoomScaleNormal="96" zoomScaleSheetLayoutView="100" workbookViewId="0">
      <selection activeCell="H30" sqref="H30"/>
    </sheetView>
  </sheetViews>
  <sheetFormatPr baseColWidth="10" defaultColWidth="10.109375" defaultRowHeight="15" x14ac:dyDescent="0.25"/>
  <cols>
    <col min="1" max="1" width="3.5546875" style="234" customWidth="1"/>
    <col min="2" max="2" width="36.88671875" style="234" customWidth="1"/>
    <col min="3" max="5" width="4.88671875" style="234" bestFit="1" customWidth="1"/>
    <col min="6" max="6" width="6" style="234" customWidth="1"/>
    <col min="7" max="7" width="6.33203125" style="241" customWidth="1"/>
    <col min="8" max="8" width="5" style="241" customWidth="1"/>
    <col min="9" max="9" width="1.77734375" style="234" customWidth="1"/>
    <col min="10" max="16384" width="10.109375" style="234"/>
  </cols>
  <sheetData>
    <row r="1" spans="1:8" ht="15.75" x14ac:dyDescent="0.25">
      <c r="B1" s="235"/>
      <c r="C1" s="235"/>
      <c r="D1" s="235"/>
      <c r="E1" s="235"/>
      <c r="F1" s="235"/>
      <c r="G1" s="236"/>
      <c r="H1" s="236"/>
    </row>
    <row r="2" spans="1:8" ht="15.75" x14ac:dyDescent="0.25">
      <c r="B2" s="237" t="s">
        <v>87</v>
      </c>
      <c r="C2" s="238"/>
      <c r="D2" s="239"/>
      <c r="E2" s="239"/>
      <c r="F2" s="239"/>
      <c r="G2" s="239"/>
      <c r="H2" s="239"/>
    </row>
    <row r="3" spans="1:8" ht="15.75" x14ac:dyDescent="0.25">
      <c r="B3" s="240" t="s">
        <v>88</v>
      </c>
    </row>
    <row r="4" spans="1:8" ht="15.75" x14ac:dyDescent="0.25">
      <c r="A4" s="242"/>
      <c r="B4" s="240" t="s">
        <v>141</v>
      </c>
      <c r="C4" s="243"/>
      <c r="D4" s="243"/>
      <c r="E4" s="243"/>
      <c r="F4" s="243"/>
      <c r="G4" s="244"/>
      <c r="H4" s="244"/>
    </row>
    <row r="5" spans="1:8" ht="15.75" x14ac:dyDescent="0.25">
      <c r="A5" s="242"/>
      <c r="B5" s="245" t="s">
        <v>183</v>
      </c>
      <c r="C5" s="246"/>
      <c r="D5" s="246"/>
      <c r="E5" s="246"/>
      <c r="F5" s="246"/>
      <c r="G5" s="247"/>
      <c r="H5" s="247"/>
    </row>
    <row r="6" spans="1:8" ht="15.75" thickBot="1" x14ac:dyDescent="0.3">
      <c r="A6" s="242"/>
      <c r="G6" s="248"/>
      <c r="H6" s="248"/>
    </row>
    <row r="7" spans="1:8" ht="15.75" thickBot="1" x14ac:dyDescent="0.3">
      <c r="B7" s="249" t="s">
        <v>149</v>
      </c>
      <c r="C7" s="310" t="s">
        <v>89</v>
      </c>
      <c r="D7" s="311" t="s">
        <v>90</v>
      </c>
      <c r="E7" s="311" t="s">
        <v>91</v>
      </c>
      <c r="F7" s="312" t="s">
        <v>92</v>
      </c>
      <c r="G7" s="248"/>
      <c r="H7" s="248"/>
    </row>
    <row r="8" spans="1:8" x14ac:dyDescent="0.25">
      <c r="B8" s="329" t="s">
        <v>62</v>
      </c>
      <c r="C8" s="314"/>
      <c r="D8" s="330" t="s">
        <v>150</v>
      </c>
      <c r="E8" s="315"/>
      <c r="F8" s="323"/>
      <c r="G8" s="248"/>
      <c r="H8" s="248"/>
    </row>
    <row r="9" spans="1:8" x14ac:dyDescent="0.25">
      <c r="B9" s="251" t="s">
        <v>97</v>
      </c>
      <c r="C9" s="253"/>
      <c r="D9" s="319" t="s">
        <v>150</v>
      </c>
      <c r="E9" s="313"/>
      <c r="F9" s="250"/>
      <c r="G9" s="248"/>
      <c r="H9" s="248"/>
    </row>
    <row r="10" spans="1:8" x14ac:dyDescent="0.25">
      <c r="B10" s="251" t="s">
        <v>165</v>
      </c>
      <c r="C10" s="253"/>
      <c r="D10" s="319" t="s">
        <v>150</v>
      </c>
      <c r="E10" s="322"/>
      <c r="F10" s="326"/>
      <c r="G10" s="248"/>
      <c r="H10" s="248"/>
    </row>
    <row r="11" spans="1:8" x14ac:dyDescent="0.25">
      <c r="B11" s="251" t="s">
        <v>98</v>
      </c>
      <c r="C11" s="253"/>
      <c r="D11" s="319" t="s">
        <v>150</v>
      </c>
      <c r="E11" s="322"/>
      <c r="F11" s="326"/>
      <c r="G11" s="248"/>
      <c r="H11" s="248"/>
    </row>
    <row r="12" spans="1:8" x14ac:dyDescent="0.25">
      <c r="B12" s="251" t="s">
        <v>52</v>
      </c>
      <c r="C12" s="320" t="s">
        <v>150</v>
      </c>
      <c r="D12" s="322"/>
      <c r="E12" s="319" t="s">
        <v>150</v>
      </c>
      <c r="F12" s="321" t="s">
        <v>150</v>
      </c>
      <c r="G12" s="248"/>
      <c r="H12" s="248"/>
    </row>
    <row r="13" spans="1:8" x14ac:dyDescent="0.25">
      <c r="B13" s="251" t="s">
        <v>101</v>
      </c>
      <c r="C13" s="320" t="s">
        <v>150</v>
      </c>
      <c r="D13" s="322"/>
      <c r="E13" s="319" t="s">
        <v>150</v>
      </c>
      <c r="F13" s="321" t="s">
        <v>150</v>
      </c>
      <c r="G13" s="248"/>
      <c r="H13" s="248"/>
    </row>
    <row r="14" spans="1:8" x14ac:dyDescent="0.25">
      <c r="B14" s="251" t="s">
        <v>49</v>
      </c>
      <c r="C14" s="320" t="s">
        <v>150</v>
      </c>
      <c r="D14" s="319" t="s">
        <v>150</v>
      </c>
      <c r="E14" s="319" t="s">
        <v>150</v>
      </c>
      <c r="F14" s="326"/>
      <c r="G14" s="325"/>
      <c r="H14" s="248"/>
    </row>
    <row r="15" spans="1:8" x14ac:dyDescent="0.25">
      <c r="B15" s="251" t="s">
        <v>45</v>
      </c>
      <c r="C15" s="327"/>
      <c r="D15" s="322"/>
      <c r="E15" s="319" t="s">
        <v>150</v>
      </c>
      <c r="F15" s="252"/>
      <c r="G15" s="248"/>
      <c r="H15" s="248"/>
    </row>
    <row r="16" spans="1:8" x14ac:dyDescent="0.25">
      <c r="B16" s="329" t="s">
        <v>126</v>
      </c>
      <c r="C16" s="327"/>
      <c r="D16" s="319" t="s">
        <v>182</v>
      </c>
      <c r="E16" s="322"/>
      <c r="F16" s="250"/>
      <c r="G16" s="248"/>
      <c r="H16" s="248"/>
    </row>
    <row r="17" spans="1:8" x14ac:dyDescent="0.25">
      <c r="B17" s="251" t="s">
        <v>103</v>
      </c>
      <c r="C17" s="320" t="s">
        <v>150</v>
      </c>
      <c r="D17" s="322"/>
      <c r="E17" s="319" t="s">
        <v>150</v>
      </c>
      <c r="F17" s="250"/>
      <c r="G17" s="248"/>
      <c r="H17" s="248"/>
    </row>
    <row r="18" spans="1:8" x14ac:dyDescent="0.25">
      <c r="B18" s="251" t="s">
        <v>30</v>
      </c>
      <c r="C18" s="320" t="s">
        <v>150</v>
      </c>
      <c r="D18" s="322"/>
      <c r="E18" s="322"/>
      <c r="F18" s="250"/>
      <c r="G18" s="248"/>
      <c r="H18" s="248"/>
    </row>
    <row r="19" spans="1:8" x14ac:dyDescent="0.25">
      <c r="B19" s="251" t="s">
        <v>39</v>
      </c>
      <c r="C19" s="253"/>
      <c r="D19" s="319" t="s">
        <v>150</v>
      </c>
      <c r="E19" s="322"/>
      <c r="F19" s="250"/>
      <c r="G19" s="248"/>
      <c r="H19" s="248"/>
    </row>
    <row r="20" spans="1:8" x14ac:dyDescent="0.25">
      <c r="B20" s="251" t="s">
        <v>35</v>
      </c>
      <c r="C20" s="253"/>
      <c r="D20" s="319" t="s">
        <v>150</v>
      </c>
      <c r="E20" s="322"/>
      <c r="F20" s="250"/>
      <c r="G20" s="248"/>
      <c r="H20" s="248"/>
    </row>
    <row r="21" spans="1:8" x14ac:dyDescent="0.25">
      <c r="B21" s="251" t="s">
        <v>27</v>
      </c>
      <c r="C21" s="331" t="s">
        <v>157</v>
      </c>
      <c r="D21" s="331" t="s">
        <v>157</v>
      </c>
      <c r="E21" s="322"/>
      <c r="F21" s="250"/>
      <c r="G21" s="248"/>
      <c r="H21" s="248"/>
    </row>
    <row r="22" spans="1:8" x14ac:dyDescent="0.25">
      <c r="B22" s="251" t="s">
        <v>107</v>
      </c>
      <c r="C22" s="253"/>
      <c r="D22" s="319" t="s">
        <v>150</v>
      </c>
      <c r="E22" s="322"/>
      <c r="F22" s="250"/>
      <c r="G22" s="248"/>
      <c r="H22" s="248"/>
    </row>
    <row r="23" spans="1:8" ht="15.75" thickBot="1" x14ac:dyDescent="0.3">
      <c r="B23" s="251" t="s">
        <v>130</v>
      </c>
      <c r="C23" s="316"/>
      <c r="D23" s="328" t="s">
        <v>150</v>
      </c>
      <c r="E23" s="324"/>
      <c r="F23" s="254"/>
      <c r="G23" s="248"/>
      <c r="H23" s="248"/>
    </row>
    <row r="24" spans="1:8" ht="15.75" x14ac:dyDescent="0.25">
      <c r="B24" s="258" t="s">
        <v>151</v>
      </c>
      <c r="C24" s="248"/>
      <c r="D24" s="248"/>
      <c r="E24" s="255"/>
      <c r="F24" s="256"/>
      <c r="G24" s="248"/>
      <c r="H24" s="248"/>
    </row>
    <row r="25" spans="1:8" ht="15.75" thickBot="1" x14ac:dyDescent="0.3">
      <c r="B25" s="257"/>
      <c r="C25" s="248"/>
      <c r="D25" s="248"/>
      <c r="E25" s="255"/>
      <c r="F25" s="256"/>
      <c r="G25" s="248"/>
      <c r="H25" s="248"/>
    </row>
    <row r="26" spans="1:8" ht="15.75" thickBot="1" x14ac:dyDescent="0.3">
      <c r="C26" s="259" t="s">
        <v>89</v>
      </c>
      <c r="D26" s="260" t="s">
        <v>90</v>
      </c>
      <c r="E26" s="260" t="s">
        <v>91</v>
      </c>
      <c r="F26" s="261" t="s">
        <v>92</v>
      </c>
      <c r="G26" s="262" t="s">
        <v>152</v>
      </c>
      <c r="H26" s="248"/>
    </row>
    <row r="27" spans="1:8" x14ac:dyDescent="0.25">
      <c r="B27" s="445" t="s">
        <v>153</v>
      </c>
      <c r="C27" s="263">
        <f>COUNTIF(C8:C23,"X")</f>
        <v>5</v>
      </c>
      <c r="D27" s="263">
        <f t="shared" ref="D27:F27" si="0">COUNTIF(D8:D23,"X")</f>
        <v>10</v>
      </c>
      <c r="E27" s="263">
        <f t="shared" si="0"/>
        <v>5</v>
      </c>
      <c r="F27" s="263">
        <f t="shared" si="0"/>
        <v>2</v>
      </c>
      <c r="G27" s="447">
        <f>SUM(C27:F27)</f>
        <v>22</v>
      </c>
      <c r="H27" s="264"/>
    </row>
    <row r="28" spans="1:8" ht="16.5" customHeight="1" thickBot="1" x14ac:dyDescent="0.3">
      <c r="B28" s="446"/>
      <c r="C28" s="265">
        <f>+C27/(C27+C29)</f>
        <v>0.83333333333333337</v>
      </c>
      <c r="D28" s="266">
        <f>+D27/(D27+D29)</f>
        <v>0.90909090909090906</v>
      </c>
      <c r="E28" s="266">
        <f>+E27/(E27+E29)</f>
        <v>1</v>
      </c>
      <c r="F28" s="267">
        <f>+F27/(F27+F29)</f>
        <v>1</v>
      </c>
      <c r="G28" s="448"/>
      <c r="H28" s="264"/>
    </row>
    <row r="29" spans="1:8" x14ac:dyDescent="0.25">
      <c r="B29" s="445" t="s">
        <v>154</v>
      </c>
      <c r="C29" s="268">
        <f>COUNTIF(C8:C23,"o")</f>
        <v>1</v>
      </c>
      <c r="D29" s="268">
        <f t="shared" ref="D29:F29" si="1">COUNTIF(D8:D23,"o")</f>
        <v>1</v>
      </c>
      <c r="E29" s="268">
        <f t="shared" si="1"/>
        <v>0</v>
      </c>
      <c r="F29" s="268">
        <f t="shared" si="1"/>
        <v>0</v>
      </c>
      <c r="G29" s="447">
        <f>SUM(C29:F29)</f>
        <v>2</v>
      </c>
      <c r="H29" s="264"/>
    </row>
    <row r="30" spans="1:8" ht="16.5" customHeight="1" thickBot="1" x14ac:dyDescent="0.3">
      <c r="B30" s="446"/>
      <c r="C30" s="265">
        <f>+C29/(C27+C29)</f>
        <v>0.16666666666666666</v>
      </c>
      <c r="D30" s="266">
        <f>+D29/(D27+D29)</f>
        <v>9.0909090909090912E-2</v>
      </c>
      <c r="E30" s="266">
        <f>+E29/(E27+E29)</f>
        <v>0</v>
      </c>
      <c r="F30" s="267">
        <f>+F29/(F27+F29)</f>
        <v>0</v>
      </c>
      <c r="G30" s="448"/>
      <c r="H30" s="264"/>
    </row>
    <row r="31" spans="1:8" x14ac:dyDescent="0.25">
      <c r="A31" s="269"/>
      <c r="B31" s="270"/>
      <c r="C31" s="264"/>
      <c r="D31" s="264"/>
      <c r="E31" s="264"/>
      <c r="F31" s="264"/>
      <c r="G31" s="264"/>
      <c r="H31" s="264"/>
    </row>
    <row r="32" spans="1:8" ht="15.75" thickBot="1" x14ac:dyDescent="0.3">
      <c r="A32" s="269"/>
      <c r="B32" s="270" t="s">
        <v>184</v>
      </c>
      <c r="C32" s="264"/>
      <c r="D32" s="264"/>
      <c r="E32" s="264"/>
      <c r="F32" s="264"/>
      <c r="G32" s="264"/>
      <c r="H32" s="264"/>
    </row>
    <row r="33" spans="1:8" x14ac:dyDescent="0.25">
      <c r="A33" s="269"/>
      <c r="B33" s="336" t="s">
        <v>30</v>
      </c>
      <c r="C33" s="264"/>
      <c r="D33" s="264"/>
      <c r="E33" s="264"/>
      <c r="F33" s="264"/>
      <c r="G33" s="264"/>
      <c r="H33" s="264"/>
    </row>
    <row r="34" spans="1:8" ht="15.75" thickBot="1" x14ac:dyDescent="0.3">
      <c r="A34" s="269"/>
      <c r="B34" s="337" t="s">
        <v>39</v>
      </c>
      <c r="C34" s="264"/>
      <c r="D34" s="264"/>
      <c r="E34" s="264"/>
      <c r="F34" s="264"/>
      <c r="G34" s="264"/>
      <c r="H34" s="264"/>
    </row>
    <row r="35" spans="1:8" x14ac:dyDescent="0.25">
      <c r="A35" s="269"/>
      <c r="B35" s="270"/>
      <c r="C35" s="264"/>
      <c r="D35" s="264"/>
      <c r="E35" s="264"/>
      <c r="F35" s="264"/>
      <c r="G35" s="264"/>
      <c r="H35" s="264"/>
    </row>
    <row r="36" spans="1:8" x14ac:dyDescent="0.25">
      <c r="A36" s="269"/>
      <c r="B36" s="270"/>
      <c r="C36" s="264"/>
      <c r="D36" s="264"/>
      <c r="E36" s="264"/>
      <c r="F36" s="264"/>
      <c r="G36" s="264"/>
      <c r="H36" s="264"/>
    </row>
    <row r="37" spans="1:8" x14ac:dyDescent="0.25">
      <c r="A37" s="269"/>
      <c r="B37" s="270"/>
      <c r="C37" s="264"/>
      <c r="D37" s="264"/>
      <c r="E37" s="264"/>
      <c r="F37" s="264"/>
      <c r="G37" s="264"/>
      <c r="H37" s="264"/>
    </row>
    <row r="38" spans="1:8" x14ac:dyDescent="0.25">
      <c r="A38" s="269"/>
      <c r="B38" s="270"/>
      <c r="C38" s="264"/>
      <c r="D38" s="264"/>
      <c r="E38" s="264"/>
      <c r="F38" s="264"/>
      <c r="G38" s="264"/>
      <c r="H38" s="264"/>
    </row>
    <row r="39" spans="1:8" x14ac:dyDescent="0.25">
      <c r="A39" s="269"/>
      <c r="B39" s="270"/>
      <c r="C39" s="264"/>
      <c r="D39" s="264"/>
      <c r="E39" s="264"/>
      <c r="F39" s="264"/>
      <c r="G39" s="264"/>
      <c r="H39" s="264"/>
    </row>
    <row r="40" spans="1:8" x14ac:dyDescent="0.25">
      <c r="A40" s="269"/>
      <c r="B40" s="270"/>
      <c r="C40" s="264"/>
      <c r="D40" s="264"/>
      <c r="E40" s="264"/>
      <c r="F40" s="264"/>
      <c r="G40" s="264"/>
      <c r="H40" s="264"/>
    </row>
    <row r="41" spans="1:8" x14ac:dyDescent="0.25">
      <c r="A41" s="269"/>
      <c r="B41" s="270"/>
      <c r="C41" s="264"/>
      <c r="D41" s="264"/>
      <c r="E41" s="264"/>
      <c r="F41" s="264"/>
      <c r="G41" s="264"/>
      <c r="H41" s="264"/>
    </row>
    <row r="42" spans="1:8" x14ac:dyDescent="0.25">
      <c r="A42" s="269"/>
      <c r="B42" s="270"/>
      <c r="C42" s="264"/>
      <c r="D42" s="264"/>
      <c r="E42" s="264"/>
      <c r="F42" s="264"/>
      <c r="G42" s="264"/>
      <c r="H42" s="264"/>
    </row>
    <row r="43" spans="1:8" x14ac:dyDescent="0.25">
      <c r="A43" s="269"/>
      <c r="B43" s="270"/>
      <c r="C43" s="264"/>
      <c r="D43" s="264"/>
      <c r="E43" s="264"/>
      <c r="F43" s="264"/>
      <c r="G43" s="264"/>
      <c r="H43" s="264"/>
    </row>
    <row r="44" spans="1:8" x14ac:dyDescent="0.25">
      <c r="B44" s="257"/>
      <c r="C44" s="248"/>
      <c r="D44" s="248"/>
      <c r="E44" s="257"/>
      <c r="F44" s="256"/>
      <c r="G44" s="248"/>
      <c r="H44" s="248"/>
    </row>
    <row r="45" spans="1:8" x14ac:dyDescent="0.25">
      <c r="B45" s="257"/>
      <c r="C45" s="248"/>
      <c r="D45" s="248"/>
      <c r="E45" s="257"/>
      <c r="F45" s="256"/>
      <c r="G45" s="248"/>
      <c r="H45" s="248"/>
    </row>
    <row r="46" spans="1:8" x14ac:dyDescent="0.25">
      <c r="B46" s="257"/>
      <c r="C46" s="248"/>
      <c r="D46" s="248"/>
      <c r="E46" s="257"/>
      <c r="F46" s="256"/>
      <c r="G46" s="248"/>
      <c r="H46" s="248"/>
    </row>
    <row r="47" spans="1:8" x14ac:dyDescent="0.25">
      <c r="B47" s="257"/>
      <c r="C47" s="248"/>
      <c r="D47" s="248"/>
      <c r="E47" s="257"/>
      <c r="F47" s="256"/>
      <c r="G47" s="248"/>
      <c r="H47" s="248"/>
    </row>
    <row r="48" spans="1:8" x14ac:dyDescent="0.25">
      <c r="B48" s="257"/>
      <c r="C48" s="248"/>
      <c r="D48" s="248"/>
      <c r="E48" s="257"/>
      <c r="F48" s="256"/>
      <c r="G48" s="248"/>
      <c r="H48" s="248"/>
    </row>
    <row r="49" spans="2:8" x14ac:dyDescent="0.25">
      <c r="B49" s="241"/>
      <c r="C49" s="241"/>
      <c r="D49" s="241"/>
      <c r="E49" s="241"/>
      <c r="F49" s="271"/>
      <c r="G49" s="272"/>
      <c r="H49" s="272"/>
    </row>
    <row r="50" spans="2:8" x14ac:dyDescent="0.25">
      <c r="B50" s="269"/>
      <c r="C50" s="269"/>
      <c r="D50" s="269"/>
      <c r="E50" s="269"/>
      <c r="F50" s="264"/>
      <c r="G50" s="264"/>
      <c r="H50" s="264"/>
    </row>
    <row r="51" spans="2:8" ht="16.5" customHeight="1" x14ac:dyDescent="0.25">
      <c r="B51" s="269"/>
      <c r="C51" s="270"/>
      <c r="D51" s="270"/>
      <c r="E51" s="270"/>
      <c r="F51" s="270"/>
      <c r="G51" s="270"/>
      <c r="H51" s="270"/>
    </row>
    <row r="52" spans="2:8" x14ac:dyDescent="0.25">
      <c r="B52" s="270"/>
      <c r="C52" s="264"/>
      <c r="D52" s="264"/>
      <c r="E52" s="264"/>
      <c r="F52" s="264"/>
      <c r="G52" s="264"/>
      <c r="H52" s="264"/>
    </row>
    <row r="53" spans="2:8" x14ac:dyDescent="0.25">
      <c r="B53" s="270"/>
      <c r="C53" s="264"/>
      <c r="D53" s="264"/>
      <c r="E53" s="264"/>
      <c r="F53" s="264"/>
      <c r="G53" s="264"/>
      <c r="H53" s="264"/>
    </row>
    <row r="54" spans="2:8" x14ac:dyDescent="0.25">
      <c r="B54" s="270"/>
      <c r="C54" s="264"/>
      <c r="D54" s="264"/>
      <c r="E54" s="264"/>
      <c r="F54" s="264"/>
      <c r="G54" s="264"/>
      <c r="H54" s="264"/>
    </row>
  </sheetData>
  <mergeCells count="4">
    <mergeCell ref="B27:B28"/>
    <mergeCell ref="G27:G28"/>
    <mergeCell ref="B29:B30"/>
    <mergeCell ref="G29:G30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&amp;L&amp;8&amp;F&amp;C&amp;10&amp;D&amp;R&amp;10PÁGINA &amp;P 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view="pageBreakPreview" zoomScaleNormal="96" zoomScaleSheetLayoutView="100" workbookViewId="0">
      <selection activeCell="B20" sqref="B20"/>
    </sheetView>
  </sheetViews>
  <sheetFormatPr baseColWidth="10" defaultColWidth="10.109375" defaultRowHeight="15" x14ac:dyDescent="0.25"/>
  <cols>
    <col min="1" max="1" width="3.5546875" style="234" customWidth="1"/>
    <col min="2" max="2" width="36.88671875" style="234" customWidth="1"/>
    <col min="3" max="5" width="4.88671875" style="234" bestFit="1" customWidth="1"/>
    <col min="6" max="6" width="6" style="234" customWidth="1"/>
    <col min="7" max="7" width="6.33203125" style="241" customWidth="1"/>
    <col min="8" max="8" width="5" style="241" customWidth="1"/>
    <col min="9" max="9" width="1.77734375" style="234" customWidth="1"/>
    <col min="10" max="16384" width="10.109375" style="234"/>
  </cols>
  <sheetData>
    <row r="1" spans="1:8" ht="15.75" x14ac:dyDescent="0.25">
      <c r="B1" s="235"/>
      <c r="C1" s="235"/>
      <c r="D1" s="235"/>
      <c r="E1" s="235"/>
      <c r="F1" s="235"/>
      <c r="G1" s="236"/>
      <c r="H1" s="236"/>
    </row>
    <row r="2" spans="1:8" ht="15.75" x14ac:dyDescent="0.25">
      <c r="B2" s="237" t="s">
        <v>87</v>
      </c>
      <c r="C2" s="238"/>
      <c r="D2" s="239"/>
      <c r="E2" s="239"/>
      <c r="F2" s="239"/>
      <c r="G2" s="239"/>
      <c r="H2" s="239"/>
    </row>
    <row r="3" spans="1:8" ht="15.75" x14ac:dyDescent="0.25">
      <c r="B3" s="240" t="s">
        <v>88</v>
      </c>
    </row>
    <row r="4" spans="1:8" ht="15.75" x14ac:dyDescent="0.25">
      <c r="A4" s="242"/>
      <c r="B4" s="240" t="s">
        <v>141</v>
      </c>
      <c r="C4" s="243"/>
      <c r="D4" s="243"/>
      <c r="E4" s="243"/>
      <c r="F4" s="243"/>
      <c r="G4" s="244"/>
      <c r="H4" s="244"/>
    </row>
    <row r="5" spans="1:8" ht="15.75" x14ac:dyDescent="0.25">
      <c r="A5" s="242"/>
      <c r="B5" s="245" t="s">
        <v>183</v>
      </c>
      <c r="C5" s="246"/>
      <c r="D5" s="246"/>
      <c r="E5" s="246"/>
      <c r="F5" s="246"/>
      <c r="G5" s="247"/>
      <c r="H5" s="247"/>
    </row>
    <row r="6" spans="1:8" ht="15.75" thickBot="1" x14ac:dyDescent="0.3">
      <c r="A6" s="242"/>
      <c r="G6" s="248"/>
      <c r="H6" s="248"/>
    </row>
    <row r="7" spans="1:8" ht="15.75" thickBot="1" x14ac:dyDescent="0.3">
      <c r="B7" s="249" t="s">
        <v>149</v>
      </c>
      <c r="C7" s="310" t="s">
        <v>89</v>
      </c>
      <c r="D7" s="311" t="s">
        <v>90</v>
      </c>
      <c r="E7" s="311" t="s">
        <v>91</v>
      </c>
      <c r="F7" s="312" t="s">
        <v>92</v>
      </c>
      <c r="G7" s="248"/>
      <c r="H7" s="248"/>
    </row>
    <row r="8" spans="1:8" x14ac:dyDescent="0.25">
      <c r="B8" s="251" t="s">
        <v>85</v>
      </c>
      <c r="C8" s="319" t="s">
        <v>150</v>
      </c>
      <c r="D8" s="322"/>
      <c r="E8" s="319" t="s">
        <v>150</v>
      </c>
      <c r="F8" s="326"/>
      <c r="G8" s="248"/>
      <c r="H8" s="248"/>
    </row>
    <row r="9" spans="1:8" x14ac:dyDescent="0.25">
      <c r="B9" s="251" t="s">
        <v>82</v>
      </c>
      <c r="C9" s="319" t="s">
        <v>150</v>
      </c>
      <c r="D9" s="322"/>
      <c r="E9" s="319" t="s">
        <v>150</v>
      </c>
      <c r="F9" s="326"/>
      <c r="G9" s="248"/>
      <c r="H9" s="248"/>
    </row>
    <row r="10" spans="1:8" x14ac:dyDescent="0.25">
      <c r="B10" s="251" t="s">
        <v>93</v>
      </c>
      <c r="C10" s="319" t="s">
        <v>150</v>
      </c>
      <c r="D10" s="322"/>
      <c r="E10" s="322"/>
      <c r="F10" s="326"/>
      <c r="G10" s="248"/>
      <c r="H10" s="248"/>
    </row>
    <row r="11" spans="1:8" x14ac:dyDescent="0.25">
      <c r="B11" s="251" t="s">
        <v>96</v>
      </c>
      <c r="C11" s="319" t="s">
        <v>150</v>
      </c>
      <c r="D11" s="322"/>
      <c r="E11" s="322"/>
      <c r="F11" s="326"/>
      <c r="G11" s="248"/>
      <c r="H11" s="248"/>
    </row>
    <row r="12" spans="1:8" x14ac:dyDescent="0.25">
      <c r="B12" s="251" t="s">
        <v>143</v>
      </c>
      <c r="C12" s="322"/>
      <c r="D12" s="322"/>
      <c r="E12" s="319" t="s">
        <v>150</v>
      </c>
      <c r="F12" s="326"/>
      <c r="G12" s="248"/>
      <c r="H12" s="248"/>
    </row>
    <row r="13" spans="1:8" x14ac:dyDescent="0.25">
      <c r="B13" s="251" t="s">
        <v>52</v>
      </c>
      <c r="C13" s="319" t="s">
        <v>150</v>
      </c>
      <c r="D13" s="322"/>
      <c r="E13" s="319" t="s">
        <v>150</v>
      </c>
      <c r="F13" s="321" t="s">
        <v>150</v>
      </c>
      <c r="G13" s="248"/>
      <c r="H13" s="248"/>
    </row>
    <row r="14" spans="1:8" x14ac:dyDescent="0.25">
      <c r="B14" s="251" t="s">
        <v>49</v>
      </c>
      <c r="C14" s="319" t="s">
        <v>150</v>
      </c>
      <c r="D14" s="319" t="s">
        <v>150</v>
      </c>
      <c r="E14" s="319" t="s">
        <v>150</v>
      </c>
      <c r="F14" s="326"/>
      <c r="G14" s="248"/>
      <c r="H14" s="248"/>
    </row>
    <row r="15" spans="1:8" x14ac:dyDescent="0.25">
      <c r="B15" s="251" t="s">
        <v>48</v>
      </c>
      <c r="C15" s="319" t="s">
        <v>150</v>
      </c>
      <c r="D15" s="319" t="s">
        <v>150</v>
      </c>
      <c r="E15" s="319" t="s">
        <v>150</v>
      </c>
      <c r="F15" s="326"/>
      <c r="G15" s="248"/>
      <c r="H15" s="248"/>
    </row>
    <row r="16" spans="1:8" x14ac:dyDescent="0.25">
      <c r="B16" s="251" t="s">
        <v>168</v>
      </c>
      <c r="C16" s="322"/>
      <c r="D16" s="322"/>
      <c r="E16" s="322"/>
      <c r="F16" s="321" t="s">
        <v>150</v>
      </c>
      <c r="G16" s="248"/>
      <c r="H16" s="248"/>
    </row>
    <row r="17" spans="1:8" x14ac:dyDescent="0.25">
      <c r="B17" s="251" t="s">
        <v>169</v>
      </c>
      <c r="C17" s="322"/>
      <c r="D17" s="322"/>
      <c r="E17" s="322"/>
      <c r="F17" s="321" t="s">
        <v>150</v>
      </c>
      <c r="G17" s="248"/>
      <c r="H17" s="248"/>
    </row>
    <row r="18" spans="1:8" x14ac:dyDescent="0.25">
      <c r="B18" s="251" t="s">
        <v>170</v>
      </c>
      <c r="C18" s="322"/>
      <c r="D18" s="322"/>
      <c r="E18" s="322"/>
      <c r="F18" s="321" t="s">
        <v>150</v>
      </c>
      <c r="G18" s="248"/>
      <c r="H18" s="248"/>
    </row>
    <row r="19" spans="1:8" x14ac:dyDescent="0.25">
      <c r="B19" s="251" t="s">
        <v>103</v>
      </c>
      <c r="C19" s="319" t="s">
        <v>150</v>
      </c>
      <c r="D19" s="322"/>
      <c r="E19" s="319" t="s">
        <v>150</v>
      </c>
      <c r="F19" s="250"/>
      <c r="G19" s="248"/>
      <c r="H19" s="248"/>
    </row>
    <row r="20" spans="1:8" ht="15.75" thickBot="1" x14ac:dyDescent="0.3">
      <c r="B20" s="334" t="s">
        <v>178</v>
      </c>
      <c r="C20" s="324"/>
      <c r="D20" s="335" t="s">
        <v>157</v>
      </c>
      <c r="E20" s="324"/>
      <c r="F20" s="254"/>
      <c r="G20" s="248"/>
      <c r="H20" s="248"/>
    </row>
    <row r="21" spans="1:8" ht="15.75" x14ac:dyDescent="0.25">
      <c r="B21" s="258" t="s">
        <v>151</v>
      </c>
      <c r="C21" s="248"/>
      <c r="D21" s="248"/>
      <c r="E21" s="255"/>
      <c r="F21" s="256"/>
      <c r="G21" s="248"/>
      <c r="H21" s="248"/>
    </row>
    <row r="22" spans="1:8" ht="15.75" thickBot="1" x14ac:dyDescent="0.3">
      <c r="B22" s="257"/>
      <c r="C22" s="248"/>
      <c r="D22" s="248"/>
      <c r="E22" s="255"/>
      <c r="F22" s="256"/>
      <c r="G22" s="248"/>
      <c r="H22" s="248"/>
    </row>
    <row r="23" spans="1:8" ht="15.75" thickBot="1" x14ac:dyDescent="0.3">
      <c r="C23" s="259" t="s">
        <v>89</v>
      </c>
      <c r="D23" s="260" t="s">
        <v>90</v>
      </c>
      <c r="E23" s="260" t="s">
        <v>91</v>
      </c>
      <c r="F23" s="261" t="s">
        <v>92</v>
      </c>
      <c r="G23" s="262" t="s">
        <v>152</v>
      </c>
      <c r="H23" s="248"/>
    </row>
    <row r="24" spans="1:8" x14ac:dyDescent="0.25">
      <c r="B24" s="445" t="s">
        <v>153</v>
      </c>
      <c r="C24" s="263">
        <f>COUNTIF(C8:C20,"X")</f>
        <v>8</v>
      </c>
      <c r="D24" s="263">
        <f>COUNTIF(D8:D20,"X")</f>
        <v>2</v>
      </c>
      <c r="E24" s="263">
        <f>COUNTIF(E8:E20,"X")</f>
        <v>7</v>
      </c>
      <c r="F24" s="263">
        <f>COUNTIF(F8:F20,"X")</f>
        <v>4</v>
      </c>
      <c r="G24" s="447">
        <f>SUM(C24:F24)</f>
        <v>21</v>
      </c>
      <c r="H24" s="264"/>
    </row>
    <row r="25" spans="1:8" ht="16.5" customHeight="1" thickBot="1" x14ac:dyDescent="0.3">
      <c r="B25" s="446"/>
      <c r="C25" s="265">
        <f>+C24/(C24+C26)</f>
        <v>1</v>
      </c>
      <c r="D25" s="266">
        <f>+D24/(D24+D26)</f>
        <v>0.66666666666666663</v>
      </c>
      <c r="E25" s="266">
        <f>+E24/(E24+E26)</f>
        <v>1</v>
      </c>
      <c r="F25" s="267">
        <f>+F24/(F24+F26)</f>
        <v>1</v>
      </c>
      <c r="G25" s="448"/>
      <c r="H25" s="264"/>
    </row>
    <row r="26" spans="1:8" x14ac:dyDescent="0.25">
      <c r="B26" s="445" t="s">
        <v>154</v>
      </c>
      <c r="C26" s="268">
        <f>COUNTIF(C8:C20,"o")</f>
        <v>0</v>
      </c>
      <c r="D26" s="268">
        <f>COUNTIF(D8:D20,"o")</f>
        <v>1</v>
      </c>
      <c r="E26" s="268">
        <f>COUNTIF(E8:E20,"o")</f>
        <v>0</v>
      </c>
      <c r="F26" s="268">
        <f>COUNTIF(F8:F20,"o")</f>
        <v>0</v>
      </c>
      <c r="G26" s="447">
        <f>SUM(C26:F26)</f>
        <v>1</v>
      </c>
      <c r="H26" s="264"/>
    </row>
    <row r="27" spans="1:8" ht="16.5" customHeight="1" thickBot="1" x14ac:dyDescent="0.3">
      <c r="B27" s="446"/>
      <c r="C27" s="265">
        <f>+C26/(C24+C26)</f>
        <v>0</v>
      </c>
      <c r="D27" s="266">
        <f>+D26/(D24+D26)</f>
        <v>0.33333333333333331</v>
      </c>
      <c r="E27" s="266">
        <f>+E26/(E24+E26)</f>
        <v>0</v>
      </c>
      <c r="F27" s="267">
        <f>+F26/(F24+F26)</f>
        <v>0</v>
      </c>
      <c r="G27" s="448"/>
      <c r="H27" s="264"/>
    </row>
    <row r="28" spans="1:8" x14ac:dyDescent="0.25">
      <c r="A28" s="269"/>
      <c r="B28" s="270"/>
      <c r="C28" s="264"/>
      <c r="D28" s="264"/>
      <c r="E28" s="264"/>
      <c r="F28" s="264"/>
      <c r="G28" s="264"/>
      <c r="H28" s="264"/>
    </row>
    <row r="29" spans="1:8" x14ac:dyDescent="0.25">
      <c r="A29" s="269"/>
      <c r="B29" s="270"/>
      <c r="C29" s="264"/>
      <c r="D29" s="264"/>
      <c r="E29" s="264"/>
      <c r="F29" s="264"/>
      <c r="G29" s="264"/>
      <c r="H29" s="264"/>
    </row>
    <row r="30" spans="1:8" x14ac:dyDescent="0.25">
      <c r="A30" s="269"/>
      <c r="B30" s="270"/>
      <c r="C30" s="264"/>
      <c r="D30" s="264"/>
      <c r="E30" s="264"/>
      <c r="F30" s="264"/>
      <c r="G30" s="264"/>
      <c r="H30" s="264"/>
    </row>
    <row r="31" spans="1:8" x14ac:dyDescent="0.25">
      <c r="A31" s="269"/>
      <c r="B31" s="270"/>
      <c r="C31" s="264"/>
      <c r="D31" s="264"/>
      <c r="E31" s="264"/>
      <c r="F31" s="264"/>
      <c r="G31" s="264"/>
      <c r="H31" s="264"/>
    </row>
    <row r="32" spans="1:8" x14ac:dyDescent="0.25">
      <c r="A32" s="269"/>
      <c r="B32" s="270"/>
      <c r="C32" s="264"/>
      <c r="D32" s="264"/>
      <c r="E32" s="264"/>
      <c r="F32" s="264"/>
      <c r="G32" s="264"/>
      <c r="H32" s="264"/>
    </row>
    <row r="33" spans="1:8" x14ac:dyDescent="0.25">
      <c r="A33" s="269"/>
      <c r="B33" s="270"/>
      <c r="C33" s="264"/>
      <c r="D33" s="264"/>
      <c r="E33" s="264"/>
      <c r="F33" s="264"/>
      <c r="G33" s="264"/>
      <c r="H33" s="264"/>
    </row>
    <row r="34" spans="1:8" x14ac:dyDescent="0.25">
      <c r="A34" s="269"/>
      <c r="B34" s="270"/>
      <c r="C34" s="264"/>
      <c r="D34" s="264"/>
      <c r="E34" s="264"/>
      <c r="F34" s="264"/>
      <c r="G34" s="264"/>
      <c r="H34" s="264"/>
    </row>
    <row r="35" spans="1:8" x14ac:dyDescent="0.25">
      <c r="A35" s="269"/>
      <c r="B35" s="270"/>
      <c r="C35" s="264"/>
      <c r="D35" s="264"/>
      <c r="E35" s="264"/>
      <c r="F35" s="264"/>
      <c r="G35" s="264"/>
      <c r="H35" s="264"/>
    </row>
    <row r="36" spans="1:8" x14ac:dyDescent="0.25">
      <c r="A36" s="269"/>
      <c r="B36" s="270"/>
      <c r="C36" s="264"/>
      <c r="D36" s="264"/>
      <c r="E36" s="264"/>
      <c r="F36" s="264"/>
      <c r="G36" s="264"/>
      <c r="H36" s="264"/>
    </row>
    <row r="37" spans="1:8" x14ac:dyDescent="0.25">
      <c r="A37" s="269"/>
      <c r="B37" s="270"/>
      <c r="C37" s="264"/>
      <c r="D37" s="264"/>
      <c r="E37" s="264"/>
      <c r="F37" s="264"/>
      <c r="G37" s="264"/>
      <c r="H37" s="264"/>
    </row>
    <row r="38" spans="1:8" x14ac:dyDescent="0.25">
      <c r="A38" s="269"/>
      <c r="B38" s="270"/>
      <c r="C38" s="264"/>
      <c r="D38" s="264"/>
      <c r="E38" s="264"/>
      <c r="F38" s="264"/>
      <c r="G38" s="264"/>
      <c r="H38" s="264"/>
    </row>
    <row r="39" spans="1:8" x14ac:dyDescent="0.25">
      <c r="A39" s="269"/>
      <c r="B39" s="270"/>
      <c r="C39" s="264"/>
      <c r="D39" s="264"/>
      <c r="E39" s="264"/>
      <c r="F39" s="264"/>
      <c r="G39" s="264"/>
      <c r="H39" s="264"/>
    </row>
    <row r="40" spans="1:8" x14ac:dyDescent="0.25">
      <c r="A40" s="269"/>
      <c r="B40" s="270"/>
      <c r="C40" s="264"/>
      <c r="D40" s="264"/>
      <c r="E40" s="264"/>
      <c r="F40" s="264"/>
      <c r="G40" s="264"/>
      <c r="H40" s="264"/>
    </row>
    <row r="41" spans="1:8" x14ac:dyDescent="0.25">
      <c r="B41" s="257"/>
      <c r="C41" s="248"/>
      <c r="D41" s="248"/>
      <c r="E41" s="257"/>
      <c r="F41" s="256"/>
      <c r="G41" s="248"/>
      <c r="H41" s="248"/>
    </row>
    <row r="42" spans="1:8" x14ac:dyDescent="0.25">
      <c r="B42" s="257"/>
      <c r="C42" s="248"/>
      <c r="D42" s="248"/>
      <c r="E42" s="257"/>
      <c r="F42" s="256"/>
      <c r="G42" s="248"/>
      <c r="H42" s="248"/>
    </row>
    <row r="43" spans="1:8" x14ac:dyDescent="0.25">
      <c r="B43" s="257"/>
      <c r="C43" s="248"/>
      <c r="D43" s="248"/>
      <c r="E43" s="257"/>
      <c r="F43" s="256"/>
      <c r="G43" s="248"/>
      <c r="H43" s="248"/>
    </row>
    <row r="44" spans="1:8" x14ac:dyDescent="0.25">
      <c r="B44" s="257"/>
      <c r="C44" s="248"/>
      <c r="D44" s="248"/>
      <c r="E44" s="257"/>
      <c r="F44" s="256"/>
      <c r="G44" s="248"/>
      <c r="H44" s="248"/>
    </row>
    <row r="45" spans="1:8" x14ac:dyDescent="0.25">
      <c r="B45" s="257"/>
      <c r="C45" s="248"/>
      <c r="D45" s="248"/>
      <c r="E45" s="257"/>
      <c r="F45" s="256"/>
      <c r="G45" s="248"/>
      <c r="H45" s="248"/>
    </row>
    <row r="46" spans="1:8" x14ac:dyDescent="0.25">
      <c r="B46" s="241"/>
      <c r="C46" s="241"/>
      <c r="D46" s="241"/>
      <c r="E46" s="241"/>
      <c r="F46" s="271"/>
      <c r="G46" s="272"/>
      <c r="H46" s="272"/>
    </row>
    <row r="47" spans="1:8" x14ac:dyDescent="0.25">
      <c r="B47" s="269"/>
      <c r="C47" s="269"/>
      <c r="D47" s="269"/>
      <c r="E47" s="269"/>
      <c r="F47" s="264"/>
      <c r="G47" s="264"/>
      <c r="H47" s="264"/>
    </row>
    <row r="48" spans="1:8" ht="16.5" customHeight="1" x14ac:dyDescent="0.25">
      <c r="B48" s="269"/>
      <c r="C48" s="270"/>
      <c r="D48" s="270"/>
      <c r="E48" s="270"/>
      <c r="F48" s="270"/>
      <c r="G48" s="270"/>
      <c r="H48" s="270"/>
    </row>
    <row r="49" spans="2:8" x14ac:dyDescent="0.25">
      <c r="B49" s="270"/>
      <c r="C49" s="264"/>
      <c r="D49" s="264"/>
      <c r="E49" s="264"/>
      <c r="F49" s="264"/>
      <c r="G49" s="264"/>
      <c r="H49" s="264"/>
    </row>
    <row r="50" spans="2:8" x14ac:dyDescent="0.25">
      <c r="B50" s="270"/>
      <c r="C50" s="264"/>
      <c r="D50" s="264"/>
      <c r="E50" s="264"/>
      <c r="F50" s="264"/>
      <c r="G50" s="264"/>
      <c r="H50" s="264"/>
    </row>
    <row r="51" spans="2:8" x14ac:dyDescent="0.25">
      <c r="B51" s="270"/>
      <c r="C51" s="264"/>
      <c r="D51" s="264"/>
      <c r="E51" s="264"/>
      <c r="F51" s="264"/>
      <c r="G51" s="264"/>
      <c r="H51" s="264"/>
    </row>
  </sheetData>
  <mergeCells count="4">
    <mergeCell ref="B24:B25"/>
    <mergeCell ref="G24:G25"/>
    <mergeCell ref="B26:B27"/>
    <mergeCell ref="G26:G27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&amp;L&amp;8&amp;F&amp;C&amp;10&amp;D&amp;R&amp;10PÁGINA &amp;P 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view="pageBreakPreview" zoomScale="93" zoomScaleNormal="90" zoomScaleSheetLayoutView="93" workbookViewId="0">
      <selection activeCell="C10" sqref="C10"/>
    </sheetView>
  </sheetViews>
  <sheetFormatPr baseColWidth="10" defaultRowHeight="15" x14ac:dyDescent="0.25"/>
  <cols>
    <col min="1" max="1" width="2.6640625" style="273" customWidth="1"/>
    <col min="2" max="2" width="43.77734375" style="273" customWidth="1"/>
    <col min="3" max="3" width="50.88671875" style="273" customWidth="1"/>
    <col min="4" max="4" width="35.33203125" style="273" customWidth="1"/>
    <col min="5" max="5" width="2.6640625" style="273" customWidth="1"/>
    <col min="6" max="16384" width="11.5546875" style="273"/>
  </cols>
  <sheetData>
    <row r="1" spans="2:4" ht="15.75" thickBot="1" x14ac:dyDescent="0.3">
      <c r="C1" s="274"/>
    </row>
    <row r="2" spans="2:4" ht="15.75" thickBot="1" x14ac:dyDescent="0.3">
      <c r="B2" s="275" t="s">
        <v>181</v>
      </c>
      <c r="C2" s="276" t="s">
        <v>155</v>
      </c>
      <c r="D2" s="277" t="s">
        <v>156</v>
      </c>
    </row>
    <row r="3" spans="2:4" s="278" customFormat="1" ht="92.25" customHeight="1" thickBot="1" x14ac:dyDescent="0.3">
      <c r="B3" s="332" t="s">
        <v>27</v>
      </c>
      <c r="C3" s="338" t="s">
        <v>185</v>
      </c>
      <c r="D3" s="333">
        <v>42422</v>
      </c>
    </row>
    <row r="4" spans="2:4" ht="30.75" thickBot="1" x14ac:dyDescent="0.3">
      <c r="B4" s="332" t="s">
        <v>178</v>
      </c>
      <c r="C4" s="339" t="s">
        <v>186</v>
      </c>
      <c r="D4" s="333">
        <v>42422</v>
      </c>
    </row>
    <row r="5" spans="2:4" ht="15.75" thickBot="1" x14ac:dyDescent="0.3">
      <c r="B5" s="332"/>
      <c r="C5" s="338"/>
      <c r="D5" s="333"/>
    </row>
    <row r="6" spans="2:4" ht="15.75" thickBot="1" x14ac:dyDescent="0.3">
      <c r="B6" s="283"/>
      <c r="C6" s="280"/>
      <c r="D6" s="280"/>
    </row>
    <row r="7" spans="2:4" ht="90.75" thickBot="1" x14ac:dyDescent="0.3">
      <c r="B7" s="340" t="s">
        <v>187</v>
      </c>
      <c r="C7" s="280"/>
      <c r="D7" s="280"/>
    </row>
    <row r="8" spans="2:4" x14ac:dyDescent="0.25">
      <c r="B8" s="283"/>
      <c r="C8" s="280"/>
      <c r="D8" s="280"/>
    </row>
    <row r="9" spans="2:4" x14ac:dyDescent="0.25">
      <c r="B9" s="283"/>
      <c r="C9" s="280"/>
      <c r="D9" s="280"/>
    </row>
    <row r="10" spans="2:4" x14ac:dyDescent="0.25">
      <c r="B10" s="283"/>
      <c r="C10" s="280"/>
      <c r="D10" s="280"/>
    </row>
    <row r="11" spans="2:4" x14ac:dyDescent="0.25">
      <c r="B11" s="283"/>
      <c r="C11" s="280"/>
      <c r="D11" s="280"/>
    </row>
    <row r="12" spans="2:4" x14ac:dyDescent="0.25">
      <c r="B12" s="283"/>
      <c r="C12" s="280"/>
      <c r="D12" s="280"/>
    </row>
    <row r="13" spans="2:4" x14ac:dyDescent="0.25">
      <c r="B13" s="283"/>
      <c r="C13" s="280"/>
      <c r="D13" s="280"/>
    </row>
    <row r="14" spans="2:4" x14ac:dyDescent="0.25">
      <c r="B14" s="283"/>
      <c r="C14" s="280"/>
      <c r="D14" s="280"/>
    </row>
    <row r="15" spans="2:4" x14ac:dyDescent="0.25">
      <c r="B15" s="283"/>
      <c r="C15" s="280"/>
      <c r="D15" s="280"/>
    </row>
    <row r="16" spans="2:4" x14ac:dyDescent="0.25">
      <c r="B16" s="279"/>
      <c r="C16" s="280"/>
      <c r="D16" s="280"/>
    </row>
    <row r="17" spans="2:4" x14ac:dyDescent="0.25">
      <c r="B17" s="284"/>
      <c r="C17" s="284"/>
      <c r="D17" s="285"/>
    </row>
    <row r="18" spans="2:4" x14ac:dyDescent="0.25">
      <c r="B18" s="283"/>
      <c r="C18" s="280"/>
      <c r="D18" s="280"/>
    </row>
    <row r="19" spans="2:4" s="278" customFormat="1" x14ac:dyDescent="0.25">
      <c r="B19" s="279"/>
      <c r="C19" s="279"/>
      <c r="D19" s="280"/>
    </row>
    <row r="20" spans="2:4" s="278" customFormat="1" x14ac:dyDescent="0.25">
      <c r="B20" s="281"/>
      <c r="C20" s="282"/>
    </row>
  </sheetData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PMG 2016</vt:lpstr>
      <vt:lpstr>PMG 2017</vt:lpstr>
      <vt:lpstr>MANTENIMIENTO FEBRERO</vt:lpstr>
      <vt:lpstr>SEMANA 1 AL 5 DE FEBRERO</vt:lpstr>
      <vt:lpstr>SEMANA 8 AL 12 DE FEBRERO</vt:lpstr>
      <vt:lpstr>OBSERVACIONES</vt:lpstr>
      <vt:lpstr>'MANTENIMIENTO FEBRERO'!Área_de_impresión</vt:lpstr>
      <vt:lpstr>OBSERVACIONES!Área_de_impresión</vt:lpstr>
      <vt:lpstr>'PMG 2016'!Área_de_impresión</vt:lpstr>
      <vt:lpstr>'PMG 2017'!Área_de_impresión</vt:lpstr>
      <vt:lpstr>'SEMANA 1 AL 5 DE FEBRERO'!Área_de_impresión</vt:lpstr>
      <vt:lpstr>'SEMANA 8 AL 12 DE FEBRERO'!Área_de_impresión</vt:lpstr>
      <vt:lpstr>'MANTENIMIENTO FEBRERO'!Títulos_a_imprimir</vt:lpstr>
      <vt:lpstr>'PMG 2016'!Títulos_a_imprimir</vt:lpstr>
      <vt:lpstr>'PMG 2017'!Títulos_a_imprimir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bq_horjuelag</dc:creator>
  <cp:lastModifiedBy>Farley A. Daza R.</cp:lastModifiedBy>
  <cp:lastPrinted>2016-01-08T18:56:03Z</cp:lastPrinted>
  <dcterms:created xsi:type="dcterms:W3CDTF">2014-05-13T17:08:05Z</dcterms:created>
  <dcterms:modified xsi:type="dcterms:W3CDTF">2016-02-15T16:59:41Z</dcterms:modified>
</cp:coreProperties>
</file>